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Main all three bands (74)" sheetId="2" state="visible" r:id="rId2"/>
    <sheet name="Main 0-1 mi" sheetId="3" state="visible" r:id="rId3"/>
    <sheet name="Main 1-3 mi" sheetId="4" state="visible" r:id="rId4"/>
    <sheet name="Main 3-5 mi" sheetId="5" state="visible" r:id="rId5"/>
    <sheet name="Centennial all bands (74)" sheetId="6" state="visible" r:id="rId6"/>
    <sheet name="Centennial 0-1 mi" sheetId="7" state="visible" r:id="rId7"/>
    <sheet name="Centennial 1-3 mi" sheetId="8" state="visible" r:id="rId8"/>
    <sheet name="Centennial 3-5 mi" sheetId="9" state="visible" r:id="rId9"/>
    <sheet name="Biomedical all bands (70)" sheetId="10" state="visible" r:id="rId10"/>
    <sheet name="Biomedical 0-1 mi" sheetId="11" state="visible" r:id="rId11"/>
    <sheet name="Biomedical 1-3 mi" sheetId="12" state="visible" r:id="rId12"/>
    <sheet name="Biomedical 3-5 mi" sheetId="13" state="visible" r:id="rId13"/>
    <sheet name="Excluded" sheetId="14" state="visible" r:id="rId14"/>
    <sheet name="Listings" sheetId="15" state="visible" r:id="rId15"/>
  </sheets>
  <definedNames>
    <definedName name="_xlnm._FilterDatabase" localSheetId="1" hidden="1">'Main all three bands (74)'!$A$4:$H$78</definedName>
    <definedName name="_xlnm._FilterDatabase" localSheetId="2" hidden="1">'Main 0-1 mi'!$A$4:$G$22</definedName>
    <definedName name="_xlnm._FilterDatabase" localSheetId="3" hidden="1">'Main 1-3 mi'!$A$4:$G$50</definedName>
    <definedName name="_xlnm._FilterDatabase" localSheetId="4" hidden="1">'Main 3-5 mi'!$A$4:$G$14</definedName>
    <definedName name="_xlnm._FilterDatabase" localSheetId="5" hidden="1">'Centennial all bands (74)'!$A$4:$G$78</definedName>
    <definedName name="_xlnm._FilterDatabase" localSheetId="6" hidden="1">'Centennial 0-1 mi'!$A$4:$G$12</definedName>
    <definedName name="_xlnm._FilterDatabase" localSheetId="7" hidden="1">'Centennial 1-3 mi'!$A$4:$G$57</definedName>
    <definedName name="_xlnm._FilterDatabase" localSheetId="8" hidden="1">'Centennial 3-5 mi'!$A$4:$G$17</definedName>
    <definedName name="_xlnm._FilterDatabase" localSheetId="9" hidden="1">'Biomedical all bands (70)'!$A$4:$G$74</definedName>
    <definedName name="_xlnm._FilterDatabase" localSheetId="10" hidden="1">'Biomedical 0-1 mi'!$A$4:$G$8</definedName>
    <definedName name="_xlnm._FilterDatabase" localSheetId="11" hidden="1">'Biomedical 1-3 mi'!$A$4:$G$42</definedName>
    <definedName name="_xlnm._FilterDatabase" localSheetId="12" hidden="1">'Biomedical 3-5 mi'!$A$4:$G$32</definedName>
    <definedName name="_xlnm._FilterDatabase" localSheetId="13" hidden="1">'Excluded'!$A$1:$F$93</definedName>
    <definedName name="_xlnm._FilterDatabase" localSheetId="14" hidden="1">'Listings'!$A$1:$R$169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0"/>
    <numFmt numFmtId="166" formatCode="$#,##0"/>
  </numFmts>
  <fonts count="4">
    <font>
      <name val="Arial"/>
      <sz val="10"/>
    </font>
    <font>
      <name val="Arial"/>
      <b val="1"/>
      <color rgb="FFFFFFFF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FF2D485D"/>
        <bgColor indexed="64"/>
      </patternFill>
    </fill>
    <fill>
      <patternFill patternType="solid">
        <fgColor rgb="FFE8EEF2"/>
        <bgColor indexed="64"/>
      </patternFill>
    </fill>
    <fill>
      <patternFill patternType="solid">
        <fgColor rgb="002D485D"/>
      </patternFill>
    </fill>
    <fill>
      <patternFill patternType="solid">
        <fgColor rgb="00E8EE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4" fontId="0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165" fontId="0" fillId="0" borderId="0" pivotButton="0" quotePrefix="0" xfId="0"/>
    <xf numFmtId="0" fontId="2" fillId="5" borderId="0" pivotButton="0" quotePrefix="0" xfId="0"/>
    <xf numFmtId="0" fontId="3" fillId="4" borderId="0" applyAlignment="1" pivotButton="0" quotePrefix="0" xfId="0">
      <alignment wrapText="1"/>
    </xf>
    <xf numFmtId="0" fontId="0" fillId="3" borderId="0" pivotButton="0" quotePrefix="0" xfId="0"/>
    <xf numFmtId="164" fontId="2" fillId="5" borderId="0" pivotButton="0" quotePrefix="0" xfId="0"/>
    <xf numFmtId="0" fontId="3" fillId="4" borderId="0" pivotButton="0" quotePrefix="0" xfId="0"/>
    <xf numFmtId="166" fontId="2" fillId="5" borderId="0" applyAlignment="1" pivotButton="0" quotePrefix="0" xfId="0">
      <alignment wrapText="1"/>
    </xf>
    <xf numFmtId="166" fontId="2" fillId="5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Room rent audit</t>
        </is>
      </c>
    </row>
    <row r="2">
      <c r="A2" s="5" t="inlineStr">
        <is>
          <t>September 9, 2026 advertised-price snapshot; classifications reviewed September 20.</t>
        </is>
      </c>
    </row>
    <row r="3"/>
    <row r="4">
      <c r="A4" s="1" t="inlineStr">
        <is>
          <t>Campus / distance</t>
        </is>
      </c>
      <c r="B4" s="1" t="inlineStr">
        <is>
          <t>Room listings</t>
        </is>
      </c>
      <c r="C4" s="1" t="inlineStr">
        <is>
          <t>Low-price sum</t>
        </is>
      </c>
      <c r="D4" s="1" t="inlineStr">
        <is>
          <t>High-price sum</t>
        </is>
      </c>
      <c r="E4" s="1" t="inlineStr">
        <is>
          <t>Average low</t>
        </is>
      </c>
      <c r="F4" s="1" t="inlineStr">
        <is>
          <t>Average high</t>
        </is>
      </c>
      <c r="G4" s="1" t="inlineStr">
        <is>
          <t>Mean midpoint</t>
        </is>
      </c>
    </row>
    <row r="5">
      <c r="A5" t="inlineStr">
        <is>
          <t>Main 0-1 mi</t>
        </is>
      </c>
      <c r="B5">
        <f>'Main 0-1 mi'!B24</f>
        <v/>
      </c>
      <c r="C5" s="2">
        <f>'Main 0-1 mi'!B25</f>
        <v/>
      </c>
      <c r="D5" s="2">
        <f>'Main 0-1 mi'!C25</f>
        <v/>
      </c>
      <c r="E5" s="2">
        <f>'Main 0-1 mi'!B26</f>
        <v/>
      </c>
      <c r="F5" s="2">
        <f>'Main 0-1 mi'!C26</f>
        <v/>
      </c>
      <c r="G5" s="2">
        <f>'Main 0-1 mi'!D26</f>
        <v/>
      </c>
    </row>
    <row r="6">
      <c r="A6" t="inlineStr">
        <is>
          <t>Main 1-3 mi</t>
        </is>
      </c>
      <c r="B6">
        <f>'Main 1-3 mi'!B52</f>
        <v/>
      </c>
      <c r="C6" s="2">
        <f>'Main 1-3 mi'!B53</f>
        <v/>
      </c>
      <c r="D6" s="2">
        <f>'Main 1-3 mi'!C53</f>
        <v/>
      </c>
      <c r="E6" s="2">
        <f>'Main 1-3 mi'!B54</f>
        <v/>
      </c>
      <c r="F6" s="2">
        <f>'Main 1-3 mi'!C54</f>
        <v/>
      </c>
      <c r="G6" s="2">
        <f>'Main 1-3 mi'!D54</f>
        <v/>
      </c>
    </row>
    <row r="7">
      <c r="A7" t="inlineStr">
        <is>
          <t>Main 3-5 mi</t>
        </is>
      </c>
      <c r="B7">
        <f>'Main 3-5 mi'!B16</f>
        <v/>
      </c>
      <c r="C7" s="2">
        <f>'Main 3-5 mi'!B17</f>
        <v/>
      </c>
      <c r="D7" s="2">
        <f>'Main 3-5 mi'!C17</f>
        <v/>
      </c>
      <c r="E7" s="2">
        <f>'Main 3-5 mi'!B18</f>
        <v/>
      </c>
      <c r="F7" s="2">
        <f>'Main 3-5 mi'!C18</f>
        <v/>
      </c>
      <c r="G7" s="2">
        <f>'Main 3-5 mi'!D18</f>
        <v/>
      </c>
    </row>
    <row r="8">
      <c r="A8" s="4" t="inlineStr">
        <is>
          <t>Main Campus total</t>
        </is>
      </c>
      <c r="B8" s="4">
        <f>SUM(B5:B7)</f>
        <v/>
      </c>
      <c r="C8" s="2">
        <f>SUM(C5:C7)</f>
        <v/>
      </c>
      <c r="D8" s="2">
        <f>SUM(D5:D7)</f>
        <v/>
      </c>
      <c r="E8" s="2">
        <f>C8/B8</f>
        <v/>
      </c>
      <c r="F8" s="2">
        <f>D8/B8</f>
        <v/>
      </c>
      <c r="G8" s="2">
        <f>(E8+F8)/2</f>
        <v/>
      </c>
    </row>
    <row r="9">
      <c r="A9" t="inlineStr">
        <is>
          <t>Centennial 0-1 mi</t>
        </is>
      </c>
      <c r="B9">
        <f>'Centennial 0-1 mi'!B14</f>
        <v/>
      </c>
      <c r="C9" s="2">
        <f>'Centennial 0-1 mi'!B15</f>
        <v/>
      </c>
      <c r="D9" s="2">
        <f>'Centennial 0-1 mi'!C15</f>
        <v/>
      </c>
      <c r="E9" s="2">
        <f>'Centennial 0-1 mi'!B16</f>
        <v/>
      </c>
      <c r="F9" s="2">
        <f>'Centennial 0-1 mi'!C16</f>
        <v/>
      </c>
      <c r="G9" s="2">
        <f>'Centennial 0-1 mi'!D16</f>
        <v/>
      </c>
    </row>
    <row r="10">
      <c r="A10" t="inlineStr">
        <is>
          <t>Centennial 1-3 mi</t>
        </is>
      </c>
      <c r="B10">
        <f>'Centennial 1-3 mi'!B59</f>
        <v/>
      </c>
      <c r="C10" s="2">
        <f>'Centennial 1-3 mi'!B60</f>
        <v/>
      </c>
      <c r="D10" s="2">
        <f>'Centennial 1-3 mi'!C60</f>
        <v/>
      </c>
      <c r="E10" s="2">
        <f>'Centennial 1-3 mi'!B61</f>
        <v/>
      </c>
      <c r="F10" s="2">
        <f>'Centennial 1-3 mi'!C61</f>
        <v/>
      </c>
      <c r="G10" s="2">
        <f>'Centennial 1-3 mi'!D61</f>
        <v/>
      </c>
    </row>
    <row r="11">
      <c r="A11" t="inlineStr">
        <is>
          <t>Centennial 3-5 mi</t>
        </is>
      </c>
      <c r="B11">
        <f>'Centennial 3-5 mi'!B19</f>
        <v/>
      </c>
      <c r="C11" s="2">
        <f>'Centennial 3-5 mi'!B20</f>
        <v/>
      </c>
      <c r="D11" s="2">
        <f>'Centennial 3-5 mi'!C20</f>
        <v/>
      </c>
      <c r="E11" s="2">
        <f>'Centennial 3-5 mi'!B21</f>
        <v/>
      </c>
      <c r="F11" s="2">
        <f>'Centennial 3-5 mi'!C21</f>
        <v/>
      </c>
      <c r="G11" s="2">
        <f>'Centennial 3-5 mi'!D21</f>
        <v/>
      </c>
    </row>
    <row r="12">
      <c r="A12" s="4" t="inlineStr">
        <is>
          <t>Centennial Campus total</t>
        </is>
      </c>
      <c r="B12" s="4">
        <f>SUM(B9:B11)</f>
        <v/>
      </c>
      <c r="C12" s="2">
        <f>SUM(C9:C11)</f>
        <v/>
      </c>
      <c r="D12" s="2">
        <f>SUM(D9:D11)</f>
        <v/>
      </c>
      <c r="E12" s="2">
        <f>C12/B12</f>
        <v/>
      </c>
      <c r="F12" s="2">
        <f>D12/B12</f>
        <v/>
      </c>
      <c r="G12" s="2">
        <f>(E12+F12)/2</f>
        <v/>
      </c>
    </row>
    <row r="13">
      <c r="A13" t="inlineStr">
        <is>
          <t>Biomedical 0-1 mi</t>
        </is>
      </c>
      <c r="B13">
        <f>'Biomedical 0-1 mi'!B10</f>
        <v/>
      </c>
      <c r="C13" s="2">
        <f>'Biomedical 0-1 mi'!B11</f>
        <v/>
      </c>
      <c r="D13" s="2">
        <f>'Biomedical 0-1 mi'!C11</f>
        <v/>
      </c>
      <c r="E13" s="2">
        <f>'Biomedical 0-1 mi'!B12</f>
        <v/>
      </c>
      <c r="F13" s="2">
        <f>'Biomedical 0-1 mi'!C12</f>
        <v/>
      </c>
      <c r="G13" s="2">
        <f>'Biomedical 0-1 mi'!D12</f>
        <v/>
      </c>
    </row>
    <row r="14">
      <c r="A14" t="inlineStr">
        <is>
          <t>Biomedical 1-3 mi</t>
        </is>
      </c>
      <c r="B14">
        <f>'Biomedical 1-3 mi'!B44</f>
        <v/>
      </c>
      <c r="C14" s="2">
        <f>'Biomedical 1-3 mi'!B45</f>
        <v/>
      </c>
      <c r="D14" s="2">
        <f>'Biomedical 1-3 mi'!C45</f>
        <v/>
      </c>
      <c r="E14" s="2">
        <f>'Biomedical 1-3 mi'!B46</f>
        <v/>
      </c>
      <c r="F14" s="2">
        <f>'Biomedical 1-3 mi'!C46</f>
        <v/>
      </c>
      <c r="G14" s="2">
        <f>'Biomedical 1-3 mi'!D46</f>
        <v/>
      </c>
    </row>
    <row r="15">
      <c r="A15" t="inlineStr">
        <is>
          <t>Biomedical 3-5 mi</t>
        </is>
      </c>
      <c r="B15">
        <f>'Biomedical 3-5 mi'!B34</f>
        <v/>
      </c>
      <c r="C15" s="2">
        <f>'Biomedical 3-5 mi'!B35</f>
        <v/>
      </c>
      <c r="D15" s="2">
        <f>'Biomedical 3-5 mi'!C35</f>
        <v/>
      </c>
      <c r="E15" s="2">
        <f>'Biomedical 3-5 mi'!B36</f>
        <v/>
      </c>
      <c r="F15" s="2">
        <f>'Biomedical 3-5 mi'!C36</f>
        <v/>
      </c>
      <c r="G15" s="2">
        <f>'Biomedical 3-5 mi'!D36</f>
        <v/>
      </c>
    </row>
    <row r="16">
      <c r="A16" s="4" t="inlineStr">
        <is>
          <t>Biomedical Campus total</t>
        </is>
      </c>
      <c r="B16" s="4">
        <f>SUM(B13:B15)</f>
        <v/>
      </c>
      <c r="C16" s="2">
        <f>SUM(C13:C15)</f>
        <v/>
      </c>
      <c r="D16" s="2">
        <f>SUM(D13:D15)</f>
        <v/>
      </c>
      <c r="E16" s="2">
        <f>C16/B16</f>
        <v/>
      </c>
      <c r="F16" s="2">
        <f>D16/B16</f>
        <v/>
      </c>
      <c r="G16" s="2">
        <f>(E16+F16)/2</f>
        <v/>
      </c>
    </row>
    <row r="17"/>
    <row r="18">
      <c r="A18" s="4" t="inlineStr">
        <is>
          <t>Article check</t>
        </is>
      </c>
      <c r="B18" s="5" t="inlineStr">
        <is>
          <t>Main Campus: 18 + 46 + 10 = 74 listings; mean midpoint = $868.53, displayed as about $869.</t>
        </is>
      </c>
    </row>
    <row r="19">
      <c r="A19" s="4" t="inlineStr">
        <is>
          <t>Scope</t>
        </is>
      </c>
      <c r="B19" s="5" t="inlineStr">
        <is>
          <t>Room/per-bedroom advertised offers within five miles of at least one campus point. Campus areas overlap; do not add campus totals.</t>
        </is>
      </c>
    </row>
    <row r="20">
      <c r="A20" s="4" t="inlineStr">
        <is>
          <t>Price note</t>
        </is>
      </c>
      <c r="B20" s="5" t="inlineStr">
        <is>
          <t>Advertised prices may exclude utilities and fees. Each listing receives equal weight.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  <col width="15" customWidth="1" min="5" max="5"/>
    <col width="14" customWidth="1" min="6" max="6"/>
    <col width="16" customWidth="1" min="7" max="7"/>
    <col width="54" customWidth="1" min="8" max="8"/>
  </cols>
  <sheetData>
    <row r="1">
      <c r="A1" s="6" t="inlineStr">
        <is>
          <t>Main Campus all three bands — 74 room listings</t>
        </is>
      </c>
    </row>
    <row r="2">
      <c r="A2" s="7" t="inlineStr">
        <is>
          <t>Sept. 9, 2026 advertised-price snapshot. Exact Main Campus all-bands view used to verify the article interactive. One vote per listing; midpoint=(low+high)/2.</t>
        </is>
      </c>
    </row>
    <row r="3"/>
    <row r="4">
      <c r="A4" s="8" t="inlineStr">
        <is>
          <t>Listing name</t>
        </is>
      </c>
      <c r="B4" s="8" t="inlineStr">
        <is>
          <t>Low ($/month)</t>
        </is>
      </c>
      <c r="C4" s="8" t="inlineStr">
        <is>
          <t>High ($/month)</t>
        </is>
      </c>
      <c r="D4" s="8" t="inlineStr">
        <is>
          <t>Midpoint ($/month)</t>
        </is>
      </c>
      <c r="E4" s="8" t="inlineStr">
        <is>
          <t>Distance (mi)</t>
        </is>
      </c>
      <c r="F4" s="8" t="inlineStr">
        <is>
          <t>Band</t>
        </is>
      </c>
      <c r="G4" s="8" t="inlineStr">
        <is>
          <t>Listing ID</t>
        </is>
      </c>
      <c r="H4" s="8" t="inlineStr">
        <is>
          <t>Source URL</t>
        </is>
      </c>
    </row>
    <row r="5">
      <c r="A5" t="inlineStr">
        <is>
          <t>"Avery Close " condos room available across from Centennial Campus NCSU NC State Raleigh</t>
        </is>
      </c>
      <c r="B5" s="2" t="n">
        <v>750</v>
      </c>
      <c r="C5" s="2" t="n">
        <v>750</v>
      </c>
      <c r="D5" s="2">
        <f>(B5+C5)/2</f>
        <v/>
      </c>
      <c r="E5" s="9" t="n">
        <v>0.3760481046808826</v>
      </c>
      <c r="F5" t="inlineStr">
        <is>
          <t>0-1 mi</t>
        </is>
      </c>
      <c r="G5" t="inlineStr">
        <is>
          <t>ocpsnmx4w4</t>
        </is>
      </c>
      <c r="H5" t="inlineStr">
        <is>
          <t>https://offcampus.dasa.ncsu.edu/housing/property/avery-close-condos-room-available-across-from-centennial-campus-ncsu-nc-state-raleigh/ocpsnmx4w4</t>
        </is>
      </c>
    </row>
    <row r="6">
      <c r="A6" t="inlineStr">
        <is>
          <t>$3600 saving on 2*2 Sublet at Stanhope Apartment for NC STATE</t>
        </is>
      </c>
      <c r="B6" s="2" t="n">
        <v>550</v>
      </c>
      <c r="C6" s="2" t="n">
        <v>550</v>
      </c>
      <c r="D6" s="2">
        <f>(B6+C6)/2</f>
        <v/>
      </c>
      <c r="E6" s="9" t="n">
        <v>0.7024681108580499</v>
      </c>
      <c r="F6" t="inlineStr">
        <is>
          <t>0-1 mi</t>
        </is>
      </c>
      <c r="G6" t="inlineStr">
        <is>
          <t>ocpd9wnxdk</t>
        </is>
      </c>
      <c r="H6" t="inlineStr">
        <is>
          <t>https://offcampus.dasa.ncsu.edu/housing/property/3600-saving-on-2-2-sublet-at-stanhope-apartment-for-nc-state/ocpd9wnxdk</t>
        </is>
      </c>
    </row>
    <row r="7">
      <c r="A7" t="inlineStr">
        <is>
          <t>105 Friendly Drive! Furnished Room Rentals with Utilities!</t>
        </is>
      </c>
      <c r="B7" s="2" t="n">
        <v>775</v>
      </c>
      <c r="C7" s="2" t="n">
        <v>1050</v>
      </c>
      <c r="D7" s="2">
        <f>(B7+C7)/2</f>
        <v/>
      </c>
      <c r="E7" s="9" t="n">
        <v>0.7343021957287743</v>
      </c>
      <c r="F7" t="inlineStr">
        <is>
          <t>0-1 mi</t>
        </is>
      </c>
      <c r="G7" t="inlineStr">
        <is>
          <t>ocphdtdgk2</t>
        </is>
      </c>
      <c r="H7" t="inlineStr">
        <is>
          <t>https://offcampus.dasa.ncsu.edu/housing/property/105-friendly-drive-furnished-room-rentals-with-utilities/ocphdtdgk2</t>
        </is>
      </c>
    </row>
    <row r="8">
      <c r="A8" t="inlineStr">
        <is>
          <t>4BR/4BA Condo| On Wolfline | Preleasing 27-28 Special $850 Util/Parking Incld | Mile to Campus</t>
        </is>
      </c>
      <c r="B8" s="2" t="n">
        <v>875</v>
      </c>
      <c r="C8" s="2" t="n">
        <v>875</v>
      </c>
      <c r="D8" s="2">
        <f>(B8+C8)/2</f>
        <v/>
      </c>
      <c r="E8" s="9" t="n">
        <v>0.6554114366280899</v>
      </c>
      <c r="F8" t="inlineStr">
        <is>
          <t>0-1 mi</t>
        </is>
      </c>
      <c r="G8" t="inlineStr">
        <is>
          <t>ocpxdxd79p</t>
        </is>
      </c>
      <c r="H8" t="inlineStr">
        <is>
          <t>https://offcampus.dasa.ncsu.edu/housing/property/4br-4ba-condo-on-wolfline-preleasing-27-28-special-850-util-parking-incld-mile-to-campus/ocpxdxd79p</t>
        </is>
      </c>
    </row>
    <row r="9">
      <c r="A9" t="inlineStr">
        <is>
          <t>Affordable Student Housing 1 Block from Campus on Wolf Line</t>
        </is>
      </c>
      <c r="B9" s="2" t="n">
        <v>640</v>
      </c>
      <c r="C9" s="2" t="n">
        <v>640</v>
      </c>
      <c r="D9" s="2">
        <f>(B9+C9)/2</f>
        <v/>
      </c>
      <c r="E9" s="9" t="n">
        <v>0.4434046525051278</v>
      </c>
      <c r="F9" t="inlineStr">
        <is>
          <t>0-1 mi</t>
        </is>
      </c>
      <c r="G9" t="inlineStr">
        <is>
          <t>ocph8n0fc0</t>
        </is>
      </c>
      <c r="H9" t="inlineStr">
        <is>
          <t>https://offcampus.dasa.ncsu.edu/housing/property/affordable-student-housing-1-block-from-campus-on-wolf-line/ocph8n0fc0</t>
        </is>
      </c>
    </row>
    <row r="10">
      <c r="A10" t="inlineStr">
        <is>
          <t>Big Promotion w/best price ever. Move in Immediately . MarcomTowns. Great location nice</t>
        </is>
      </c>
      <c r="B10" s="2" t="n">
        <v>950</v>
      </c>
      <c r="C10" s="2" t="n">
        <v>950</v>
      </c>
      <c r="D10" s="2">
        <f>(B10+C10)/2</f>
        <v/>
      </c>
      <c r="E10" s="9" t="n">
        <v>0.2434893676842173</v>
      </c>
      <c r="F10" t="inlineStr">
        <is>
          <t>0-1 mi</t>
        </is>
      </c>
      <c r="G10" t="inlineStr">
        <is>
          <t>ocpe1n95cm</t>
        </is>
      </c>
      <c r="H10" t="inlineStr">
        <is>
          <t>https://offcampus.dasa.ncsu.edu/housing/property/big-promotion-w-best-price-ever-move-in-immediately-marcomtowns-great-location-nice/ocpe1n95cm</t>
        </is>
      </c>
    </row>
    <row r="11">
      <c r="A11" t="inlineStr">
        <is>
          <t>Brickside</t>
        </is>
      </c>
      <c r="B11" s="2" t="n">
        <v>999</v>
      </c>
      <c r="C11" s="2" t="n">
        <v>1825</v>
      </c>
      <c r="D11" s="2">
        <f>(B11+C11)/2</f>
        <v/>
      </c>
      <c r="E11" s="9" t="n">
        <v>0.9078761874286304</v>
      </c>
      <c r="F11" t="inlineStr">
        <is>
          <t>0-1 mi</t>
        </is>
      </c>
      <c r="G11" t="inlineStr">
        <is>
          <t>75medjw</t>
        </is>
      </c>
      <c r="H11" t="inlineStr">
        <is>
          <t>https://offcampus.dasa.ncsu.edu/housing/property/brickside/75medjw</t>
        </is>
      </c>
    </row>
    <row r="12">
      <c r="A12" t="inlineStr">
        <is>
          <t>Burt Drive Townhouses---Brand New Luxury Housing within walking distance to NCSU</t>
        </is>
      </c>
      <c r="B12" s="2" t="n">
        <v>1050</v>
      </c>
      <c r="C12" s="2" t="n">
        <v>1050</v>
      </c>
      <c r="D12" s="2">
        <f>(B12+C12)/2</f>
        <v/>
      </c>
      <c r="E12" s="9" t="n">
        <v>0.3398874573658709</v>
      </c>
      <c r="F12" t="inlineStr">
        <is>
          <t>0-1 mi</t>
        </is>
      </c>
      <c r="G12" t="inlineStr">
        <is>
          <t>ocpm68s5sh</t>
        </is>
      </c>
      <c r="H12" t="inlineStr">
        <is>
          <t>https://offcampus.dasa.ncsu.edu/housing/property/burt-drive-townhouses-brand-new-luxury-housing-within-walking-distance-to-ncsu/ocpm68s5sh</t>
        </is>
      </c>
    </row>
    <row r="13">
      <c r="A13" t="inlineStr">
        <is>
          <t>College Inn</t>
        </is>
      </c>
      <c r="B13" s="2" t="n">
        <v>859</v>
      </c>
      <c r="C13" s="2" t="n">
        <v>1275</v>
      </c>
      <c r="D13" s="2">
        <f>(B13+C13)/2</f>
        <v/>
      </c>
      <c r="E13" s="9" t="n">
        <v>0.2464607774894674</v>
      </c>
      <c r="F13" t="inlineStr">
        <is>
          <t>0-1 mi</t>
        </is>
      </c>
      <c r="G13" t="inlineStr">
        <is>
          <t>se736e5</t>
        </is>
      </c>
      <c r="H13" t="inlineStr">
        <is>
          <t>https://offcampus.dasa.ncsu.edu/housing/property/college-inn/se736e5</t>
        </is>
      </c>
    </row>
    <row r="14">
      <c r="A14" t="inlineStr">
        <is>
          <t>Collegeview Duplex--Brand New Luxury Housing within walking distance to NCSU</t>
        </is>
      </c>
      <c r="B14" s="2" t="n">
        <v>900</v>
      </c>
      <c r="C14" s="2" t="n">
        <v>950</v>
      </c>
      <c r="D14" s="2">
        <f>(B14+C14)/2</f>
        <v/>
      </c>
      <c r="E14" s="9" t="n">
        <v>0.2491525327280099</v>
      </c>
      <c r="F14" t="inlineStr">
        <is>
          <t>0-1 mi</t>
        </is>
      </c>
      <c r="G14" t="inlineStr">
        <is>
          <t>ocppjxdd3r</t>
        </is>
      </c>
      <c r="H14" t="inlineStr">
        <is>
          <t>https://offcampus.dasa.ncsu.edu/housing/property/collegeview-duplex-brand-new-luxury-housing-within-walking-distance-to-ncsu/ocppjxdd3r</t>
        </is>
      </c>
    </row>
    <row r="15">
      <c r="A15" t="inlineStr">
        <is>
          <t>Convenient Kaplan Dr property near NCSU buses, park, grocery, with parking space &amp; private bathroom</t>
        </is>
      </c>
      <c r="B15" s="2" t="n">
        <v>675</v>
      </c>
      <c r="C15" s="2" t="n">
        <v>675</v>
      </c>
      <c r="D15" s="2">
        <f>(B15+C15)/2</f>
        <v/>
      </c>
      <c r="E15" s="9" t="n">
        <v>0.7168551166717222</v>
      </c>
      <c r="F15" t="inlineStr">
        <is>
          <t>0-1 mi</t>
        </is>
      </c>
      <c r="G15" t="inlineStr">
        <is>
          <t>ocp5lwrmvq</t>
        </is>
      </c>
      <c r="H15" t="inlineStr">
        <is>
          <t>https://offcampus.dasa.ncsu.edu/housing/property/convenient-kaplan-dr-property-near-ncsu-buses-park-grocery-with-parking-space-and-private-bathroom/ocp5lwrmvq</t>
        </is>
      </c>
    </row>
    <row r="16">
      <c r="A16" t="inlineStr">
        <is>
          <t>Reavis ---Brand New Luxury Housing within walking distance to NCSU</t>
        </is>
      </c>
      <c r="B16" s="2" t="n">
        <v>925</v>
      </c>
      <c r="C16" s="2" t="n">
        <v>975</v>
      </c>
      <c r="D16" s="2">
        <f>(B16+C16)/2</f>
        <v/>
      </c>
      <c r="E16" s="9" t="n">
        <v>0.8460792131088813</v>
      </c>
      <c r="F16" t="inlineStr">
        <is>
          <t>0-1 mi</t>
        </is>
      </c>
      <c r="G16" t="inlineStr">
        <is>
          <t>ocpvlydr3e</t>
        </is>
      </c>
      <c r="H16" t="inlineStr">
        <is>
          <t>https://offcampus.dasa.ncsu.edu/housing/property/reavis-brand-new-luxury-housing-within-walking-distance-to-ncsu/ocpvlydr3e</t>
        </is>
      </c>
    </row>
    <row r="17">
      <c r="A17" t="inlineStr">
        <is>
          <t>Redfield Villages</t>
        </is>
      </c>
      <c r="B17" s="2" t="n">
        <v>799</v>
      </c>
      <c r="C17" s="2" t="n">
        <v>899</v>
      </c>
      <c r="D17" s="2">
        <f>(B17+C17)/2</f>
        <v/>
      </c>
      <c r="E17" s="9" t="n">
        <v>0.5629608787051384</v>
      </c>
      <c r="F17" t="inlineStr">
        <is>
          <t>0-1 mi</t>
        </is>
      </c>
      <c r="G17" t="inlineStr">
        <is>
          <t>h2l8mh2</t>
        </is>
      </c>
      <c r="H17" t="inlineStr">
        <is>
          <t>https://offcampus.dasa.ncsu.edu/housing/property/redfield-villages/h2l8mh2</t>
        </is>
      </c>
    </row>
    <row r="18">
      <c r="A18" t="inlineStr">
        <is>
          <t>Spacious bedroom with private bath in 2BR townhome – 5 minutes to NC State</t>
        </is>
      </c>
      <c r="B18" s="2" t="n">
        <v>800</v>
      </c>
      <c r="C18" s="2" t="n">
        <v>800</v>
      </c>
      <c r="D18" s="2">
        <f>(B18+C18)/2</f>
        <v/>
      </c>
      <c r="E18" s="9" t="n">
        <v>0.541658593294487</v>
      </c>
      <c r="F18" t="inlineStr">
        <is>
          <t>0-1 mi</t>
        </is>
      </c>
      <c r="G18" t="inlineStr">
        <is>
          <t>ocpszex2v4</t>
        </is>
      </c>
      <c r="H18" t="inlineStr">
        <is>
          <t>https://offcampus.dasa.ncsu.edu/housing/property/spacious-bedroom-with-private-bath-in-2br-townhome-5-minutes-to-nc-state/ocpszex2v4</t>
        </is>
      </c>
    </row>
    <row r="19">
      <c r="A19" t="inlineStr">
        <is>
          <t>Stanhope Student Apartments</t>
        </is>
      </c>
      <c r="B19" s="2" t="n">
        <v>1300</v>
      </c>
      <c r="C19" s="2" t="n">
        <v>1300</v>
      </c>
      <c r="D19" s="2">
        <f>(B19+C19)/2</f>
        <v/>
      </c>
      <c r="E19" s="9" t="n">
        <v>0.7024681108580499</v>
      </c>
      <c r="F19" t="inlineStr">
        <is>
          <t>0-1 mi</t>
        </is>
      </c>
      <c r="G19" t="inlineStr">
        <is>
          <t>ocpk5yz73b</t>
        </is>
      </c>
      <c r="H19" t="inlineStr">
        <is>
          <t>https://offcampus.dasa.ncsu.edu/housing/property/stanhope-student-apartments/ocpk5yz73b</t>
        </is>
      </c>
    </row>
    <row r="20">
      <c r="A20" t="inlineStr">
        <is>
          <t>University Oaks</t>
        </is>
      </c>
      <c r="B20" s="2" t="n">
        <v>725</v>
      </c>
      <c r="C20" s="2" t="n">
        <v>725</v>
      </c>
      <c r="D20" s="2">
        <f>(B20+C20)/2</f>
        <v/>
      </c>
      <c r="E20" s="9" t="n">
        <v>0.4569144071179652</v>
      </c>
      <c r="F20" t="inlineStr">
        <is>
          <t>0-1 mi</t>
        </is>
      </c>
      <c r="G20" t="inlineStr">
        <is>
          <t>ocp4t7wmxk</t>
        </is>
      </c>
      <c r="H20" t="inlineStr">
        <is>
          <t>https://offcampus.dasa.ncsu.edu/housing/property/university-oaks/ocp4t7wmxk</t>
        </is>
      </c>
    </row>
    <row r="21">
      <c r="A21" t="inlineStr">
        <is>
          <t>University Oaks -</t>
        </is>
      </c>
      <c r="B21" s="2" t="n">
        <v>725</v>
      </c>
      <c r="C21" s="2" t="n">
        <v>725</v>
      </c>
      <c r="D21" s="2">
        <f>(B21+C21)/2</f>
        <v/>
      </c>
      <c r="E21" s="9" t="n">
        <v>0.4400319491563999</v>
      </c>
      <c r="F21" t="inlineStr">
        <is>
          <t>0-1 mi</t>
        </is>
      </c>
      <c r="G21" t="inlineStr">
        <is>
          <t>ocp2evl6hb</t>
        </is>
      </c>
      <c r="H21" t="inlineStr">
        <is>
          <t>https://offcampus.dasa.ncsu.edu/housing/property/university-oaks/ocp2evl6hb</t>
        </is>
      </c>
    </row>
    <row r="22">
      <c r="A22" t="inlineStr">
        <is>
          <t>Valentine Commons</t>
        </is>
      </c>
      <c r="B22" s="2" t="n">
        <v>1000</v>
      </c>
      <c r="C22" s="2" t="n">
        <v>1300</v>
      </c>
      <c r="D22" s="2">
        <f>(B22+C22)/2</f>
        <v/>
      </c>
      <c r="E22" s="9" t="n">
        <v>0.6360066417040893</v>
      </c>
      <c r="F22" t="inlineStr">
        <is>
          <t>0-1 mi</t>
        </is>
      </c>
      <c r="G22" t="inlineStr">
        <is>
          <t>ocp5cx5drn</t>
        </is>
      </c>
      <c r="H22" t="inlineStr">
        <is>
          <t>https://offcampus.dasa.ncsu.edu/housing/property/valentine-commons/ocp5cx5drn</t>
        </is>
      </c>
    </row>
    <row r="23">
      <c r="A23" t="inlineStr">
        <is>
          <t>1st Month FREE!</t>
        </is>
      </c>
      <c r="B23" s="2" t="n">
        <v>625</v>
      </c>
      <c r="C23" s="2" t="n">
        <v>625</v>
      </c>
      <c r="D23" s="2">
        <f>(B23+C23)/2</f>
        <v/>
      </c>
      <c r="E23" s="9" t="n">
        <v>2.215850713288853</v>
      </c>
      <c r="F23" t="inlineStr">
        <is>
          <t>1-3 mi</t>
        </is>
      </c>
      <c r="G23" t="inlineStr">
        <is>
          <t>ocpq292qyw</t>
        </is>
      </c>
      <c r="H23" t="inlineStr">
        <is>
          <t>https://offcampus.dasa.ncsu.edu/housing/property/1st-month-free/ocpq292qyw</t>
        </is>
      </c>
    </row>
    <row r="24">
      <c r="A24" t="inlineStr">
        <is>
          <t>4bed 4bath Apartment Near Centennial Campus</t>
        </is>
      </c>
      <c r="B24" s="2" t="n">
        <v>725</v>
      </c>
      <c r="C24" s="2" t="n">
        <v>725</v>
      </c>
      <c r="D24" s="2">
        <f>(B24+C24)/2</f>
        <v/>
      </c>
      <c r="E24" s="9" t="n">
        <v>1.590319280873951</v>
      </c>
      <c r="F24" t="inlineStr">
        <is>
          <t>1-3 mi</t>
        </is>
      </c>
      <c r="G24" t="inlineStr">
        <is>
          <t>ocpsq86tm4</t>
        </is>
      </c>
      <c r="H24" t="inlineStr">
        <is>
          <t>https://offcampus.dasa.ncsu.edu/housing/property/4bed-4bath-apartment-near-centennial-campus/ocpsq86tm4</t>
        </is>
      </c>
    </row>
    <row r="25">
      <c r="A25" t="inlineStr">
        <is>
          <t>5 bedroom townhome available near NC State</t>
        </is>
      </c>
      <c r="B25" s="2" t="n">
        <v>650</v>
      </c>
      <c r="C25" s="2" t="n">
        <v>650</v>
      </c>
      <c r="D25" s="2">
        <f>(B25+C25)/2</f>
        <v/>
      </c>
      <c r="E25" s="9" t="n">
        <v>2.375235558770843</v>
      </c>
      <c r="F25" t="inlineStr">
        <is>
          <t>1-3 mi</t>
        </is>
      </c>
      <c r="G25" t="inlineStr">
        <is>
          <t>ocppbmmgnt</t>
        </is>
      </c>
      <c r="H25" t="inlineStr">
        <is>
          <t>https://offcampus.dasa.ncsu.edu/housing/property/5-bedroom-townhome-available-near-nc-state/ocppbmmgnt</t>
        </is>
      </c>
    </row>
    <row r="26">
      <c r="A26" t="inlineStr">
        <is>
          <t>All Girls Unit - Room with Private Bathroom at  University Woods at Centennial Condominiums</t>
        </is>
      </c>
      <c r="B26" s="2" t="n">
        <v>645</v>
      </c>
      <c r="C26" s="2" t="n">
        <v>645</v>
      </c>
      <c r="D26" s="2">
        <f>(B26+C26)/2</f>
        <v/>
      </c>
      <c r="E26" s="9" t="n">
        <v>2.188347488400858</v>
      </c>
      <c r="F26" t="inlineStr">
        <is>
          <t>1-3 mi</t>
        </is>
      </c>
      <c r="G26" t="inlineStr">
        <is>
          <t>ocpjeweyz6</t>
        </is>
      </c>
      <c r="H26" t="inlineStr">
        <is>
          <t>https://offcampus.dasa.ncsu.edu/housing/property/all-girls-unit-room-with-private-bathroom-at-university-woods-at-centennial-condominiums/ocpjeweyz6</t>
        </is>
      </c>
    </row>
    <row r="27">
      <c r="A27" t="inlineStr">
        <is>
          <t>An apartments with 3 bed and 3 bath for NC State Students www.ncstudentsliving.com</t>
        </is>
      </c>
      <c r="B27" s="2" t="n">
        <v>650</v>
      </c>
      <c r="C27" s="2" t="n">
        <v>650</v>
      </c>
      <c r="D27" s="2">
        <f>(B27+C27)/2</f>
        <v/>
      </c>
      <c r="E27" s="9" t="n">
        <v>2.262000465006402</v>
      </c>
      <c r="F27" t="inlineStr">
        <is>
          <t>1-3 mi</t>
        </is>
      </c>
      <c r="G27" t="inlineStr">
        <is>
          <t>ocp0psn632</t>
        </is>
      </c>
      <c r="H27" t="inlineStr">
        <is>
          <t>https://offcampus.dasa.ncsu.edu/housing/property/an-apartments-with-3-bed-and-3-bath-for-nc-state-students-www-ncstudentsliving-com/ocp0psn632</t>
        </is>
      </c>
    </row>
    <row r="28">
      <c r="A28" t="inlineStr">
        <is>
          <t>Apartment close to NCSU</t>
        </is>
      </c>
      <c r="B28" s="2" t="n">
        <v>645</v>
      </c>
      <c r="C28" s="2" t="n">
        <v>645</v>
      </c>
      <c r="D28" s="2">
        <f>(B28+C28)/2</f>
        <v/>
      </c>
      <c r="E28" s="9" t="n">
        <v>1.653317243176871</v>
      </c>
      <c r="F28" t="inlineStr">
        <is>
          <t>1-3 mi</t>
        </is>
      </c>
      <c r="G28" t="inlineStr">
        <is>
          <t>ocpq99qjpx</t>
        </is>
      </c>
      <c r="H28" t="inlineStr">
        <is>
          <t>https://offcampus.dasa.ncsu.edu/housing/property/apartment-close-to-ncsu/ocpq99qjpx</t>
        </is>
      </c>
    </row>
    <row r="29">
      <c r="A29" t="inlineStr">
        <is>
          <t>Campus Crossings Raleigh</t>
        </is>
      </c>
      <c r="B29" s="2" t="n">
        <v>685</v>
      </c>
      <c r="C29" s="2" t="n">
        <v>870</v>
      </c>
      <c r="D29" s="2">
        <f>(B29+C29)/2</f>
        <v/>
      </c>
      <c r="E29" s="9" t="n">
        <v>2.420198985781634</v>
      </c>
      <c r="F29" t="inlineStr">
        <is>
          <t>1-3 mi</t>
        </is>
      </c>
      <c r="G29" t="inlineStr">
        <is>
          <t>z8cfdjw</t>
        </is>
      </c>
      <c r="H29" t="inlineStr">
        <is>
          <t>https://offcampus.dasa.ncsu.edu/housing/property/campus-crossings-raleigh/z8cfdjw</t>
        </is>
      </c>
    </row>
    <row r="30">
      <c r="A30" t="inlineStr">
        <is>
          <t>Campus Crossings Raleigh</t>
        </is>
      </c>
      <c r="B30" s="2" t="n">
        <v>865</v>
      </c>
      <c r="C30" s="2" t="n">
        <v>865</v>
      </c>
      <c r="D30" s="2">
        <f>(B30+C30)/2</f>
        <v/>
      </c>
      <c r="E30" s="9" t="n">
        <v>2.375099775642147</v>
      </c>
      <c r="F30" t="inlineStr">
        <is>
          <t>1-3 mi</t>
        </is>
      </c>
      <c r="G30" t="inlineStr">
        <is>
          <t>ocp176ghy4</t>
        </is>
      </c>
      <c r="H30" t="inlineStr">
        <is>
          <t>https://offcampus.dasa.ncsu.edu/housing/property/campus-crossings-raleigh/ocp176ghy4</t>
        </is>
      </c>
    </row>
    <row r="31">
      <c r="A31" t="inlineStr">
        <is>
          <t>Campus West at Tryon</t>
        </is>
      </c>
      <c r="B31" s="2" t="n">
        <v>699</v>
      </c>
      <c r="C31" s="2" t="n">
        <v>699</v>
      </c>
      <c r="D31" s="2">
        <f>(B31+C31)/2</f>
        <v/>
      </c>
      <c r="E31" s="9" t="n">
        <v>2.87412041751199</v>
      </c>
      <c r="F31" t="inlineStr">
        <is>
          <t>1-3 mi</t>
        </is>
      </c>
      <c r="G31" t="inlineStr">
        <is>
          <t>0pm7tt3</t>
        </is>
      </c>
      <c r="H31" t="inlineStr">
        <is>
          <t>https://offcampus.dasa.ncsu.edu/housing/property/campus-west-at-tryon/0pm7tt3</t>
        </is>
      </c>
    </row>
    <row r="32">
      <c r="A32" t="inlineStr">
        <is>
          <t>Centennial Ridge Student Housing</t>
        </is>
      </c>
      <c r="B32" s="2" t="n">
        <v>599</v>
      </c>
      <c r="C32" s="2" t="n">
        <v>2157</v>
      </c>
      <c r="D32" s="2">
        <f>(B32+C32)/2</f>
        <v/>
      </c>
      <c r="E32" s="9" t="n">
        <v>2.372144719109037</v>
      </c>
      <c r="F32" t="inlineStr">
        <is>
          <t>1-3 mi</t>
        </is>
      </c>
      <c r="G32" t="inlineStr">
        <is>
          <t>7e6kx1w</t>
        </is>
      </c>
      <c r="H32" t="inlineStr">
        <is>
          <t>https://offcampus.dasa.ncsu.edu/housing/property/centennial-ridge-student-housing/7e6kx1w</t>
        </is>
      </c>
    </row>
    <row r="33">
      <c r="A33" t="inlineStr">
        <is>
          <t>Condo near NCSU</t>
        </is>
      </c>
      <c r="B33" s="2" t="n">
        <v>800</v>
      </c>
      <c r="C33" s="2" t="n">
        <v>800</v>
      </c>
      <c r="D33" s="2">
        <f>(B33+C33)/2</f>
        <v/>
      </c>
      <c r="E33" s="9" t="n">
        <v>1.625432360728888</v>
      </c>
      <c r="F33" t="inlineStr">
        <is>
          <t>1-3 mi</t>
        </is>
      </c>
      <c r="G33" t="inlineStr">
        <is>
          <t>ocpx51p4tm</t>
        </is>
      </c>
      <c r="H33" t="inlineStr">
        <is>
          <t>https://offcampus.dasa.ncsu.edu/housing/property/condo-near-ncsu/ocpx51p4tm</t>
        </is>
      </c>
    </row>
    <row r="34">
      <c r="A34" t="inlineStr">
        <is>
          <t>Cozy house 10 min walk to campus</t>
        </is>
      </c>
      <c r="B34" s="2" t="n">
        <v>1500</v>
      </c>
      <c r="C34" s="2" t="n">
        <v>1500</v>
      </c>
      <c r="D34" s="2">
        <f>(B34+C34)/2</f>
        <v/>
      </c>
      <c r="E34" s="9" t="n">
        <v>1.258758083606101</v>
      </c>
      <c r="F34" t="inlineStr">
        <is>
          <t>1-3 mi</t>
        </is>
      </c>
      <c r="G34" t="inlineStr">
        <is>
          <t>ocphycq162</t>
        </is>
      </c>
      <c r="H34" t="inlineStr">
        <is>
          <t>https://offcampus.dasa.ncsu.edu/housing/property/cozy-house-10-min-walk-to-campus/ocphycq162</t>
        </is>
      </c>
    </row>
    <row r="35">
      <c r="A35" t="inlineStr">
        <is>
          <t>FURNISHED NCSU STUDENT HOUSING – TOWNHOME ROOM RENTAL WITH PRIVATE BATHROOM ($850/room)</t>
        </is>
      </c>
      <c r="B35" s="2" t="n">
        <v>850</v>
      </c>
      <c r="C35" s="2" t="n">
        <v>850</v>
      </c>
      <c r="D35" s="2">
        <f>(B35+C35)/2</f>
        <v/>
      </c>
      <c r="E35" s="9" t="n">
        <v>2.435520930724833</v>
      </c>
      <c r="F35" t="inlineStr">
        <is>
          <t>1-3 mi</t>
        </is>
      </c>
      <c r="G35" t="inlineStr">
        <is>
          <t>ocpx3vt61n</t>
        </is>
      </c>
      <c r="H35" t="inlineStr">
        <is>
          <t>https://offcampus.dasa.ncsu.edu/housing/property/furnished-ncsu-student-housing-townhome-room-rental-with-private-bathroom-850-room/ocpx3vt61n</t>
        </is>
      </c>
    </row>
    <row r="36">
      <c r="A36" t="inlineStr">
        <is>
          <t>Hub Raleigh – 4x2 Lease Takeover, Available Now</t>
        </is>
      </c>
      <c r="B36" s="2" t="n">
        <v>1199</v>
      </c>
      <c r="C36" s="2" t="n">
        <v>1199</v>
      </c>
      <c r="D36" s="2">
        <f>(B36+C36)/2</f>
        <v/>
      </c>
      <c r="E36" s="9" t="n">
        <v>1.249575868353012</v>
      </c>
      <c r="F36" t="inlineStr">
        <is>
          <t>1-3 mi</t>
        </is>
      </c>
      <c r="G36" t="inlineStr">
        <is>
          <t>ocp4lh373j</t>
        </is>
      </c>
      <c r="H36" t="inlineStr">
        <is>
          <t>https://offcampus.dasa.ncsu.edu/housing/property/hub-raleigh-4x2-lease-takeover-available-now/ocp4lh373j</t>
        </is>
      </c>
    </row>
    <row r="37">
      <c r="A37" t="inlineStr">
        <is>
          <t>Huge modern studio suite- private entrance and beth- near NCSU</t>
        </is>
      </c>
      <c r="B37" s="2" t="n">
        <v>1150</v>
      </c>
      <c r="C37" s="2" t="n">
        <v>1150</v>
      </c>
      <c r="D37" s="2">
        <f>(B37+C37)/2</f>
        <v/>
      </c>
      <c r="E37" s="9" t="n">
        <v>2.969896436946123</v>
      </c>
      <c r="F37" t="inlineStr">
        <is>
          <t>1-3 mi</t>
        </is>
      </c>
      <c r="G37" t="inlineStr">
        <is>
          <t>ocpteqgjg8</t>
        </is>
      </c>
      <c r="H37" t="inlineStr">
        <is>
          <t>https://offcampus.dasa.ncsu.edu/housing/property/huge-modern-studio-suite-private-entrance-and-beth-near-ncsu/ocpteqgjg8</t>
        </is>
      </c>
    </row>
    <row r="38">
      <c r="A38" t="inlineStr">
        <is>
          <t>Hurry 2 Rooms Left! – 4BR/4BA Condo Near NC State  – All Utilities &amp; Internet Included!</t>
        </is>
      </c>
      <c r="B38" s="2" t="n">
        <v>695</v>
      </c>
      <c r="C38" s="2" t="n">
        <v>695</v>
      </c>
      <c r="D38" s="2">
        <f>(B38+C38)/2</f>
        <v/>
      </c>
      <c r="E38" s="9" t="n">
        <v>2.192366298283417</v>
      </c>
      <c r="F38" t="inlineStr">
        <is>
          <t>1-3 mi</t>
        </is>
      </c>
      <c r="G38" t="inlineStr">
        <is>
          <t>ocpchygggd</t>
        </is>
      </c>
      <c r="H38" t="inlineStr">
        <is>
          <t>https://offcampus.dasa.ncsu.edu/housing/property/hurry-2-rooms-left-4br-4ba-condo-near-nc-state-all-utilities-and-internet-included/ocpchygggd</t>
        </is>
      </c>
    </row>
    <row r="39">
      <c r="A39" t="inlineStr">
        <is>
          <t>Lake Park Condos- Room Rental with Utilities</t>
        </is>
      </c>
      <c r="B39" s="2" t="n">
        <v>500</v>
      </c>
      <c r="C39" s="2" t="n">
        <v>600</v>
      </c>
      <c r="D39" s="2">
        <f>(B39+C39)/2</f>
        <v/>
      </c>
      <c r="E39" s="9" t="n">
        <v>1.637356935904425</v>
      </c>
      <c r="F39" t="inlineStr">
        <is>
          <t>1-3 mi</t>
        </is>
      </c>
      <c r="G39" t="inlineStr">
        <is>
          <t>ocpvgtpebg</t>
        </is>
      </c>
      <c r="H39" t="inlineStr">
        <is>
          <t>https://offcampus.dasa.ncsu.edu/housing/property/lake-park-condos-room-rental-with-utilities/ocpvgtpebg</t>
        </is>
      </c>
    </row>
    <row r="40">
      <c r="A40" t="inlineStr">
        <is>
          <t>maisonNC --- Fully Furnished minutes away from Wolfline and Shopping</t>
        </is>
      </c>
      <c r="B40" s="2" t="n">
        <v>750</v>
      </c>
      <c r="C40" s="2" t="n">
        <v>750</v>
      </c>
      <c r="D40" s="2">
        <f>(B40+C40)/2</f>
        <v/>
      </c>
      <c r="E40" s="9" t="n">
        <v>1.619349362280746</v>
      </c>
      <c r="F40" t="inlineStr">
        <is>
          <t>1-3 mi</t>
        </is>
      </c>
      <c r="G40" t="inlineStr">
        <is>
          <t>ocpesl9n3p</t>
        </is>
      </c>
      <c r="H40" t="inlineStr">
        <is>
          <t>https://offcampus.dasa.ncsu.edu/housing/property/maisonnc-fully-furnished-minutes-away-from-wolfline-and-shopping/ocpesl9n3p</t>
        </is>
      </c>
    </row>
    <row r="41">
      <c r="A41" t="inlineStr">
        <is>
          <t>maisonNC --- Fully Furnished minutes away from Wolfline and Shopping</t>
        </is>
      </c>
      <c r="B41" s="2" t="n">
        <v>750</v>
      </c>
      <c r="C41" s="2" t="n">
        <v>750</v>
      </c>
      <c r="D41" s="2">
        <f>(B41+C41)/2</f>
        <v/>
      </c>
      <c r="E41" s="9" t="n">
        <v>1.600371218003415</v>
      </c>
      <c r="F41" t="inlineStr">
        <is>
          <t>1-3 mi</t>
        </is>
      </c>
      <c r="G41" t="inlineStr">
        <is>
          <t>ocpcm3jede</t>
        </is>
      </c>
      <c r="H41" t="inlineStr">
        <is>
          <t>https://offcampus.dasa.ncsu.edu/housing/property/maisonnc-fully-furnished-minutes-away-from-wolfline-and-shopping/ocpcm3jede</t>
        </is>
      </c>
    </row>
    <row r="42">
      <c r="A42" t="inlineStr">
        <is>
          <t>Modern &amp; spacious 3BR/3BA Apartment w/View</t>
        </is>
      </c>
      <c r="B42" s="2" t="n">
        <v>1000</v>
      </c>
      <c r="C42" s="2" t="n">
        <v>1000</v>
      </c>
      <c r="D42" s="2">
        <f>(B42+C42)/2</f>
        <v/>
      </c>
      <c r="E42" s="9" t="n">
        <v>1.036129373063005</v>
      </c>
      <c r="F42" t="inlineStr">
        <is>
          <t>1-3 mi</t>
        </is>
      </c>
      <c r="G42" t="inlineStr">
        <is>
          <t>ocpnx5c0kn</t>
        </is>
      </c>
      <c r="H42" t="inlineStr">
        <is>
          <t>https://offcampus.dasa.ncsu.edu/housing/property/modern-and-spacious-3br-3ba-apartment-w-view/ocpnx5c0kn</t>
        </is>
      </c>
    </row>
    <row r="43">
      <c r="A43" t="inlineStr">
        <is>
          <t>Modern/High Ceilings 2bed/2 bath</t>
        </is>
      </c>
      <c r="B43" s="2" t="n">
        <v>1250</v>
      </c>
      <c r="C43" s="2" t="n">
        <v>1250</v>
      </c>
      <c r="D43" s="2">
        <f>(B43+C43)/2</f>
        <v/>
      </c>
      <c r="E43" s="9" t="n">
        <v>1.026552005179509</v>
      </c>
      <c r="F43" t="inlineStr">
        <is>
          <t>1-3 mi</t>
        </is>
      </c>
      <c r="G43" t="inlineStr">
        <is>
          <t>ocpet5b7hm</t>
        </is>
      </c>
      <c r="H43" t="inlineStr">
        <is>
          <t>https://offcampus.dasa.ncsu.edu/housing/property/modern-high-ceilings-2bed-2-bath/ocpet5b7hm</t>
        </is>
      </c>
    </row>
    <row r="44">
      <c r="A44" t="inlineStr">
        <is>
          <t>Newly Renovated - All Girls Unit Room with Private Bathroom</t>
        </is>
      </c>
      <c r="B44" s="2" t="n">
        <v>645</v>
      </c>
      <c r="C44" s="2" t="n">
        <v>645</v>
      </c>
      <c r="D44" s="2">
        <f>(B44+C44)/2</f>
        <v/>
      </c>
      <c r="E44" s="9" t="n">
        <v>2.193838766953507</v>
      </c>
      <c r="F44" t="inlineStr">
        <is>
          <t>1-3 mi</t>
        </is>
      </c>
      <c r="G44" t="inlineStr">
        <is>
          <t>ocp6mp93ms</t>
        </is>
      </c>
      <c r="H44" t="inlineStr">
        <is>
          <t>https://offcampus.dasa.ncsu.edu/housing/property/newly-renovated-all-girls-unit-room-with-private-bathroom/ocp6mp93ms</t>
        </is>
      </c>
    </row>
    <row r="45">
      <c r="A45" t="inlineStr">
        <is>
          <t>Paloma Raleigh</t>
        </is>
      </c>
      <c r="B45" s="2" t="n">
        <v>749</v>
      </c>
      <c r="C45" s="2" t="n">
        <v>1599</v>
      </c>
      <c r="D45" s="2">
        <f>(B45+C45)/2</f>
        <v/>
      </c>
      <c r="E45" s="9" t="n">
        <v>2.624931081246668</v>
      </c>
      <c r="F45" t="inlineStr">
        <is>
          <t>1-3 mi</t>
        </is>
      </c>
      <c r="G45" t="inlineStr">
        <is>
          <t>0smdl31</t>
        </is>
      </c>
      <c r="H45" t="inlineStr">
        <is>
          <t>https://offcampus.dasa.ncsu.edu/housing/property/paloma-raleigh/0smdl31</t>
        </is>
      </c>
    </row>
    <row r="46">
      <c r="A46" t="inlineStr">
        <is>
          <t>Redpoint Raleigh</t>
        </is>
      </c>
      <c r="B46" s="2" t="n">
        <v>899</v>
      </c>
      <c r="C46" s="2" t="n">
        <v>995</v>
      </c>
      <c r="D46" s="2">
        <f>(B46+C46)/2</f>
        <v/>
      </c>
      <c r="E46" s="9" t="n">
        <v>2.696273350307905</v>
      </c>
      <c r="F46" t="inlineStr">
        <is>
          <t>1-3 mi</t>
        </is>
      </c>
      <c r="G46" t="inlineStr">
        <is>
          <t>5x5ph7m</t>
        </is>
      </c>
      <c r="H46" t="inlineStr">
        <is>
          <t>https://offcampus.dasa.ncsu.edu/housing/property/redpoint-raleigh/5x5ph7m</t>
        </is>
      </c>
    </row>
    <row r="47">
      <c r="A47" t="inlineStr">
        <is>
          <t>Room in Condo on Collegiate Cir</t>
        </is>
      </c>
      <c r="B47" s="2" t="n">
        <v>675</v>
      </c>
      <c r="C47" s="2" t="n">
        <v>675</v>
      </c>
      <c r="D47" s="2">
        <f>(B47+C47)/2</f>
        <v/>
      </c>
      <c r="E47" s="9" t="n">
        <v>1.630531464821681</v>
      </c>
      <c r="F47" t="inlineStr">
        <is>
          <t>1-3 mi</t>
        </is>
      </c>
      <c r="G47" t="inlineStr">
        <is>
          <t>kf77vv8</t>
        </is>
      </c>
      <c r="H47" t="inlineStr">
        <is>
          <t>https://offcampus.dasa.ncsu.edu/housing/property/room-in-condo-on-collegiate-cir/kf77vv8</t>
        </is>
      </c>
    </row>
    <row r="48">
      <c r="A48" t="inlineStr">
        <is>
          <t>Room in Condo on Crab Orchard Dr</t>
        </is>
      </c>
      <c r="B48" s="2" t="n">
        <v>675</v>
      </c>
      <c r="C48" s="2" t="n">
        <v>675</v>
      </c>
      <c r="D48" s="2">
        <f>(B48+C48)/2</f>
        <v/>
      </c>
      <c r="E48" s="9" t="n">
        <v>1.660043019294766</v>
      </c>
      <c r="F48" t="inlineStr">
        <is>
          <t>1-3 mi</t>
        </is>
      </c>
      <c r="G48" t="inlineStr">
        <is>
          <t>pxc3rhs</t>
        </is>
      </c>
      <c r="H48" t="inlineStr">
        <is>
          <t>https://offcampus.dasa.ncsu.edu/housing/property/room-in-condo-on-crab-orchard-dr/pxc3rhs</t>
        </is>
      </c>
    </row>
    <row r="49">
      <c r="A49" t="inlineStr">
        <is>
          <t>Room in Condo on Wolfmill Dr</t>
        </is>
      </c>
      <c r="B49" s="2" t="n">
        <v>720</v>
      </c>
      <c r="C49" s="2" t="n">
        <v>720</v>
      </c>
      <c r="D49" s="2">
        <f>(B49+C49)/2</f>
        <v/>
      </c>
      <c r="E49" s="9" t="n">
        <v>2.240360935913468</v>
      </c>
      <c r="F49" t="inlineStr">
        <is>
          <t>1-3 mi</t>
        </is>
      </c>
      <c r="G49" t="inlineStr">
        <is>
          <t>zfenc9w</t>
        </is>
      </c>
      <c r="H49" t="inlineStr">
        <is>
          <t>https://offcampus.dasa.ncsu.edu/housing/property/room-in-condo-on-wolfmill-dr/zfenc9w</t>
        </is>
      </c>
    </row>
    <row r="50">
      <c r="A50" t="inlineStr">
        <is>
          <t>Room in House on Pineland Cir</t>
        </is>
      </c>
      <c r="B50" s="2" t="n">
        <v>700</v>
      </c>
      <c r="C50" s="2" t="n">
        <v>700</v>
      </c>
      <c r="D50" s="2">
        <f>(B50+C50)/2</f>
        <v/>
      </c>
      <c r="E50" s="9" t="n">
        <v>1.688144235164935</v>
      </c>
      <c r="F50" t="inlineStr">
        <is>
          <t>1-3 mi</t>
        </is>
      </c>
      <c r="G50" t="inlineStr">
        <is>
          <t>x5wd0zn</t>
        </is>
      </c>
      <c r="H50" t="inlineStr">
        <is>
          <t>https://offcampus.dasa.ncsu.edu/housing/property/room-in-house-on-pineland-cir/x5wd0zn</t>
        </is>
      </c>
    </row>
    <row r="51">
      <c r="A51" t="inlineStr">
        <is>
          <t>Room in Townhome on Ivory Run Way</t>
        </is>
      </c>
      <c r="B51" s="2" t="n">
        <v>690</v>
      </c>
      <c r="C51" s="2" t="n">
        <v>690</v>
      </c>
      <c r="D51" s="2">
        <f>(B51+C51)/2</f>
        <v/>
      </c>
      <c r="E51" s="9" t="n">
        <v>2.412561562395391</v>
      </c>
      <c r="F51" t="inlineStr">
        <is>
          <t>1-3 mi</t>
        </is>
      </c>
      <c r="G51" t="inlineStr">
        <is>
          <t>hz5leg1</t>
        </is>
      </c>
      <c r="H51" t="inlineStr">
        <is>
          <t>https://offcampus.dasa.ncsu.edu/housing/property/room-in-townhome-on-ivory-run-way/hz5leg1</t>
        </is>
      </c>
    </row>
    <row r="52">
      <c r="A52" t="inlineStr">
        <is>
          <t>Signature 1505</t>
        </is>
      </c>
      <c r="B52" s="2" t="n">
        <v>650</v>
      </c>
      <c r="C52" s="2" t="n">
        <v>1305</v>
      </c>
      <c r="D52" s="2">
        <f>(B52+C52)/2</f>
        <v/>
      </c>
      <c r="E52" s="9" t="n">
        <v>1.339579030176291</v>
      </c>
      <c r="F52" t="inlineStr">
        <is>
          <t>1-3 mi</t>
        </is>
      </c>
      <c r="G52" t="inlineStr">
        <is>
          <t>5je4q3n</t>
        </is>
      </c>
      <c r="H52" t="inlineStr">
        <is>
          <t>https://offcampus.dasa.ncsu.edu/housing/property/signature-1505/5je4q3n</t>
        </is>
      </c>
    </row>
    <row r="53">
      <c r="A53" t="inlineStr">
        <is>
          <t>Signature 1505 4X4 Apartment</t>
        </is>
      </c>
      <c r="B53" s="2" t="n">
        <v>1230</v>
      </c>
      <c r="C53" s="2" t="n">
        <v>1230</v>
      </c>
      <c r="D53" s="2">
        <f>(B53+C53)/2</f>
        <v/>
      </c>
      <c r="E53" s="9" t="n">
        <v>1.309798751011894</v>
      </c>
      <c r="F53" t="inlineStr">
        <is>
          <t>1-3 mi</t>
        </is>
      </c>
      <c r="G53" t="inlineStr">
        <is>
          <t>ocpszqbd35</t>
        </is>
      </c>
      <c r="H53" t="inlineStr">
        <is>
          <t>https://offcampus.dasa.ncsu.edu/housing/property/signature-1505-4x4-apartment/ocpszqbd35</t>
        </is>
      </c>
    </row>
    <row r="54">
      <c r="A54" t="inlineStr">
        <is>
          <t>Spacious En-suite with private patio and garage parking in Crescent Ridge Townhome Community</t>
        </is>
      </c>
      <c r="B54" s="2" t="n">
        <v>900</v>
      </c>
      <c r="C54" s="2" t="n">
        <v>900</v>
      </c>
      <c r="D54" s="2">
        <f>(B54+C54)/2</f>
        <v/>
      </c>
      <c r="E54" s="9" t="n">
        <v>2.725369677634238</v>
      </c>
      <c r="F54" t="inlineStr">
        <is>
          <t>1-3 mi</t>
        </is>
      </c>
      <c r="G54" t="inlineStr">
        <is>
          <t>ocpsd8dpj6</t>
        </is>
      </c>
      <c r="H54" t="inlineStr">
        <is>
          <t>https://offcampus.dasa.ncsu.edu/housing/property/spacious-en-suite-with-private-patio-and-garage-parking-in-crescent-ridge-townhome-community/ocpsd8dpj6</t>
        </is>
      </c>
    </row>
    <row r="55">
      <c r="A55" t="inlineStr">
        <is>
          <t>Spacious Forest Park Two-Room Suite + Private Bath - Walk to Campus (Includes Utilities)</t>
        </is>
      </c>
      <c r="B55" s="2" t="n">
        <v>1225</v>
      </c>
      <c r="C55" s="2" t="n">
        <v>1225</v>
      </c>
      <c r="D55" s="2">
        <f>(B55+C55)/2</f>
        <v/>
      </c>
      <c r="E55" s="9" t="n">
        <v>1.604060635545072</v>
      </c>
      <c r="F55" t="inlineStr">
        <is>
          <t>1-3 mi</t>
        </is>
      </c>
      <c r="G55" t="inlineStr">
        <is>
          <t>ocpgxr290w</t>
        </is>
      </c>
      <c r="H55" t="inlineStr">
        <is>
          <t>https://offcampus.dasa.ncsu.edu/housing/property/spacious-forest-park-two-room-suite-private-bath-walk-to-campus-includes-utilities/ocpgxr290w</t>
        </is>
      </c>
    </row>
    <row r="56">
      <c r="A56" t="inlineStr">
        <is>
          <t>The Station</t>
        </is>
      </c>
      <c r="B56" s="2" t="n">
        <v>969</v>
      </c>
      <c r="C56" s="2" t="n">
        <v>969</v>
      </c>
      <c r="D56" s="2">
        <f>(B56+C56)/2</f>
        <v/>
      </c>
      <c r="E56" s="9" t="n">
        <v>2.152909218435243</v>
      </c>
      <c r="F56" t="inlineStr">
        <is>
          <t>1-3 mi</t>
        </is>
      </c>
      <c r="G56" t="inlineStr">
        <is>
          <t>ocp2gxtxqc</t>
        </is>
      </c>
      <c r="H56" t="inlineStr">
        <is>
          <t>https://offcampus.dasa.ncsu.edu/housing/property/the-station/ocp2gxtxqc</t>
        </is>
      </c>
    </row>
    <row r="57">
      <c r="A57" t="inlineStr">
        <is>
          <t>The Station Raleigh</t>
        </is>
      </c>
      <c r="B57" s="2" t="n">
        <v>749</v>
      </c>
      <c r="C57" s="2" t="n">
        <v>1930</v>
      </c>
      <c r="D57" s="2">
        <f>(B57+C57)/2</f>
        <v/>
      </c>
      <c r="E57" s="9" t="n">
        <v>2.173712249435797</v>
      </c>
      <c r="F57" t="inlineStr">
        <is>
          <t>1-3 mi</t>
        </is>
      </c>
      <c r="G57" t="inlineStr">
        <is>
          <t>5hme2mn</t>
        </is>
      </c>
      <c r="H57" t="inlineStr">
        <is>
          <t>https://offcampus.dasa.ncsu.edu/housing/property/the-station-raleigh/5hme2mn</t>
        </is>
      </c>
    </row>
    <row r="58">
      <c r="A58" t="inlineStr">
        <is>
          <t>The Wilde</t>
        </is>
      </c>
      <c r="B58" s="2" t="n">
        <v>599</v>
      </c>
      <c r="C58" s="2" t="n">
        <v>920</v>
      </c>
      <c r="D58" s="2">
        <f>(B58+C58)/2</f>
        <v/>
      </c>
      <c r="E58" s="9" t="n">
        <v>2.029406075000037</v>
      </c>
      <c r="F58" t="inlineStr">
        <is>
          <t>1-3 mi</t>
        </is>
      </c>
      <c r="G58" t="inlineStr">
        <is>
          <t>syvz9l4</t>
        </is>
      </c>
      <c r="H58" t="inlineStr">
        <is>
          <t>https://offcampus.dasa.ncsu.edu/housing/property/the-wilde/syvz9l4</t>
        </is>
      </c>
    </row>
    <row r="59">
      <c r="A59" t="inlineStr">
        <is>
          <t>The Wilde</t>
        </is>
      </c>
      <c r="B59" s="2" t="n">
        <v>860</v>
      </c>
      <c r="C59" s="2" t="n">
        <v>860</v>
      </c>
      <c r="D59" s="2">
        <f>(B59+C59)/2</f>
        <v/>
      </c>
      <c r="E59" s="9" t="n">
        <v>2.038270327954621</v>
      </c>
      <c r="F59" t="inlineStr">
        <is>
          <t>1-3 mi</t>
        </is>
      </c>
      <c r="G59" t="inlineStr">
        <is>
          <t>ocp67ldb5s</t>
        </is>
      </c>
      <c r="H59" t="inlineStr">
        <is>
          <t>https://offcampus.dasa.ncsu.edu/housing/property/the-wilde/ocp67ldb5s</t>
        </is>
      </c>
    </row>
    <row r="60">
      <c r="A60" t="inlineStr">
        <is>
          <t>Tryon Flats Apartments</t>
        </is>
      </c>
      <c r="B60" s="2" t="n">
        <v>750</v>
      </c>
      <c r="C60" s="2" t="n">
        <v>750</v>
      </c>
      <c r="D60" s="2">
        <f>(B60+C60)/2</f>
        <v/>
      </c>
      <c r="E60" s="9" t="n">
        <v>2.493227860476078</v>
      </c>
      <c r="F60" t="inlineStr">
        <is>
          <t>1-3 mi</t>
        </is>
      </c>
      <c r="G60" t="inlineStr">
        <is>
          <t>xcp87fm</t>
        </is>
      </c>
      <c r="H60" t="inlineStr">
        <is>
          <t>https://offcampus.dasa.ncsu.edu/housing/property/tryon-flats-apartments/xcp87fm</t>
        </is>
      </c>
    </row>
    <row r="61">
      <c r="A61" t="inlineStr">
        <is>
          <t>University Suites Student Housing</t>
        </is>
      </c>
      <c r="B61" s="2" t="n">
        <v>699</v>
      </c>
      <c r="C61" s="2" t="n">
        <v>799</v>
      </c>
      <c r="D61" s="2">
        <f>(B61+C61)/2</f>
        <v/>
      </c>
      <c r="E61" s="9" t="n">
        <v>2.292134879809194</v>
      </c>
      <c r="F61" t="inlineStr">
        <is>
          <t>1-3 mi</t>
        </is>
      </c>
      <c r="G61" t="inlineStr">
        <is>
          <t>e13mz5m</t>
        </is>
      </c>
      <c r="H61" t="inlineStr">
        <is>
          <t>https://offcampus.dasa.ncsu.edu/housing/property/university-suites-student-housing/e13mz5m</t>
        </is>
      </c>
    </row>
    <row r="62">
      <c r="A62" t="inlineStr">
        <is>
          <t>University Village at 2505</t>
        </is>
      </c>
      <c r="B62" s="2" t="n">
        <v>799</v>
      </c>
      <c r="C62" s="2" t="n">
        <v>799</v>
      </c>
      <c r="D62" s="2">
        <f>(B62+C62)/2</f>
        <v/>
      </c>
      <c r="E62" s="9" t="n">
        <v>2.237819087455833</v>
      </c>
      <c r="F62" t="inlineStr">
        <is>
          <t>1-3 mi</t>
        </is>
      </c>
      <c r="G62" t="inlineStr">
        <is>
          <t>33f756e</t>
        </is>
      </c>
      <c r="H62" t="inlineStr">
        <is>
          <t>https://offcampus.dasa.ncsu.edu/housing/property/university-village-at-2505/33f756e</t>
        </is>
      </c>
    </row>
    <row r="63">
      <c r="A63" t="inlineStr">
        <is>
          <t>University Woods</t>
        </is>
      </c>
      <c r="B63" s="2" t="n">
        <v>600</v>
      </c>
      <c r="C63" s="2" t="n">
        <v>600</v>
      </c>
      <c r="D63" s="2">
        <f>(B63+C63)/2</f>
        <v/>
      </c>
      <c r="E63" s="9" t="n">
        <v>2.123645671208585</v>
      </c>
      <c r="F63" t="inlineStr">
        <is>
          <t>1-3 mi</t>
        </is>
      </c>
      <c r="G63" t="inlineStr">
        <is>
          <t>ocps6ymwl7</t>
        </is>
      </c>
      <c r="H63" t="inlineStr">
        <is>
          <t>https://offcampus.dasa.ncsu.edu/housing/property/university-woods/ocps6ymwl7</t>
        </is>
      </c>
    </row>
    <row r="64">
      <c r="A64" t="inlineStr">
        <is>
          <t>Village Green</t>
        </is>
      </c>
      <c r="B64" s="2" t="n">
        <v>930</v>
      </c>
      <c r="C64" s="2" t="n">
        <v>930</v>
      </c>
      <c r="D64" s="2">
        <f>(B64+C64)/2</f>
        <v/>
      </c>
      <c r="E64" s="9" t="n">
        <v>1.966488918292135</v>
      </c>
      <c r="F64" t="inlineStr">
        <is>
          <t>1-3 mi</t>
        </is>
      </c>
      <c r="G64" t="inlineStr">
        <is>
          <t>ocp1ddchy6</t>
        </is>
      </c>
      <c r="H64" t="inlineStr">
        <is>
          <t>https://offcampus.dasa.ncsu.edu/housing/property/village-green/ocp1ddchy6</t>
        </is>
      </c>
    </row>
    <row r="65">
      <c r="A65" t="inlineStr">
        <is>
          <t>Village Green Student Housing</t>
        </is>
      </c>
      <c r="B65" s="2" t="n">
        <v>649</v>
      </c>
      <c r="C65" s="2" t="n">
        <v>839</v>
      </c>
      <c r="D65" s="2">
        <f>(B65+C65)/2</f>
        <v/>
      </c>
      <c r="E65" s="9" t="n">
        <v>1.932509975086741</v>
      </c>
      <c r="F65" t="inlineStr">
        <is>
          <t>1-3 mi</t>
        </is>
      </c>
      <c r="G65" t="inlineStr">
        <is>
          <t>jjs8f07</t>
        </is>
      </c>
      <c r="H65" t="inlineStr">
        <is>
          <t>https://offcampus.dasa.ncsu.edu/housing/property/village-green-student-housing/jjs8f07</t>
        </is>
      </c>
    </row>
    <row r="66">
      <c r="A66" t="inlineStr">
        <is>
          <t>Village Green Student Living</t>
        </is>
      </c>
      <c r="B66" s="2" t="n">
        <v>831</v>
      </c>
      <c r="C66" s="2" t="n">
        <v>831</v>
      </c>
      <c r="D66" s="2">
        <f>(B66+C66)/2</f>
        <v/>
      </c>
      <c r="E66" s="9" t="n">
        <v>1.815869404542809</v>
      </c>
      <c r="F66" t="inlineStr">
        <is>
          <t>1-3 mi</t>
        </is>
      </c>
      <c r="G66" t="inlineStr">
        <is>
          <t>ocpepvxvln</t>
        </is>
      </c>
      <c r="H66" t="inlineStr">
        <is>
          <t>https://offcampus.dasa.ncsu.edu/housing/property/village-green-student-living/ocpepvxvln</t>
        </is>
      </c>
    </row>
    <row r="67">
      <c r="A67" t="inlineStr">
        <is>
          <t>Voyager House</t>
        </is>
      </c>
      <c r="B67" s="2" t="n">
        <v>800</v>
      </c>
      <c r="C67" s="2" t="n">
        <v>800</v>
      </c>
      <c r="D67" s="2">
        <f>(B67+C67)/2</f>
        <v/>
      </c>
      <c r="E67" s="9" t="n">
        <v>1.884049974938598</v>
      </c>
      <c r="F67" t="inlineStr">
        <is>
          <t>1-3 mi</t>
        </is>
      </c>
      <c r="G67" t="inlineStr">
        <is>
          <t>ocpbhbkvy9</t>
        </is>
      </c>
      <c r="H67" t="inlineStr">
        <is>
          <t>https://offcampus.dasa.ncsu.edu/housing/property/voyager-house/ocpbhbkvy9</t>
        </is>
      </c>
    </row>
    <row r="68">
      <c r="A68" t="inlineStr">
        <is>
          <t>We have 1 bedroom open In a luxury 5 bed 5 full bath house 1/1/27-6/30/27</t>
        </is>
      </c>
      <c r="B68" s="2" t="n">
        <v>1200</v>
      </c>
      <c r="C68" s="2" t="n">
        <v>1200</v>
      </c>
      <c r="D68" s="2">
        <f>(B68+C68)/2</f>
        <v/>
      </c>
      <c r="E68" s="9" t="n">
        <v>1.634704383043233</v>
      </c>
      <c r="F68" t="inlineStr">
        <is>
          <t>1-3 mi</t>
        </is>
      </c>
      <c r="G68" t="inlineStr">
        <is>
          <t>ocp6wsb4yt</t>
        </is>
      </c>
      <c r="H68" t="inlineStr">
        <is>
          <t>https://offcampus.dasa.ncsu.edu/housing/property/we-have-1-bedroom-open-in-a-luxury-5-bed-5-full-bath-house-1-1-27-6-30-27/ocp6wsb4yt</t>
        </is>
      </c>
    </row>
    <row r="69">
      <c r="A69" t="inlineStr">
        <is>
          <t>2850 Sanderford Rd (Raleigh, NC)</t>
        </is>
      </c>
      <c r="B69" s="2" t="n">
        <v>650</v>
      </c>
      <c r="C69" s="2" t="n">
        <v>650</v>
      </c>
      <c r="D69" s="2">
        <f>(B69+C69)/2</f>
        <v/>
      </c>
      <c r="E69" s="9" t="n">
        <v>4.772916888366553</v>
      </c>
      <c r="F69" t="inlineStr">
        <is>
          <t>3-5 mi</t>
        </is>
      </c>
      <c r="G69" t="inlineStr">
        <is>
          <t>lpl9fce</t>
        </is>
      </c>
      <c r="H69" t="inlineStr">
        <is>
          <t>https://offcampus.dasa.ncsu.edu/housing/property/2850-sanderford-rd-raleigh-nc/lpl9fce</t>
        </is>
      </c>
    </row>
    <row r="70">
      <c r="A70" t="inlineStr">
        <is>
          <t>Brand New Luxury Furnished Townhome | 4 Bed /  3.5 Bath | 5 Min to NC State &amp; 3 Mins to Fenton +shop</t>
        </is>
      </c>
      <c r="B70" s="2" t="n">
        <v>900</v>
      </c>
      <c r="C70" s="2" t="n">
        <v>1050</v>
      </c>
      <c r="D70" s="2">
        <f>(B70+C70)/2</f>
        <v/>
      </c>
      <c r="E70" s="9" t="n">
        <v>3.334997029797161</v>
      </c>
      <c r="F70" t="inlineStr">
        <is>
          <t>3-5 mi</t>
        </is>
      </c>
      <c r="G70" t="inlineStr">
        <is>
          <t>ocpw46rjcl</t>
        </is>
      </c>
      <c r="H70" t="inlineStr">
        <is>
          <t>https://offcampus.dasa.ncsu.edu/housing/property/brand-new-luxury-furnished-townhome-4-bed-3-5-bath-5-min-to-nc-state-and-3-mins-to-fenton-shop/ocpw46rjcl</t>
        </is>
      </c>
    </row>
    <row r="71">
      <c r="A71" t="inlineStr">
        <is>
          <t>Brick Bungalow close to Campus</t>
        </is>
      </c>
      <c r="B71" s="2" t="n">
        <v>1050</v>
      </c>
      <c r="C71" s="2" t="n">
        <v>1050</v>
      </c>
      <c r="D71" s="2">
        <f>(B71+C71)/2</f>
        <v/>
      </c>
      <c r="E71" s="9" t="n">
        <v>3.543884360555975</v>
      </c>
      <c r="F71" t="inlineStr">
        <is>
          <t>3-5 mi</t>
        </is>
      </c>
      <c r="G71" t="inlineStr">
        <is>
          <t>ocp90bdzb4</t>
        </is>
      </c>
      <c r="H71" t="inlineStr">
        <is>
          <t>https://offcampus.dasa.ncsu.edu/housing/property/brick-bungalow-close-to-campus/ocp90bdzb4</t>
        </is>
      </c>
    </row>
    <row r="72">
      <c r="A72" t="inlineStr">
        <is>
          <t>FURNISHED TOWNHOME RENTAL – 10 Mins to NCSU - 3 Bedroom - starting $750 per room</t>
        </is>
      </c>
      <c r="B72" s="2" t="n">
        <v>750</v>
      </c>
      <c r="C72" s="2" t="n">
        <v>750</v>
      </c>
      <c r="D72" s="2">
        <f>(B72+C72)/2</f>
        <v/>
      </c>
      <c r="E72" s="9" t="n">
        <v>4.072730365283987</v>
      </c>
      <c r="F72" t="inlineStr">
        <is>
          <t>3-5 mi</t>
        </is>
      </c>
      <c r="G72" t="inlineStr">
        <is>
          <t>ocpwwwe8yh</t>
        </is>
      </c>
      <c r="H72" t="inlineStr">
        <is>
          <t>https://offcampus.dasa.ncsu.edu/housing/property/furnished-townhome-rental-10-mins-to-ncsu-3-bedroom-starting-750-per-room/ocpwwwe8yh</t>
        </is>
      </c>
    </row>
    <row r="73">
      <c r="A73" t="inlineStr">
        <is>
          <t>Great value in beautiful SW Raleigh</t>
        </is>
      </c>
      <c r="B73" s="2" t="n">
        <v>850</v>
      </c>
      <c r="C73" s="2" t="n">
        <v>850</v>
      </c>
      <c r="D73" s="2">
        <f>(B73+C73)/2</f>
        <v/>
      </c>
      <c r="E73" s="9" t="n">
        <v>3.494769247784064</v>
      </c>
      <c r="F73" t="inlineStr">
        <is>
          <t>3-5 mi</t>
        </is>
      </c>
      <c r="G73" t="inlineStr">
        <is>
          <t>ocp0gblz91</t>
        </is>
      </c>
      <c r="H73" t="inlineStr">
        <is>
          <t>https://offcampus.dasa.ncsu.edu/housing/property/great-value-in-beautiful-sw-raleigh/ocp0gblz91</t>
        </is>
      </c>
    </row>
    <row r="74">
      <c r="A74" t="inlineStr">
        <is>
          <t>Liberty station male only townhome- 5 miles from Centennial</t>
        </is>
      </c>
      <c r="B74" s="2" t="n">
        <v>900</v>
      </c>
      <c r="C74" s="2" t="n">
        <v>900</v>
      </c>
      <c r="D74" s="2">
        <f>(B74+C74)/2</f>
        <v/>
      </c>
      <c r="E74" s="9" t="n">
        <v>4.064953715116921</v>
      </c>
      <c r="F74" t="inlineStr">
        <is>
          <t>3-5 mi</t>
        </is>
      </c>
      <c r="G74" t="inlineStr">
        <is>
          <t>ocp2k0px98</t>
        </is>
      </c>
      <c r="H74" t="inlineStr">
        <is>
          <t>https://offcampus.dasa.ncsu.edu/housing/property/liberty-station-male-only-townhome-5-miles-from-centennial/ocp2k0px98</t>
        </is>
      </c>
    </row>
    <row r="75">
      <c r="A75" t="inlineStr">
        <is>
          <t>Room in House on Joyner Pl</t>
        </is>
      </c>
      <c r="B75" s="2" t="n">
        <v>700</v>
      </c>
      <c r="C75" s="2" t="n">
        <v>700</v>
      </c>
      <c r="D75" s="2">
        <f>(B75+C75)/2</f>
        <v/>
      </c>
      <c r="E75" s="9" t="n">
        <v>4.516524136639497</v>
      </c>
      <c r="F75" t="inlineStr">
        <is>
          <t>3-5 mi</t>
        </is>
      </c>
      <c r="G75" t="inlineStr">
        <is>
          <t>jkg82q6</t>
        </is>
      </c>
      <c r="H75" t="inlineStr">
        <is>
          <t>https://offcampus.dasa.ncsu.edu/housing/property/room-in-house-on-joyner-pl/jkg82q6</t>
        </is>
      </c>
    </row>
    <row r="76">
      <c r="A76" t="inlineStr">
        <is>
          <t>Room in House on Quartz Ct</t>
        </is>
      </c>
      <c r="B76" s="2" t="n">
        <v>685</v>
      </c>
      <c r="C76" s="2" t="n">
        <v>685</v>
      </c>
      <c r="D76" s="2">
        <f>(B76+C76)/2</f>
        <v/>
      </c>
      <c r="E76" s="9" t="n">
        <v>4.73061912195772</v>
      </c>
      <c r="F76" t="inlineStr">
        <is>
          <t>3-5 mi</t>
        </is>
      </c>
      <c r="G76" t="inlineStr">
        <is>
          <t>bq6wzsb</t>
        </is>
      </c>
      <c r="H76" t="inlineStr">
        <is>
          <t>https://offcampus.dasa.ncsu.edu/housing/property/room-in-house-on-quartz-ct/bq6wzsb</t>
        </is>
      </c>
    </row>
    <row r="77">
      <c r="A77" t="inlineStr">
        <is>
          <t>Room in Townhome on Haskell Dr</t>
        </is>
      </c>
      <c r="B77" s="2" t="n">
        <v>563</v>
      </c>
      <c r="C77" s="2" t="n">
        <v>563</v>
      </c>
      <c r="D77" s="2">
        <f>(B77+C77)/2</f>
        <v/>
      </c>
      <c r="E77" s="9" t="n">
        <v>4.067310842214011</v>
      </c>
      <c r="F77" t="inlineStr">
        <is>
          <t>3-5 mi</t>
        </is>
      </c>
      <c r="G77" t="inlineStr">
        <is>
          <t>49jmmdh</t>
        </is>
      </c>
      <c r="H77" t="inlineStr">
        <is>
          <t>https://offcampus.dasa.ncsu.edu/housing/property/room-in-townhome-on-haskell-dr/49jmmdh</t>
        </is>
      </c>
    </row>
    <row r="78">
      <c r="A78" t="inlineStr">
        <is>
          <t>Room in Townhome on Macedonia Lake Dr</t>
        </is>
      </c>
      <c r="B78" s="2" t="n">
        <v>800</v>
      </c>
      <c r="C78" s="2" t="n">
        <v>800</v>
      </c>
      <c r="D78" s="2">
        <f>(B78+C78)/2</f>
        <v/>
      </c>
      <c r="E78" s="9" t="n">
        <v>4.036728025563669</v>
      </c>
      <c r="F78" t="inlineStr">
        <is>
          <t>3-5 mi</t>
        </is>
      </c>
      <c r="G78" t="inlineStr">
        <is>
          <t>9m73sq5</t>
        </is>
      </c>
      <c r="H78" t="inlineStr">
        <is>
          <t>https://offcampus.dasa.ncsu.edu/housing/property/room-in-townhome-on-macedonia-lake-dr/9m73sq5</t>
        </is>
      </c>
    </row>
    <row r="79"/>
    <row r="80"/>
    <row r="81">
      <c r="A81" s="10" t="inlineStr">
        <is>
          <t>Prices used (COUNT)</t>
        </is>
      </c>
      <c r="B81" s="10">
        <f>COUNT(B5:B78)</f>
        <v/>
      </c>
      <c r="C81" s="10">
        <f>COUNT(C5:C78)</f>
        <v/>
      </c>
      <c r="D81" s="10">
        <f>COUNT(D5:D78)</f>
        <v/>
      </c>
    </row>
    <row r="82">
      <c r="A82" s="10" t="inlineStr">
        <is>
          <t>Total advertised rent (SUM)</t>
        </is>
      </c>
      <c r="B82" s="2">
        <f>SUM(B5:B78)</f>
        <v/>
      </c>
      <c r="C82" s="2">
        <f>SUM(C5:C78)</f>
        <v/>
      </c>
      <c r="D82" s="2">
        <f>SUM(D5:D78)</f>
        <v/>
      </c>
    </row>
    <row r="83">
      <c r="A83" s="10" t="inlineStr">
        <is>
          <t>Average (sum / count)</t>
        </is>
      </c>
      <c r="B83" s="2">
        <f>B82/B81</f>
        <v/>
      </c>
      <c r="C83" s="2">
        <f>C82/C81</f>
        <v/>
      </c>
      <c r="D83" s="2">
        <f>D82/D81</f>
        <v/>
      </c>
    </row>
    <row r="84">
      <c r="A84" s="10" t="inlineStr">
        <is>
          <t>Median listing midpoint</t>
        </is>
      </c>
      <c r="B84" s="2" t="n"/>
      <c r="C84" s="2" t="n"/>
      <c r="D84" s="2">
        <f>MEDIAN(D5:D78)</f>
        <v/>
      </c>
    </row>
    <row r="85"/>
    <row r="86"/>
    <row r="87">
      <c r="A87" s="11" t="inlineStr">
        <is>
          <t>Main Campus band</t>
        </is>
      </c>
      <c r="B87" s="11" t="inlineStr">
        <is>
          <t>Listings</t>
        </is>
      </c>
      <c r="C87" s="11" t="inlineStr">
        <is>
          <t>Low-price sum</t>
        </is>
      </c>
      <c r="D87" s="11" t="inlineStr">
        <is>
          <t>High-price sum</t>
        </is>
      </c>
      <c r="E87" s="11" t="inlineStr">
        <is>
          <t>Midpoint sum</t>
        </is>
      </c>
      <c r="F87" s="11" t="inlineStr">
        <is>
          <t>Mean midpoint</t>
        </is>
      </c>
    </row>
    <row r="88">
      <c r="A88" s="10" t="inlineStr">
        <is>
          <t>0-1 mi</t>
        </is>
      </c>
      <c r="B88" s="12">
        <f>COUNTIF($F$5:$F78,A88)</f>
        <v/>
      </c>
      <c r="C88" s="2">
        <f>SUMIF($F$5:$F78,A88,$B$5:$B78)</f>
        <v/>
      </c>
      <c r="D88" s="2">
        <f>SUMIF($F$5:$F78,A88,$C$5:$C78)</f>
        <v/>
      </c>
      <c r="E88" s="2">
        <f>SUMIF($F$5:$F78,A88,$D$5:$D78)</f>
        <v/>
      </c>
      <c r="F88" s="2">
        <f>E88/B88</f>
        <v/>
      </c>
    </row>
    <row r="89">
      <c r="A89" s="10" t="inlineStr">
        <is>
          <t>1-3 mi</t>
        </is>
      </c>
      <c r="B89" s="12">
        <f>COUNTIF($F$5:$F78,A89)</f>
        <v/>
      </c>
      <c r="C89" s="2">
        <f>SUMIF($F$5:$F78,A89,$B$5:$B78)</f>
        <v/>
      </c>
      <c r="D89" s="2">
        <f>SUMIF($F$5:$F78,A89,$C$5:$C78)</f>
        <v/>
      </c>
      <c r="E89" s="2">
        <f>SUMIF($F$5:$F78,A89,$D$5:$D78)</f>
        <v/>
      </c>
      <c r="F89" s="2">
        <f>E89/B89</f>
        <v/>
      </c>
    </row>
    <row r="90">
      <c r="A90" s="10" t="inlineStr">
        <is>
          <t>3-5 mi</t>
        </is>
      </c>
      <c r="B90" s="12">
        <f>COUNTIF($F$5:$F78,A90)</f>
        <v/>
      </c>
      <c r="C90" s="2">
        <f>SUMIF($F$5:$F78,A90,$B$5:$B78)</f>
        <v/>
      </c>
      <c r="D90" s="2">
        <f>SUMIF($F$5:$F78,A90,$C$5:$C78)</f>
        <v/>
      </c>
      <c r="E90" s="2">
        <f>SUMIF($F$5:$F78,A90,$D$5:$D78)</f>
        <v/>
      </c>
      <c r="F90" s="2">
        <f>E90/B90</f>
        <v/>
      </c>
    </row>
    <row r="91">
      <c r="A91" s="10" t="inlineStr">
        <is>
          <t>All three bands</t>
        </is>
      </c>
      <c r="B91" s="10">
        <f>SUM(B88:B90)</f>
        <v/>
      </c>
      <c r="C91" s="13">
        <f>SUM(C88:C90)</f>
        <v/>
      </c>
      <c r="D91" s="13">
        <f>SUM(D88:D90)</f>
        <v/>
      </c>
      <c r="E91" s="13">
        <f>SUM(E88:E90)</f>
        <v/>
      </c>
      <c r="F91" s="13">
        <f>E91/B91</f>
        <v/>
      </c>
    </row>
    <row r="92"/>
    <row r="93"/>
    <row r="94">
      <c r="A94" s="14" t="inlineStr">
        <is>
          <t>Draft page check</t>
        </is>
      </c>
      <c r="B94" s="11" t="inlineStr">
        <is>
          <t>Rounded average low</t>
        </is>
      </c>
      <c r="C94" s="14" t="inlineStr">
        <is>
          <t>Rounded average high</t>
        </is>
      </c>
      <c r="D94" s="14" t="inlineStr">
        <is>
          <t>Rounded midpoint</t>
        </is>
      </c>
    </row>
    <row r="95">
      <c r="A95" s="10" t="inlineStr">
        <is>
          <t>Displayed values</t>
        </is>
      </c>
      <c r="B95" s="15">
        <f>ROUND(B83,0)</f>
        <v/>
      </c>
      <c r="C95" s="16">
        <f>ROUND(C83,0)</f>
        <v/>
      </c>
      <c r="D95" s="16">
        <f>ROUND(D83,0)</f>
        <v/>
      </c>
    </row>
  </sheetData>
  <autoFilter ref="A4:H78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54" customWidth="1" min="7" max="7"/>
  </cols>
  <sheetData>
    <row r="1">
      <c r="A1" s="6" t="inlineStr">
        <is>
          <t>Main 0-1 mi</t>
        </is>
      </c>
    </row>
    <row r="2">
      <c r="A2" s="5" t="inlineStr">
        <is>
          <t>Sept. 9, 2026 advertised-price snapshot. One vote per listing; midpoint=(low+high)/2.</t>
        </is>
      </c>
    </row>
    <row r="4">
      <c r="A4" s="1" t="inlineStr">
        <is>
          <t>Listing name</t>
        </is>
      </c>
      <c r="B4" s="1" t="inlineStr">
        <is>
          <t>Low ($/month)</t>
        </is>
      </c>
      <c r="C4" s="1" t="inlineStr">
        <is>
          <t>High ($/month)</t>
        </is>
      </c>
      <c r="D4" s="1" t="inlineStr">
        <is>
          <t>Midpoint ($/month)</t>
        </is>
      </c>
      <c r="E4" s="1" t="inlineStr">
        <is>
          <t>Distance (mi)</t>
        </is>
      </c>
      <c r="F4" s="1" t="inlineStr">
        <is>
          <t>Listing ID</t>
        </is>
      </c>
      <c r="G4" s="1" t="inlineStr">
        <is>
          <t>Source URL</t>
        </is>
      </c>
    </row>
    <row r="5">
      <c r="A5" t="inlineStr">
        <is>
          <t>"Avery Close " condos room available across from Centennial Campus NCSU NC State Raleigh</t>
        </is>
      </c>
      <c r="B5" s="2" t="n">
        <v>750</v>
      </c>
      <c r="C5" s="2" t="n">
        <v>750</v>
      </c>
      <c r="D5" s="2">
        <f>(B5+C5)/2</f>
        <v/>
      </c>
      <c r="E5" s="3" t="n">
        <v>0.3760481046808826</v>
      </c>
      <c r="F5" t="inlineStr">
        <is>
          <t>ocpsnmx4w4</t>
        </is>
      </c>
      <c r="G5" t="inlineStr">
        <is>
          <t>https://offcampus.dasa.ncsu.edu/housing/property/avery-close-condos-room-available-across-from-centennial-campus-ncsu-nc-state-raleigh/ocpsnmx4w4</t>
        </is>
      </c>
    </row>
    <row r="6">
      <c r="A6" t="inlineStr">
        <is>
          <t>$3600 saving on 2*2 Sublet at Stanhope Apartment for NC STATE</t>
        </is>
      </c>
      <c r="B6" s="2" t="n">
        <v>550</v>
      </c>
      <c r="C6" s="2" t="n">
        <v>550</v>
      </c>
      <c r="D6" s="2">
        <f>(B6+C6)/2</f>
        <v/>
      </c>
      <c r="E6" s="3" t="n">
        <v>0.7024681108580499</v>
      </c>
      <c r="F6" t="inlineStr">
        <is>
          <t>ocpd9wnxdk</t>
        </is>
      </c>
      <c r="G6" t="inlineStr">
        <is>
          <t>https://offcampus.dasa.ncsu.edu/housing/property/3600-saving-on-2-2-sublet-at-stanhope-apartment-for-nc-state/ocpd9wnxdk</t>
        </is>
      </c>
    </row>
    <row r="7">
      <c r="A7" t="inlineStr">
        <is>
          <t>105 Friendly Drive! Furnished Room Rentals with Utilities!</t>
        </is>
      </c>
      <c r="B7" s="2" t="n">
        <v>775</v>
      </c>
      <c r="C7" s="2" t="n">
        <v>1050</v>
      </c>
      <c r="D7" s="2">
        <f>(B7+C7)/2</f>
        <v/>
      </c>
      <c r="E7" s="3" t="n">
        <v>0.7343021957287743</v>
      </c>
      <c r="F7" t="inlineStr">
        <is>
          <t>ocphdtdgk2</t>
        </is>
      </c>
      <c r="G7" t="inlineStr">
        <is>
          <t>https://offcampus.dasa.ncsu.edu/housing/property/105-friendly-drive-furnished-room-rentals-with-utilities/ocphdtdgk2</t>
        </is>
      </c>
    </row>
    <row r="8">
      <c r="A8" t="inlineStr">
        <is>
          <t>4BR/4BA Condo| On Wolfline | Preleasing 27-28 Special $850 Util/Parking Incld | Mile to Campus</t>
        </is>
      </c>
      <c r="B8" s="2" t="n">
        <v>875</v>
      </c>
      <c r="C8" s="2" t="n">
        <v>875</v>
      </c>
      <c r="D8" s="2">
        <f>(B8+C8)/2</f>
        <v/>
      </c>
      <c r="E8" s="3" t="n">
        <v>0.6554114366280899</v>
      </c>
      <c r="F8" t="inlineStr">
        <is>
          <t>ocpxdxd79p</t>
        </is>
      </c>
      <c r="G8" t="inlineStr">
        <is>
          <t>https://offcampus.dasa.ncsu.edu/housing/property/4br-4ba-condo-on-wolfline-preleasing-27-28-special-850-util-parking-incld-mile-to-campus/ocpxdxd79p</t>
        </is>
      </c>
    </row>
    <row r="9">
      <c r="A9" t="inlineStr">
        <is>
          <t>Affordable Student Housing 1 Block from Campus on Wolf Line</t>
        </is>
      </c>
      <c r="B9" s="2" t="n">
        <v>640</v>
      </c>
      <c r="C9" s="2" t="n">
        <v>640</v>
      </c>
      <c r="D9" s="2">
        <f>(B9+C9)/2</f>
        <v/>
      </c>
      <c r="E9" s="3" t="n">
        <v>0.4434046525051278</v>
      </c>
      <c r="F9" t="inlineStr">
        <is>
          <t>ocph8n0fc0</t>
        </is>
      </c>
      <c r="G9" t="inlineStr">
        <is>
          <t>https://offcampus.dasa.ncsu.edu/housing/property/affordable-student-housing-1-block-from-campus-on-wolf-line/ocph8n0fc0</t>
        </is>
      </c>
    </row>
    <row r="10">
      <c r="A10" t="inlineStr">
        <is>
          <t>Big Promotion w/best price ever. Move in Immediately . MarcomTowns. Great location nice</t>
        </is>
      </c>
      <c r="B10" s="2" t="n">
        <v>950</v>
      </c>
      <c r="C10" s="2" t="n">
        <v>950</v>
      </c>
      <c r="D10" s="2">
        <f>(B10+C10)/2</f>
        <v/>
      </c>
      <c r="E10" s="3" t="n">
        <v>0.2434893676842173</v>
      </c>
      <c r="F10" t="inlineStr">
        <is>
          <t>ocpe1n95cm</t>
        </is>
      </c>
      <c r="G10" t="inlineStr">
        <is>
          <t>https://offcampus.dasa.ncsu.edu/housing/property/big-promotion-w-best-price-ever-move-in-immediately-marcomtowns-great-location-nice/ocpe1n95cm</t>
        </is>
      </c>
    </row>
    <row r="11">
      <c r="A11" t="inlineStr">
        <is>
          <t>Brickside</t>
        </is>
      </c>
      <c r="B11" s="2" t="n">
        <v>999</v>
      </c>
      <c r="C11" s="2" t="n">
        <v>1825</v>
      </c>
      <c r="D11" s="2">
        <f>(B11+C11)/2</f>
        <v/>
      </c>
      <c r="E11" s="3" t="n">
        <v>0.9078761874286304</v>
      </c>
      <c r="F11" t="inlineStr">
        <is>
          <t>75medjw</t>
        </is>
      </c>
      <c r="G11" t="inlineStr">
        <is>
          <t>https://offcampus.dasa.ncsu.edu/housing/property/brickside/75medjw</t>
        </is>
      </c>
    </row>
    <row r="12">
      <c r="A12" t="inlineStr">
        <is>
          <t>Burt Drive Townhouses---Brand New Luxury Housing within walking distance to NCSU</t>
        </is>
      </c>
      <c r="B12" s="2" t="n">
        <v>1050</v>
      </c>
      <c r="C12" s="2" t="n">
        <v>1050</v>
      </c>
      <c r="D12" s="2">
        <f>(B12+C12)/2</f>
        <v/>
      </c>
      <c r="E12" s="3" t="n">
        <v>0.3398874573658709</v>
      </c>
      <c r="F12" t="inlineStr">
        <is>
          <t>ocpm68s5sh</t>
        </is>
      </c>
      <c r="G12" t="inlineStr">
        <is>
          <t>https://offcampus.dasa.ncsu.edu/housing/property/burt-drive-townhouses-brand-new-luxury-housing-within-walking-distance-to-ncsu/ocpm68s5sh</t>
        </is>
      </c>
    </row>
    <row r="13">
      <c r="A13" t="inlineStr">
        <is>
          <t>College Inn</t>
        </is>
      </c>
      <c r="B13" s="2" t="n">
        <v>859</v>
      </c>
      <c r="C13" s="2" t="n">
        <v>1275</v>
      </c>
      <c r="D13" s="2">
        <f>(B13+C13)/2</f>
        <v/>
      </c>
      <c r="E13" s="3" t="n">
        <v>0.2464607774894674</v>
      </c>
      <c r="F13" t="inlineStr">
        <is>
          <t>se736e5</t>
        </is>
      </c>
      <c r="G13" t="inlineStr">
        <is>
          <t>https://offcampus.dasa.ncsu.edu/housing/property/college-inn/se736e5</t>
        </is>
      </c>
    </row>
    <row r="14">
      <c r="A14" t="inlineStr">
        <is>
          <t>Collegeview Duplex--Brand New Luxury Housing within walking distance to NCSU</t>
        </is>
      </c>
      <c r="B14" s="2" t="n">
        <v>900</v>
      </c>
      <c r="C14" s="2" t="n">
        <v>950</v>
      </c>
      <c r="D14" s="2">
        <f>(B14+C14)/2</f>
        <v/>
      </c>
      <c r="E14" s="3" t="n">
        <v>0.2491525327280099</v>
      </c>
      <c r="F14" t="inlineStr">
        <is>
          <t>ocppjxdd3r</t>
        </is>
      </c>
      <c r="G14" t="inlineStr">
        <is>
          <t>https://offcampus.dasa.ncsu.edu/housing/property/collegeview-duplex-brand-new-luxury-housing-within-walking-distance-to-ncsu/ocppjxdd3r</t>
        </is>
      </c>
    </row>
    <row r="15">
      <c r="A15" t="inlineStr">
        <is>
          <t>Convenient Kaplan Dr property near NCSU buses, park, grocery, with parking space &amp; private bathroom</t>
        </is>
      </c>
      <c r="B15" s="2" t="n">
        <v>675</v>
      </c>
      <c r="C15" s="2" t="n">
        <v>675</v>
      </c>
      <c r="D15" s="2">
        <f>(B15+C15)/2</f>
        <v/>
      </c>
      <c r="E15" s="3" t="n">
        <v>0.7168551166717222</v>
      </c>
      <c r="F15" t="inlineStr">
        <is>
          <t>ocp5lwrmvq</t>
        </is>
      </c>
      <c r="G15" t="inlineStr">
        <is>
          <t>https://offcampus.dasa.ncsu.edu/housing/property/convenient-kaplan-dr-property-near-ncsu-buses-park-grocery-with-parking-space-and-private-bathroom/ocp5lwrmvq</t>
        </is>
      </c>
    </row>
    <row r="16">
      <c r="A16" t="inlineStr">
        <is>
          <t>Reavis ---Brand New Luxury Housing within walking distance to NCSU</t>
        </is>
      </c>
      <c r="B16" s="2" t="n">
        <v>925</v>
      </c>
      <c r="C16" s="2" t="n">
        <v>975</v>
      </c>
      <c r="D16" s="2">
        <f>(B16+C16)/2</f>
        <v/>
      </c>
      <c r="E16" s="3" t="n">
        <v>0.8460792131088813</v>
      </c>
      <c r="F16" t="inlineStr">
        <is>
          <t>ocpvlydr3e</t>
        </is>
      </c>
      <c r="G16" t="inlineStr">
        <is>
          <t>https://offcampus.dasa.ncsu.edu/housing/property/reavis-brand-new-luxury-housing-within-walking-distance-to-ncsu/ocpvlydr3e</t>
        </is>
      </c>
    </row>
    <row r="17">
      <c r="A17" t="inlineStr">
        <is>
          <t>Redfield Villages</t>
        </is>
      </c>
      <c r="B17" s="2" t="n">
        <v>799</v>
      </c>
      <c r="C17" s="2" t="n">
        <v>899</v>
      </c>
      <c r="D17" s="2">
        <f>(B17+C17)/2</f>
        <v/>
      </c>
      <c r="E17" s="3" t="n">
        <v>0.5629608787051384</v>
      </c>
      <c r="F17" t="inlineStr">
        <is>
          <t>h2l8mh2</t>
        </is>
      </c>
      <c r="G17" t="inlineStr">
        <is>
          <t>https://offcampus.dasa.ncsu.edu/housing/property/redfield-villages/h2l8mh2</t>
        </is>
      </c>
    </row>
    <row r="18">
      <c r="A18" t="inlineStr">
        <is>
          <t>Spacious bedroom with private bath in 2BR townhome – 5 minutes to NC State</t>
        </is>
      </c>
      <c r="B18" s="2" t="n">
        <v>800</v>
      </c>
      <c r="C18" s="2" t="n">
        <v>800</v>
      </c>
      <c r="D18" s="2">
        <f>(B18+C18)/2</f>
        <v/>
      </c>
      <c r="E18" s="3" t="n">
        <v>0.541658593294487</v>
      </c>
      <c r="F18" t="inlineStr">
        <is>
          <t>ocpszex2v4</t>
        </is>
      </c>
      <c r="G18" t="inlineStr">
        <is>
          <t>https://offcampus.dasa.ncsu.edu/housing/property/spacious-bedroom-with-private-bath-in-2br-townhome-5-minutes-to-nc-state/ocpszex2v4</t>
        </is>
      </c>
    </row>
    <row r="19">
      <c r="A19" t="inlineStr">
        <is>
          <t>Stanhope Student Apartments</t>
        </is>
      </c>
      <c r="B19" s="2" t="n">
        <v>1300</v>
      </c>
      <c r="C19" s="2" t="n">
        <v>1300</v>
      </c>
      <c r="D19" s="2">
        <f>(B19+C19)/2</f>
        <v/>
      </c>
      <c r="E19" s="3" t="n">
        <v>0.7024681108580499</v>
      </c>
      <c r="F19" t="inlineStr">
        <is>
          <t>ocpk5yz73b</t>
        </is>
      </c>
      <c r="G19" t="inlineStr">
        <is>
          <t>https://offcampus.dasa.ncsu.edu/housing/property/stanhope-student-apartments/ocpk5yz73b</t>
        </is>
      </c>
    </row>
    <row r="20">
      <c r="A20" t="inlineStr">
        <is>
          <t>University Oaks</t>
        </is>
      </c>
      <c r="B20" s="2" t="n">
        <v>725</v>
      </c>
      <c r="C20" s="2" t="n">
        <v>725</v>
      </c>
      <c r="D20" s="2">
        <f>(B20+C20)/2</f>
        <v/>
      </c>
      <c r="E20" s="3" t="n">
        <v>0.4569144071179652</v>
      </c>
      <c r="F20" t="inlineStr">
        <is>
          <t>ocp4t7wmxk</t>
        </is>
      </c>
      <c r="G20" t="inlineStr">
        <is>
          <t>https://offcampus.dasa.ncsu.edu/housing/property/university-oaks/ocp4t7wmxk</t>
        </is>
      </c>
    </row>
    <row r="21">
      <c r="A21" t="inlineStr">
        <is>
          <t>University Oaks -</t>
        </is>
      </c>
      <c r="B21" s="2" t="n">
        <v>725</v>
      </c>
      <c r="C21" s="2" t="n">
        <v>725</v>
      </c>
      <c r="D21" s="2">
        <f>(B21+C21)/2</f>
        <v/>
      </c>
      <c r="E21" s="3" t="n">
        <v>0.4400319491563999</v>
      </c>
      <c r="F21" t="inlineStr">
        <is>
          <t>ocp2evl6hb</t>
        </is>
      </c>
      <c r="G21" t="inlineStr">
        <is>
          <t>https://offcampus.dasa.ncsu.edu/housing/property/university-oaks/ocp2evl6hb</t>
        </is>
      </c>
    </row>
    <row r="22">
      <c r="A22" t="inlineStr">
        <is>
          <t>Valentine Commons</t>
        </is>
      </c>
      <c r="B22" s="2" t="n">
        <v>1000</v>
      </c>
      <c r="C22" s="2" t="n">
        <v>1300</v>
      </c>
      <c r="D22" s="2">
        <f>(B22+C22)/2</f>
        <v/>
      </c>
      <c r="E22" s="3" t="n">
        <v>0.6360066417040893</v>
      </c>
      <c r="F22" t="inlineStr">
        <is>
          <t>ocp5cx5drn</t>
        </is>
      </c>
      <c r="G22" t="inlineStr">
        <is>
          <t>https://offcampus.dasa.ncsu.edu/housing/property/valentine-commons/ocp5cx5drn</t>
        </is>
      </c>
    </row>
    <row r="23"/>
    <row r="24">
      <c r="A24" s="4" t="inlineStr">
        <is>
          <t>Prices used (COUNT)</t>
        </is>
      </c>
      <c r="B24" s="4">
        <f>COUNT(B5:B22)</f>
        <v/>
      </c>
      <c r="C24" s="4">
        <f>COUNT(C5:C22)</f>
        <v/>
      </c>
      <c r="D24" s="4">
        <f>COUNT(D5:D22)</f>
        <v/>
      </c>
    </row>
    <row r="25">
      <c r="A25" s="4" t="inlineStr">
        <is>
          <t>Total advertised rent (SUM)</t>
        </is>
      </c>
      <c r="B25" s="2">
        <f>SUM(B5:B22)</f>
        <v/>
      </c>
      <c r="C25" s="2">
        <f>SUM(C5:C22)</f>
        <v/>
      </c>
      <c r="D25" s="2">
        <f>SUM(D5:D22)</f>
        <v/>
      </c>
    </row>
    <row r="26">
      <c r="A26" s="4" t="inlineStr">
        <is>
          <t>Average (sum / count)</t>
        </is>
      </c>
      <c r="B26" s="2">
        <f>B25/B24</f>
        <v/>
      </c>
      <c r="C26" s="2">
        <f>C25/C24</f>
        <v/>
      </c>
      <c r="D26" s="2">
        <f>D25/D24</f>
        <v/>
      </c>
    </row>
    <row r="27">
      <c r="A27" s="4" t="inlineStr">
        <is>
          <t>Median listing midpoint</t>
        </is>
      </c>
      <c r="D27" s="2">
        <f>MEDIAN(D5:D22)</f>
        <v/>
      </c>
    </row>
  </sheetData>
  <autoFilter ref="A4:G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54" customWidth="1" min="7" max="7"/>
  </cols>
  <sheetData>
    <row r="1">
      <c r="A1" s="6" t="inlineStr">
        <is>
          <t>Main 1-3 mi</t>
        </is>
      </c>
    </row>
    <row r="2">
      <c r="A2" s="5" t="inlineStr">
        <is>
          <t>Sept. 9, 2026 advertised-price snapshot. One vote per listing; midpoint=(low+high)/2.</t>
        </is>
      </c>
    </row>
    <row r="4">
      <c r="A4" s="1" t="inlineStr">
        <is>
          <t>Listing name</t>
        </is>
      </c>
      <c r="B4" s="1" t="inlineStr">
        <is>
          <t>Low ($/month)</t>
        </is>
      </c>
      <c r="C4" s="1" t="inlineStr">
        <is>
          <t>High ($/month)</t>
        </is>
      </c>
      <c r="D4" s="1" t="inlineStr">
        <is>
          <t>Midpoint ($/month)</t>
        </is>
      </c>
      <c r="E4" s="1" t="inlineStr">
        <is>
          <t>Distance (mi)</t>
        </is>
      </c>
      <c r="F4" s="1" t="inlineStr">
        <is>
          <t>Listing ID</t>
        </is>
      </c>
      <c r="G4" s="1" t="inlineStr">
        <is>
          <t>Source URL</t>
        </is>
      </c>
    </row>
    <row r="5">
      <c r="A5" t="inlineStr">
        <is>
          <t>1st Month FREE!</t>
        </is>
      </c>
      <c r="B5" s="2" t="n">
        <v>625</v>
      </c>
      <c r="C5" s="2" t="n">
        <v>625</v>
      </c>
      <c r="D5" s="2">
        <f>(B5+C5)/2</f>
        <v/>
      </c>
      <c r="E5" s="3" t="n">
        <v>2.215850713288853</v>
      </c>
      <c r="F5" t="inlineStr">
        <is>
          <t>ocpq292qyw</t>
        </is>
      </c>
      <c r="G5" t="inlineStr">
        <is>
          <t>https://offcampus.dasa.ncsu.edu/housing/property/1st-month-free/ocpq292qyw</t>
        </is>
      </c>
    </row>
    <row r="6">
      <c r="A6" t="inlineStr">
        <is>
          <t>4bed 4bath Apartment Near Centennial Campus</t>
        </is>
      </c>
      <c r="B6" s="2" t="n">
        <v>725</v>
      </c>
      <c r="C6" s="2" t="n">
        <v>725</v>
      </c>
      <c r="D6" s="2">
        <f>(B6+C6)/2</f>
        <v/>
      </c>
      <c r="E6" s="3" t="n">
        <v>1.590319280873951</v>
      </c>
      <c r="F6" t="inlineStr">
        <is>
          <t>ocpsq86tm4</t>
        </is>
      </c>
      <c r="G6" t="inlineStr">
        <is>
          <t>https://offcampus.dasa.ncsu.edu/housing/property/4bed-4bath-apartment-near-centennial-campus/ocpsq86tm4</t>
        </is>
      </c>
    </row>
    <row r="7">
      <c r="A7" t="inlineStr">
        <is>
          <t>5 bedroom townhome available near NC State</t>
        </is>
      </c>
      <c r="B7" s="2" t="n">
        <v>650</v>
      </c>
      <c r="C7" s="2" t="n">
        <v>650</v>
      </c>
      <c r="D7" s="2">
        <f>(B7+C7)/2</f>
        <v/>
      </c>
      <c r="E7" s="3" t="n">
        <v>2.375235558770843</v>
      </c>
      <c r="F7" t="inlineStr">
        <is>
          <t>ocppbmmgnt</t>
        </is>
      </c>
      <c r="G7" t="inlineStr">
        <is>
          <t>https://offcampus.dasa.ncsu.edu/housing/property/5-bedroom-townhome-available-near-nc-state/ocppbmmgnt</t>
        </is>
      </c>
    </row>
    <row r="8">
      <c r="A8" t="inlineStr">
        <is>
          <t>All Girls Unit - Room with Private Bathroom at  University Woods at Centennial Condominiums</t>
        </is>
      </c>
      <c r="B8" s="2" t="n">
        <v>645</v>
      </c>
      <c r="C8" s="2" t="n">
        <v>645</v>
      </c>
      <c r="D8" s="2">
        <f>(B8+C8)/2</f>
        <v/>
      </c>
      <c r="E8" s="3" t="n">
        <v>2.188347488400858</v>
      </c>
      <c r="F8" t="inlineStr">
        <is>
          <t>ocpjeweyz6</t>
        </is>
      </c>
      <c r="G8" t="inlineStr">
        <is>
          <t>https://offcampus.dasa.ncsu.edu/housing/property/all-girls-unit-room-with-private-bathroom-at-university-woods-at-centennial-condominiums/ocpjeweyz6</t>
        </is>
      </c>
    </row>
    <row r="9">
      <c r="A9" t="inlineStr">
        <is>
          <t>An apartments with 3 bed and 3 bath for NC State Students www.ncstudentsliving.com</t>
        </is>
      </c>
      <c r="B9" s="2" t="n">
        <v>650</v>
      </c>
      <c r="C9" s="2" t="n">
        <v>650</v>
      </c>
      <c r="D9" s="2">
        <f>(B9+C9)/2</f>
        <v/>
      </c>
      <c r="E9" s="3" t="n">
        <v>2.262000465006402</v>
      </c>
      <c r="F9" t="inlineStr">
        <is>
          <t>ocp0psn632</t>
        </is>
      </c>
      <c r="G9" t="inlineStr">
        <is>
          <t>https://offcampus.dasa.ncsu.edu/housing/property/an-apartments-with-3-bed-and-3-bath-for-nc-state-students-www-ncstudentsliving-com/ocp0psn632</t>
        </is>
      </c>
    </row>
    <row r="10">
      <c r="A10" t="inlineStr">
        <is>
          <t>Apartment close to NCSU</t>
        </is>
      </c>
      <c r="B10" s="2" t="n">
        <v>645</v>
      </c>
      <c r="C10" s="2" t="n">
        <v>645</v>
      </c>
      <c r="D10" s="2">
        <f>(B10+C10)/2</f>
        <v/>
      </c>
      <c r="E10" s="3" t="n">
        <v>1.653317243176871</v>
      </c>
      <c r="F10" t="inlineStr">
        <is>
          <t>ocpq99qjpx</t>
        </is>
      </c>
      <c r="G10" t="inlineStr">
        <is>
          <t>https://offcampus.dasa.ncsu.edu/housing/property/apartment-close-to-ncsu/ocpq99qjpx</t>
        </is>
      </c>
    </row>
    <row r="11">
      <c r="A11" t="inlineStr">
        <is>
          <t>Campus Crossings Raleigh</t>
        </is>
      </c>
      <c r="B11" s="2" t="n">
        <v>685</v>
      </c>
      <c r="C11" s="2" t="n">
        <v>870</v>
      </c>
      <c r="D11" s="2">
        <f>(B11+C11)/2</f>
        <v/>
      </c>
      <c r="E11" s="3" t="n">
        <v>2.420198985781634</v>
      </c>
      <c r="F11" t="inlineStr">
        <is>
          <t>z8cfdjw</t>
        </is>
      </c>
      <c r="G11" t="inlineStr">
        <is>
          <t>https://offcampus.dasa.ncsu.edu/housing/property/campus-crossings-raleigh/z8cfdjw</t>
        </is>
      </c>
    </row>
    <row r="12">
      <c r="A12" t="inlineStr">
        <is>
          <t>Campus Crossings Raleigh</t>
        </is>
      </c>
      <c r="B12" s="2" t="n">
        <v>865</v>
      </c>
      <c r="C12" s="2" t="n">
        <v>865</v>
      </c>
      <c r="D12" s="2">
        <f>(B12+C12)/2</f>
        <v/>
      </c>
      <c r="E12" s="3" t="n">
        <v>2.375099775642147</v>
      </c>
      <c r="F12" t="inlineStr">
        <is>
          <t>ocp176ghy4</t>
        </is>
      </c>
      <c r="G12" t="inlineStr">
        <is>
          <t>https://offcampus.dasa.ncsu.edu/housing/property/campus-crossings-raleigh/ocp176ghy4</t>
        </is>
      </c>
    </row>
    <row r="13">
      <c r="A13" t="inlineStr">
        <is>
          <t>Campus West at Tryon</t>
        </is>
      </c>
      <c r="B13" s="2" t="n">
        <v>699</v>
      </c>
      <c r="C13" s="2" t="n">
        <v>699</v>
      </c>
      <c r="D13" s="2">
        <f>(B13+C13)/2</f>
        <v/>
      </c>
      <c r="E13" s="3" t="n">
        <v>2.87412041751199</v>
      </c>
      <c r="F13" t="inlineStr">
        <is>
          <t>0pm7tt3</t>
        </is>
      </c>
      <c r="G13" t="inlineStr">
        <is>
          <t>https://offcampus.dasa.ncsu.edu/housing/property/campus-west-at-tryon/0pm7tt3</t>
        </is>
      </c>
    </row>
    <row r="14">
      <c r="A14" t="inlineStr">
        <is>
          <t>Centennial Ridge Student Housing</t>
        </is>
      </c>
      <c r="B14" s="2" t="n">
        <v>599</v>
      </c>
      <c r="C14" s="2" t="n">
        <v>2157</v>
      </c>
      <c r="D14" s="2">
        <f>(B14+C14)/2</f>
        <v/>
      </c>
      <c r="E14" s="3" t="n">
        <v>2.372144719109037</v>
      </c>
      <c r="F14" t="inlineStr">
        <is>
          <t>7e6kx1w</t>
        </is>
      </c>
      <c r="G14" t="inlineStr">
        <is>
          <t>https://offcampus.dasa.ncsu.edu/housing/property/centennial-ridge-student-housing/7e6kx1w</t>
        </is>
      </c>
    </row>
    <row r="15">
      <c r="A15" t="inlineStr">
        <is>
          <t>Condo near NCSU</t>
        </is>
      </c>
      <c r="B15" s="2" t="n">
        <v>800</v>
      </c>
      <c r="C15" s="2" t="n">
        <v>800</v>
      </c>
      <c r="D15" s="2">
        <f>(B15+C15)/2</f>
        <v/>
      </c>
      <c r="E15" s="3" t="n">
        <v>1.625432360728888</v>
      </c>
      <c r="F15" t="inlineStr">
        <is>
          <t>ocpx51p4tm</t>
        </is>
      </c>
      <c r="G15" t="inlineStr">
        <is>
          <t>https://offcampus.dasa.ncsu.edu/housing/property/condo-near-ncsu/ocpx51p4tm</t>
        </is>
      </c>
    </row>
    <row r="16">
      <c r="A16" t="inlineStr">
        <is>
          <t>Cozy house 10 min walk to campus</t>
        </is>
      </c>
      <c r="B16" s="2" t="n">
        <v>1500</v>
      </c>
      <c r="C16" s="2" t="n">
        <v>1500</v>
      </c>
      <c r="D16" s="2">
        <f>(B16+C16)/2</f>
        <v/>
      </c>
      <c r="E16" s="3" t="n">
        <v>1.258758083606101</v>
      </c>
      <c r="F16" t="inlineStr">
        <is>
          <t>ocphycq162</t>
        </is>
      </c>
      <c r="G16" t="inlineStr">
        <is>
          <t>https://offcampus.dasa.ncsu.edu/housing/property/cozy-house-10-min-walk-to-campus/ocphycq162</t>
        </is>
      </c>
    </row>
    <row r="17">
      <c r="A17" t="inlineStr">
        <is>
          <t>FURNISHED NCSU STUDENT HOUSING – TOWNHOME ROOM RENTAL WITH PRIVATE BATHROOM ($850/room)</t>
        </is>
      </c>
      <c r="B17" s="2" t="n">
        <v>850</v>
      </c>
      <c r="C17" s="2" t="n">
        <v>850</v>
      </c>
      <c r="D17" s="2">
        <f>(B17+C17)/2</f>
        <v/>
      </c>
      <c r="E17" s="3" t="n">
        <v>2.435520930724833</v>
      </c>
      <c r="F17" t="inlineStr">
        <is>
          <t>ocpx3vt61n</t>
        </is>
      </c>
      <c r="G17" t="inlineStr">
        <is>
          <t>https://offcampus.dasa.ncsu.edu/housing/property/furnished-ncsu-student-housing-townhome-room-rental-with-private-bathroom-850-room/ocpx3vt61n</t>
        </is>
      </c>
    </row>
    <row r="18">
      <c r="A18" t="inlineStr">
        <is>
          <t>Hub Raleigh – 4x2 Lease Takeover, Available Now</t>
        </is>
      </c>
      <c r="B18" s="2" t="n">
        <v>1199</v>
      </c>
      <c r="C18" s="2" t="n">
        <v>1199</v>
      </c>
      <c r="D18" s="2">
        <f>(B18+C18)/2</f>
        <v/>
      </c>
      <c r="E18" s="3" t="n">
        <v>1.249575868353012</v>
      </c>
      <c r="F18" t="inlineStr">
        <is>
          <t>ocp4lh373j</t>
        </is>
      </c>
      <c r="G18" t="inlineStr">
        <is>
          <t>https://offcampus.dasa.ncsu.edu/housing/property/hub-raleigh-4x2-lease-takeover-available-now/ocp4lh373j</t>
        </is>
      </c>
    </row>
    <row r="19">
      <c r="A19" t="inlineStr">
        <is>
          <t>Huge modern studio suite- private entrance and beth- near NCSU</t>
        </is>
      </c>
      <c r="B19" s="2" t="n">
        <v>1150</v>
      </c>
      <c r="C19" s="2" t="n">
        <v>1150</v>
      </c>
      <c r="D19" s="2">
        <f>(B19+C19)/2</f>
        <v/>
      </c>
      <c r="E19" s="3" t="n">
        <v>2.969896436946123</v>
      </c>
      <c r="F19" t="inlineStr">
        <is>
          <t>ocpteqgjg8</t>
        </is>
      </c>
      <c r="G19" t="inlineStr">
        <is>
          <t>https://offcampus.dasa.ncsu.edu/housing/property/huge-modern-studio-suite-private-entrance-and-beth-near-ncsu/ocpteqgjg8</t>
        </is>
      </c>
    </row>
    <row r="20">
      <c r="A20" t="inlineStr">
        <is>
          <t>Hurry 2 Rooms Left! – 4BR/4BA Condo Near NC State  – All Utilities &amp; Internet Included!</t>
        </is>
      </c>
      <c r="B20" s="2" t="n">
        <v>695</v>
      </c>
      <c r="C20" s="2" t="n">
        <v>695</v>
      </c>
      <c r="D20" s="2">
        <f>(B20+C20)/2</f>
        <v/>
      </c>
      <c r="E20" s="3" t="n">
        <v>2.192366298283417</v>
      </c>
      <c r="F20" t="inlineStr">
        <is>
          <t>ocpchygggd</t>
        </is>
      </c>
      <c r="G20" t="inlineStr">
        <is>
          <t>https://offcampus.dasa.ncsu.edu/housing/property/hurry-2-rooms-left-4br-4ba-condo-near-nc-state-all-utilities-and-internet-included/ocpchygggd</t>
        </is>
      </c>
    </row>
    <row r="21">
      <c r="A21" t="inlineStr">
        <is>
          <t>Lake Park Condos- Room Rental with Utilities</t>
        </is>
      </c>
      <c r="B21" s="2" t="n">
        <v>500</v>
      </c>
      <c r="C21" s="2" t="n">
        <v>600</v>
      </c>
      <c r="D21" s="2">
        <f>(B21+C21)/2</f>
        <v/>
      </c>
      <c r="E21" s="3" t="n">
        <v>1.637356935904425</v>
      </c>
      <c r="F21" t="inlineStr">
        <is>
          <t>ocpvgtpebg</t>
        </is>
      </c>
      <c r="G21" t="inlineStr">
        <is>
          <t>https://offcampus.dasa.ncsu.edu/housing/property/lake-park-condos-room-rental-with-utilities/ocpvgtpebg</t>
        </is>
      </c>
    </row>
    <row r="22">
      <c r="A22" t="inlineStr">
        <is>
          <t>maisonNC --- Fully Furnished minutes away from Wolfline and Shopping</t>
        </is>
      </c>
      <c r="B22" s="2" t="n">
        <v>750</v>
      </c>
      <c r="C22" s="2" t="n">
        <v>750</v>
      </c>
      <c r="D22" s="2">
        <f>(B22+C22)/2</f>
        <v/>
      </c>
      <c r="E22" s="3" t="n">
        <v>1.619349362280746</v>
      </c>
      <c r="F22" t="inlineStr">
        <is>
          <t>ocpesl9n3p</t>
        </is>
      </c>
      <c r="G22" t="inlineStr">
        <is>
          <t>https://offcampus.dasa.ncsu.edu/housing/property/maisonnc-fully-furnished-minutes-away-from-wolfline-and-shopping/ocpesl9n3p</t>
        </is>
      </c>
    </row>
    <row r="23">
      <c r="A23" t="inlineStr">
        <is>
          <t>maisonNC --- Fully Furnished minutes away from Wolfline and Shopping</t>
        </is>
      </c>
      <c r="B23" s="2" t="n">
        <v>750</v>
      </c>
      <c r="C23" s="2" t="n">
        <v>750</v>
      </c>
      <c r="D23" s="2">
        <f>(B23+C23)/2</f>
        <v/>
      </c>
      <c r="E23" s="3" t="n">
        <v>1.600371218003415</v>
      </c>
      <c r="F23" t="inlineStr">
        <is>
          <t>ocpcm3jede</t>
        </is>
      </c>
      <c r="G23" t="inlineStr">
        <is>
          <t>https://offcampus.dasa.ncsu.edu/housing/property/maisonnc-fully-furnished-minutes-away-from-wolfline-and-shopping/ocpcm3jede</t>
        </is>
      </c>
    </row>
    <row r="24">
      <c r="A24" t="inlineStr">
        <is>
          <t>Modern &amp; spacious 3BR/3BA Apartment w/View</t>
        </is>
      </c>
      <c r="B24" s="2" t="n">
        <v>1000</v>
      </c>
      <c r="C24" s="2" t="n">
        <v>1000</v>
      </c>
      <c r="D24" s="2">
        <f>(B24+C24)/2</f>
        <v/>
      </c>
      <c r="E24" s="3" t="n">
        <v>1.036129373063005</v>
      </c>
      <c r="F24" t="inlineStr">
        <is>
          <t>ocpnx5c0kn</t>
        </is>
      </c>
      <c r="G24" t="inlineStr">
        <is>
          <t>https://offcampus.dasa.ncsu.edu/housing/property/modern-and-spacious-3br-3ba-apartment-w-view/ocpnx5c0kn</t>
        </is>
      </c>
    </row>
    <row r="25">
      <c r="A25" t="inlineStr">
        <is>
          <t>Modern/High Ceilings 2bed/2 bath</t>
        </is>
      </c>
      <c r="B25" s="2" t="n">
        <v>1250</v>
      </c>
      <c r="C25" s="2" t="n">
        <v>1250</v>
      </c>
      <c r="D25" s="2">
        <f>(B25+C25)/2</f>
        <v/>
      </c>
      <c r="E25" s="3" t="n">
        <v>1.026552005179509</v>
      </c>
      <c r="F25" t="inlineStr">
        <is>
          <t>ocpet5b7hm</t>
        </is>
      </c>
      <c r="G25" t="inlineStr">
        <is>
          <t>https://offcampus.dasa.ncsu.edu/housing/property/modern-high-ceilings-2bed-2-bath/ocpet5b7hm</t>
        </is>
      </c>
    </row>
    <row r="26">
      <c r="A26" t="inlineStr">
        <is>
          <t>Newly Renovated - All Girls Unit Room with Private Bathroom</t>
        </is>
      </c>
      <c r="B26" s="2" t="n">
        <v>645</v>
      </c>
      <c r="C26" s="2" t="n">
        <v>645</v>
      </c>
      <c r="D26" s="2">
        <f>(B26+C26)/2</f>
        <v/>
      </c>
      <c r="E26" s="3" t="n">
        <v>2.193838766953507</v>
      </c>
      <c r="F26" t="inlineStr">
        <is>
          <t>ocp6mp93ms</t>
        </is>
      </c>
      <c r="G26" t="inlineStr">
        <is>
          <t>https://offcampus.dasa.ncsu.edu/housing/property/newly-renovated-all-girls-unit-room-with-private-bathroom/ocp6mp93ms</t>
        </is>
      </c>
    </row>
    <row r="27">
      <c r="A27" t="inlineStr">
        <is>
          <t>Paloma Raleigh</t>
        </is>
      </c>
      <c r="B27" s="2" t="n">
        <v>749</v>
      </c>
      <c r="C27" s="2" t="n">
        <v>1599</v>
      </c>
      <c r="D27" s="2">
        <f>(B27+C27)/2</f>
        <v/>
      </c>
      <c r="E27" s="3" t="n">
        <v>2.624931081246668</v>
      </c>
      <c r="F27" t="inlineStr">
        <is>
          <t>0smdl31</t>
        </is>
      </c>
      <c r="G27" t="inlineStr">
        <is>
          <t>https://offcampus.dasa.ncsu.edu/housing/property/paloma-raleigh/0smdl31</t>
        </is>
      </c>
    </row>
    <row r="28">
      <c r="A28" t="inlineStr">
        <is>
          <t>Redpoint Raleigh</t>
        </is>
      </c>
      <c r="B28" s="2" t="n">
        <v>899</v>
      </c>
      <c r="C28" s="2" t="n">
        <v>995</v>
      </c>
      <c r="D28" s="2">
        <f>(B28+C28)/2</f>
        <v/>
      </c>
      <c r="E28" s="3" t="n">
        <v>2.696273350307905</v>
      </c>
      <c r="F28" t="inlineStr">
        <is>
          <t>5x5ph7m</t>
        </is>
      </c>
      <c r="G28" t="inlineStr">
        <is>
          <t>https://offcampus.dasa.ncsu.edu/housing/property/redpoint-raleigh/5x5ph7m</t>
        </is>
      </c>
    </row>
    <row r="29">
      <c r="A29" t="inlineStr">
        <is>
          <t>Room in Condo on Collegiate Cir</t>
        </is>
      </c>
      <c r="B29" s="2" t="n">
        <v>675</v>
      </c>
      <c r="C29" s="2" t="n">
        <v>675</v>
      </c>
      <c r="D29" s="2">
        <f>(B29+C29)/2</f>
        <v/>
      </c>
      <c r="E29" s="3" t="n">
        <v>1.630531464821681</v>
      </c>
      <c r="F29" t="inlineStr">
        <is>
          <t>kf77vv8</t>
        </is>
      </c>
      <c r="G29" t="inlineStr">
        <is>
          <t>https://offcampus.dasa.ncsu.edu/housing/property/room-in-condo-on-collegiate-cir/kf77vv8</t>
        </is>
      </c>
    </row>
    <row r="30">
      <c r="A30" t="inlineStr">
        <is>
          <t>Room in Condo on Crab Orchard Dr</t>
        </is>
      </c>
      <c r="B30" s="2" t="n">
        <v>675</v>
      </c>
      <c r="C30" s="2" t="n">
        <v>675</v>
      </c>
      <c r="D30" s="2">
        <f>(B30+C30)/2</f>
        <v/>
      </c>
      <c r="E30" s="3" t="n">
        <v>1.660043019294766</v>
      </c>
      <c r="F30" t="inlineStr">
        <is>
          <t>pxc3rhs</t>
        </is>
      </c>
      <c r="G30" t="inlineStr">
        <is>
          <t>https://offcampus.dasa.ncsu.edu/housing/property/room-in-condo-on-crab-orchard-dr/pxc3rhs</t>
        </is>
      </c>
    </row>
    <row r="31">
      <c r="A31" t="inlineStr">
        <is>
          <t>Room in Condo on Wolfmill Dr</t>
        </is>
      </c>
      <c r="B31" s="2" t="n">
        <v>720</v>
      </c>
      <c r="C31" s="2" t="n">
        <v>720</v>
      </c>
      <c r="D31" s="2">
        <f>(B31+C31)/2</f>
        <v/>
      </c>
      <c r="E31" s="3" t="n">
        <v>2.240360935913468</v>
      </c>
      <c r="F31" t="inlineStr">
        <is>
          <t>zfenc9w</t>
        </is>
      </c>
      <c r="G31" t="inlineStr">
        <is>
          <t>https://offcampus.dasa.ncsu.edu/housing/property/room-in-condo-on-wolfmill-dr/zfenc9w</t>
        </is>
      </c>
    </row>
    <row r="32">
      <c r="A32" t="inlineStr">
        <is>
          <t>Room in House on Pineland Cir</t>
        </is>
      </c>
      <c r="B32" s="2" t="n">
        <v>700</v>
      </c>
      <c r="C32" s="2" t="n">
        <v>700</v>
      </c>
      <c r="D32" s="2">
        <f>(B32+C32)/2</f>
        <v/>
      </c>
      <c r="E32" s="3" t="n">
        <v>1.688144235164935</v>
      </c>
      <c r="F32" t="inlineStr">
        <is>
          <t>x5wd0zn</t>
        </is>
      </c>
      <c r="G32" t="inlineStr">
        <is>
          <t>https://offcampus.dasa.ncsu.edu/housing/property/room-in-house-on-pineland-cir/x5wd0zn</t>
        </is>
      </c>
    </row>
    <row r="33">
      <c r="A33" t="inlineStr">
        <is>
          <t>Room in Townhome on Ivory Run Way</t>
        </is>
      </c>
      <c r="B33" s="2" t="n">
        <v>690</v>
      </c>
      <c r="C33" s="2" t="n">
        <v>690</v>
      </c>
      <c r="D33" s="2">
        <f>(B33+C33)/2</f>
        <v/>
      </c>
      <c r="E33" s="3" t="n">
        <v>2.412561562395391</v>
      </c>
      <c r="F33" t="inlineStr">
        <is>
          <t>hz5leg1</t>
        </is>
      </c>
      <c r="G33" t="inlineStr">
        <is>
          <t>https://offcampus.dasa.ncsu.edu/housing/property/room-in-townhome-on-ivory-run-way/hz5leg1</t>
        </is>
      </c>
    </row>
    <row r="34">
      <c r="A34" t="inlineStr">
        <is>
          <t>Signature 1505</t>
        </is>
      </c>
      <c r="B34" s="2" t="n">
        <v>650</v>
      </c>
      <c r="C34" s="2" t="n">
        <v>1305</v>
      </c>
      <c r="D34" s="2">
        <f>(B34+C34)/2</f>
        <v/>
      </c>
      <c r="E34" s="3" t="n">
        <v>1.339579030176291</v>
      </c>
      <c r="F34" t="inlineStr">
        <is>
          <t>5je4q3n</t>
        </is>
      </c>
      <c r="G34" t="inlineStr">
        <is>
          <t>https://offcampus.dasa.ncsu.edu/housing/property/signature-1505/5je4q3n</t>
        </is>
      </c>
    </row>
    <row r="35">
      <c r="A35" t="inlineStr">
        <is>
          <t>Signature 1505 4X4 Apartment</t>
        </is>
      </c>
      <c r="B35" s="2" t="n">
        <v>1230</v>
      </c>
      <c r="C35" s="2" t="n">
        <v>1230</v>
      </c>
      <c r="D35" s="2">
        <f>(B35+C35)/2</f>
        <v/>
      </c>
      <c r="E35" s="3" t="n">
        <v>1.309798751011894</v>
      </c>
      <c r="F35" t="inlineStr">
        <is>
          <t>ocpszqbd35</t>
        </is>
      </c>
      <c r="G35" t="inlineStr">
        <is>
          <t>https://offcampus.dasa.ncsu.edu/housing/property/signature-1505-4x4-apartment/ocpszqbd35</t>
        </is>
      </c>
    </row>
    <row r="36">
      <c r="A36" t="inlineStr">
        <is>
          <t>Spacious En-suite with private patio and garage parking in Crescent Ridge Townhome Community</t>
        </is>
      </c>
      <c r="B36" s="2" t="n">
        <v>900</v>
      </c>
      <c r="C36" s="2" t="n">
        <v>900</v>
      </c>
      <c r="D36" s="2">
        <f>(B36+C36)/2</f>
        <v/>
      </c>
      <c r="E36" s="3" t="n">
        <v>2.725369677634238</v>
      </c>
      <c r="F36" t="inlineStr">
        <is>
          <t>ocpsd8dpj6</t>
        </is>
      </c>
      <c r="G36" t="inlineStr">
        <is>
          <t>https://offcampus.dasa.ncsu.edu/housing/property/spacious-en-suite-with-private-patio-and-garage-parking-in-crescent-ridge-townhome-community/ocpsd8dpj6</t>
        </is>
      </c>
    </row>
    <row r="37">
      <c r="A37" t="inlineStr">
        <is>
          <t>Spacious Forest Park Two-Room Suite + Private Bath - Walk to Campus (Includes Utilities)</t>
        </is>
      </c>
      <c r="B37" s="2" t="n">
        <v>1225</v>
      </c>
      <c r="C37" s="2" t="n">
        <v>1225</v>
      </c>
      <c r="D37" s="2">
        <f>(B37+C37)/2</f>
        <v/>
      </c>
      <c r="E37" s="3" t="n">
        <v>1.604060635545072</v>
      </c>
      <c r="F37" t="inlineStr">
        <is>
          <t>ocpgxr290w</t>
        </is>
      </c>
      <c r="G37" t="inlineStr">
        <is>
          <t>https://offcampus.dasa.ncsu.edu/housing/property/spacious-forest-park-two-room-suite-private-bath-walk-to-campus-includes-utilities/ocpgxr290w</t>
        </is>
      </c>
    </row>
    <row r="38">
      <c r="A38" t="inlineStr">
        <is>
          <t>The Station</t>
        </is>
      </c>
      <c r="B38" s="2" t="n">
        <v>969</v>
      </c>
      <c r="C38" s="2" t="n">
        <v>969</v>
      </c>
      <c r="D38" s="2">
        <f>(B38+C38)/2</f>
        <v/>
      </c>
      <c r="E38" s="3" t="n">
        <v>2.152909218435243</v>
      </c>
      <c r="F38" t="inlineStr">
        <is>
          <t>ocp2gxtxqc</t>
        </is>
      </c>
      <c r="G38" t="inlineStr">
        <is>
          <t>https://offcampus.dasa.ncsu.edu/housing/property/the-station/ocp2gxtxqc</t>
        </is>
      </c>
    </row>
    <row r="39">
      <c r="A39" t="inlineStr">
        <is>
          <t>The Station Raleigh</t>
        </is>
      </c>
      <c r="B39" s="2" t="n">
        <v>749</v>
      </c>
      <c r="C39" s="2" t="n">
        <v>1930</v>
      </c>
      <c r="D39" s="2">
        <f>(B39+C39)/2</f>
        <v/>
      </c>
      <c r="E39" s="3" t="n">
        <v>2.173712249435797</v>
      </c>
      <c r="F39" t="inlineStr">
        <is>
          <t>5hme2mn</t>
        </is>
      </c>
      <c r="G39" t="inlineStr">
        <is>
          <t>https://offcampus.dasa.ncsu.edu/housing/property/the-station-raleigh/5hme2mn</t>
        </is>
      </c>
    </row>
    <row r="40">
      <c r="A40" t="inlineStr">
        <is>
          <t>The Wilde</t>
        </is>
      </c>
      <c r="B40" s="2" t="n">
        <v>599</v>
      </c>
      <c r="C40" s="2" t="n">
        <v>920</v>
      </c>
      <c r="D40" s="2">
        <f>(B40+C40)/2</f>
        <v/>
      </c>
      <c r="E40" s="3" t="n">
        <v>2.029406075000037</v>
      </c>
      <c r="F40" t="inlineStr">
        <is>
          <t>syvz9l4</t>
        </is>
      </c>
      <c r="G40" t="inlineStr">
        <is>
          <t>https://offcampus.dasa.ncsu.edu/housing/property/the-wilde/syvz9l4</t>
        </is>
      </c>
    </row>
    <row r="41">
      <c r="A41" t="inlineStr">
        <is>
          <t>The Wilde</t>
        </is>
      </c>
      <c r="B41" s="2" t="n">
        <v>860</v>
      </c>
      <c r="C41" s="2" t="n">
        <v>860</v>
      </c>
      <c r="D41" s="2">
        <f>(B41+C41)/2</f>
        <v/>
      </c>
      <c r="E41" s="3" t="n">
        <v>2.038270327954621</v>
      </c>
      <c r="F41" t="inlineStr">
        <is>
          <t>ocp67ldb5s</t>
        </is>
      </c>
      <c r="G41" t="inlineStr">
        <is>
          <t>https://offcampus.dasa.ncsu.edu/housing/property/the-wilde/ocp67ldb5s</t>
        </is>
      </c>
    </row>
    <row r="42">
      <c r="A42" t="inlineStr">
        <is>
          <t>Tryon Flats Apartments</t>
        </is>
      </c>
      <c r="B42" s="2" t="n">
        <v>750</v>
      </c>
      <c r="C42" s="2" t="n">
        <v>750</v>
      </c>
      <c r="D42" s="2">
        <f>(B42+C42)/2</f>
        <v/>
      </c>
      <c r="E42" s="3" t="n">
        <v>2.493227860476078</v>
      </c>
      <c r="F42" t="inlineStr">
        <is>
          <t>xcp87fm</t>
        </is>
      </c>
      <c r="G42" t="inlineStr">
        <is>
          <t>https://offcampus.dasa.ncsu.edu/housing/property/tryon-flats-apartments/xcp87fm</t>
        </is>
      </c>
    </row>
    <row r="43">
      <c r="A43" t="inlineStr">
        <is>
          <t>University Suites Student Housing</t>
        </is>
      </c>
      <c r="B43" s="2" t="n">
        <v>699</v>
      </c>
      <c r="C43" s="2" t="n">
        <v>799</v>
      </c>
      <c r="D43" s="2">
        <f>(B43+C43)/2</f>
        <v/>
      </c>
      <c r="E43" s="3" t="n">
        <v>2.292134879809194</v>
      </c>
      <c r="F43" t="inlineStr">
        <is>
          <t>e13mz5m</t>
        </is>
      </c>
      <c r="G43" t="inlineStr">
        <is>
          <t>https://offcampus.dasa.ncsu.edu/housing/property/university-suites-student-housing/e13mz5m</t>
        </is>
      </c>
    </row>
    <row r="44">
      <c r="A44" t="inlineStr">
        <is>
          <t>University Village at 2505</t>
        </is>
      </c>
      <c r="B44" s="2" t="n">
        <v>799</v>
      </c>
      <c r="C44" s="2" t="n">
        <v>799</v>
      </c>
      <c r="D44" s="2">
        <f>(B44+C44)/2</f>
        <v/>
      </c>
      <c r="E44" s="3" t="n">
        <v>2.237819087455833</v>
      </c>
      <c r="F44" t="inlineStr">
        <is>
          <t>33f756e</t>
        </is>
      </c>
      <c r="G44" t="inlineStr">
        <is>
          <t>https://offcampus.dasa.ncsu.edu/housing/property/university-village-at-2505/33f756e</t>
        </is>
      </c>
    </row>
    <row r="45">
      <c r="A45" t="inlineStr">
        <is>
          <t>University Woods</t>
        </is>
      </c>
      <c r="B45" s="2" t="n">
        <v>600</v>
      </c>
      <c r="C45" s="2" t="n">
        <v>600</v>
      </c>
      <c r="D45" s="2">
        <f>(B45+C45)/2</f>
        <v/>
      </c>
      <c r="E45" s="3" t="n">
        <v>2.123645671208585</v>
      </c>
      <c r="F45" t="inlineStr">
        <is>
          <t>ocps6ymwl7</t>
        </is>
      </c>
      <c r="G45" t="inlineStr">
        <is>
          <t>https://offcampus.dasa.ncsu.edu/housing/property/university-woods/ocps6ymwl7</t>
        </is>
      </c>
    </row>
    <row r="46">
      <c r="A46" t="inlineStr">
        <is>
          <t>Village Green</t>
        </is>
      </c>
      <c r="B46" s="2" t="n">
        <v>930</v>
      </c>
      <c r="C46" s="2" t="n">
        <v>930</v>
      </c>
      <c r="D46" s="2">
        <f>(B46+C46)/2</f>
        <v/>
      </c>
      <c r="E46" s="3" t="n">
        <v>1.966488918292135</v>
      </c>
      <c r="F46" t="inlineStr">
        <is>
          <t>ocp1ddchy6</t>
        </is>
      </c>
      <c r="G46" t="inlineStr">
        <is>
          <t>https://offcampus.dasa.ncsu.edu/housing/property/village-green/ocp1ddchy6</t>
        </is>
      </c>
    </row>
    <row r="47">
      <c r="A47" t="inlineStr">
        <is>
          <t>Village Green Student Housing</t>
        </is>
      </c>
      <c r="B47" s="2" t="n">
        <v>649</v>
      </c>
      <c r="C47" s="2" t="n">
        <v>839</v>
      </c>
      <c r="D47" s="2">
        <f>(B47+C47)/2</f>
        <v/>
      </c>
      <c r="E47" s="3" t="n">
        <v>1.932509975086741</v>
      </c>
      <c r="F47" t="inlineStr">
        <is>
          <t>jjs8f07</t>
        </is>
      </c>
      <c r="G47" t="inlineStr">
        <is>
          <t>https://offcampus.dasa.ncsu.edu/housing/property/village-green-student-housing/jjs8f07</t>
        </is>
      </c>
    </row>
    <row r="48">
      <c r="A48" t="inlineStr">
        <is>
          <t>Village Green Student Living</t>
        </is>
      </c>
      <c r="B48" s="2" t="n">
        <v>831</v>
      </c>
      <c r="C48" s="2" t="n">
        <v>831</v>
      </c>
      <c r="D48" s="2">
        <f>(B48+C48)/2</f>
        <v/>
      </c>
      <c r="E48" s="3" t="n">
        <v>1.815869404542809</v>
      </c>
      <c r="F48" t="inlineStr">
        <is>
          <t>ocpepvxvln</t>
        </is>
      </c>
      <c r="G48" t="inlineStr">
        <is>
          <t>https://offcampus.dasa.ncsu.edu/housing/property/village-green-student-living/ocpepvxvln</t>
        </is>
      </c>
    </row>
    <row r="49">
      <c r="A49" t="inlineStr">
        <is>
          <t>Voyager House</t>
        </is>
      </c>
      <c r="B49" s="2" t="n">
        <v>800</v>
      </c>
      <c r="C49" s="2" t="n">
        <v>800</v>
      </c>
      <c r="D49" s="2">
        <f>(B49+C49)/2</f>
        <v/>
      </c>
      <c r="E49" s="3" t="n">
        <v>1.884049974938598</v>
      </c>
      <c r="F49" t="inlineStr">
        <is>
          <t>ocpbhbkvy9</t>
        </is>
      </c>
      <c r="G49" t="inlineStr">
        <is>
          <t>https://offcampus.dasa.ncsu.edu/housing/property/voyager-house/ocpbhbkvy9</t>
        </is>
      </c>
    </row>
    <row r="50">
      <c r="A50" t="inlineStr">
        <is>
          <t>We have 1 bedroom open In a luxury 5 bed 5 full bath house 1/1/27-6/30/27</t>
        </is>
      </c>
      <c r="B50" s="2" t="n">
        <v>1200</v>
      </c>
      <c r="C50" s="2" t="n">
        <v>1200</v>
      </c>
      <c r="D50" s="2">
        <f>(B50+C50)/2</f>
        <v/>
      </c>
      <c r="E50" s="3" t="n">
        <v>1.634704383043233</v>
      </c>
      <c r="F50" t="inlineStr">
        <is>
          <t>ocp6wsb4yt</t>
        </is>
      </c>
      <c r="G50" t="inlineStr">
        <is>
          <t>https://offcampus.dasa.ncsu.edu/housing/property/we-have-1-bedroom-open-in-a-luxury-5-bed-5-full-bath-house-1-1-27-6-30-27/ocp6wsb4yt</t>
        </is>
      </c>
    </row>
    <row r="51"/>
    <row r="52">
      <c r="A52" s="4" t="inlineStr">
        <is>
          <t>Prices used (COUNT)</t>
        </is>
      </c>
      <c r="B52" s="4">
        <f>COUNT(B5:B50)</f>
        <v/>
      </c>
      <c r="C52" s="4">
        <f>COUNT(C5:C50)</f>
        <v/>
      </c>
      <c r="D52" s="4">
        <f>COUNT(D5:D50)</f>
        <v/>
      </c>
    </row>
    <row r="53">
      <c r="A53" s="4" t="inlineStr">
        <is>
          <t>Total advertised rent (SUM)</t>
        </is>
      </c>
      <c r="B53" s="2">
        <f>SUM(B5:B50)</f>
        <v/>
      </c>
      <c r="C53" s="2">
        <f>SUM(C5:C50)</f>
        <v/>
      </c>
      <c r="D53" s="2">
        <f>SUM(D5:D50)</f>
        <v/>
      </c>
    </row>
    <row r="54">
      <c r="A54" s="4" t="inlineStr">
        <is>
          <t>Average (sum / count)</t>
        </is>
      </c>
      <c r="B54" s="2">
        <f>B53/B52</f>
        <v/>
      </c>
      <c r="C54" s="2">
        <f>C53/C52</f>
        <v/>
      </c>
      <c r="D54" s="2">
        <f>D53/D52</f>
        <v/>
      </c>
    </row>
    <row r="55">
      <c r="A55" s="4" t="inlineStr">
        <is>
          <t>Median listing midpoint</t>
        </is>
      </c>
      <c r="D55" s="2">
        <f>MEDIAN(D5:D50)</f>
        <v/>
      </c>
    </row>
  </sheetData>
  <autoFilter ref="A4:G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54" customWidth="1" min="7" max="7"/>
  </cols>
  <sheetData>
    <row r="1">
      <c r="A1" s="6" t="inlineStr">
        <is>
          <t>Main 3-5 mi</t>
        </is>
      </c>
    </row>
    <row r="2">
      <c r="A2" s="5" t="inlineStr">
        <is>
          <t>Sept. 9, 2026 advertised-price snapshot. One vote per listing; midpoint=(low+high)/2.</t>
        </is>
      </c>
    </row>
    <row r="4">
      <c r="A4" s="1" t="inlineStr">
        <is>
          <t>Listing name</t>
        </is>
      </c>
      <c r="B4" s="1" t="inlineStr">
        <is>
          <t>Low ($/month)</t>
        </is>
      </c>
      <c r="C4" s="1" t="inlineStr">
        <is>
          <t>High ($/month)</t>
        </is>
      </c>
      <c r="D4" s="1" t="inlineStr">
        <is>
          <t>Midpoint ($/month)</t>
        </is>
      </c>
      <c r="E4" s="1" t="inlineStr">
        <is>
          <t>Distance (mi)</t>
        </is>
      </c>
      <c r="F4" s="1" t="inlineStr">
        <is>
          <t>Listing ID</t>
        </is>
      </c>
      <c r="G4" s="1" t="inlineStr">
        <is>
          <t>Source URL</t>
        </is>
      </c>
    </row>
    <row r="5">
      <c r="A5" t="inlineStr">
        <is>
          <t>2850 Sanderford Rd (Raleigh, NC)</t>
        </is>
      </c>
      <c r="B5" s="2" t="n">
        <v>650</v>
      </c>
      <c r="C5" s="2" t="n">
        <v>650</v>
      </c>
      <c r="D5" s="2">
        <f>(B5+C5)/2</f>
        <v/>
      </c>
      <c r="E5" s="3" t="n">
        <v>4.772916888366553</v>
      </c>
      <c r="F5" t="inlineStr">
        <is>
          <t>lpl9fce</t>
        </is>
      </c>
      <c r="G5" t="inlineStr">
        <is>
          <t>https://offcampus.dasa.ncsu.edu/housing/property/2850-sanderford-rd-raleigh-nc/lpl9fce</t>
        </is>
      </c>
    </row>
    <row r="6">
      <c r="A6" t="inlineStr">
        <is>
          <t>Brand New Luxury Furnished Townhome | 4 Bed /  3.5 Bath | 5 Min to NC State &amp; 3 Mins to Fenton +shop</t>
        </is>
      </c>
      <c r="B6" s="2" t="n">
        <v>900</v>
      </c>
      <c r="C6" s="2" t="n">
        <v>1050</v>
      </c>
      <c r="D6" s="2">
        <f>(B6+C6)/2</f>
        <v/>
      </c>
      <c r="E6" s="3" t="n">
        <v>3.334997029797161</v>
      </c>
      <c r="F6" t="inlineStr">
        <is>
          <t>ocpw46rjcl</t>
        </is>
      </c>
      <c r="G6" t="inlineStr">
        <is>
          <t>https://offcampus.dasa.ncsu.edu/housing/property/brand-new-luxury-furnished-townhome-4-bed-3-5-bath-5-min-to-nc-state-and-3-mins-to-fenton-shop/ocpw46rjcl</t>
        </is>
      </c>
    </row>
    <row r="7">
      <c r="A7" t="inlineStr">
        <is>
          <t>Brick Bungalow close to Campus</t>
        </is>
      </c>
      <c r="B7" s="2" t="n">
        <v>1050</v>
      </c>
      <c r="C7" s="2" t="n">
        <v>1050</v>
      </c>
      <c r="D7" s="2">
        <f>(B7+C7)/2</f>
        <v/>
      </c>
      <c r="E7" s="3" t="n">
        <v>3.543884360555975</v>
      </c>
      <c r="F7" t="inlineStr">
        <is>
          <t>ocp90bdzb4</t>
        </is>
      </c>
      <c r="G7" t="inlineStr">
        <is>
          <t>https://offcampus.dasa.ncsu.edu/housing/property/brick-bungalow-close-to-campus/ocp90bdzb4</t>
        </is>
      </c>
    </row>
    <row r="8">
      <c r="A8" t="inlineStr">
        <is>
          <t>FURNISHED TOWNHOME RENTAL – 10 Mins to NCSU - 3 Bedroom - starting $750 per room</t>
        </is>
      </c>
      <c r="B8" s="2" t="n">
        <v>750</v>
      </c>
      <c r="C8" s="2" t="n">
        <v>750</v>
      </c>
      <c r="D8" s="2">
        <f>(B8+C8)/2</f>
        <v/>
      </c>
      <c r="E8" s="3" t="n">
        <v>4.072730365283987</v>
      </c>
      <c r="F8" t="inlineStr">
        <is>
          <t>ocpwwwe8yh</t>
        </is>
      </c>
      <c r="G8" t="inlineStr">
        <is>
          <t>https://offcampus.dasa.ncsu.edu/housing/property/furnished-townhome-rental-10-mins-to-ncsu-3-bedroom-starting-750-per-room/ocpwwwe8yh</t>
        </is>
      </c>
    </row>
    <row r="9">
      <c r="A9" t="inlineStr">
        <is>
          <t>Great value in beautiful SW Raleigh</t>
        </is>
      </c>
      <c r="B9" s="2" t="n">
        <v>850</v>
      </c>
      <c r="C9" s="2" t="n">
        <v>850</v>
      </c>
      <c r="D9" s="2">
        <f>(B9+C9)/2</f>
        <v/>
      </c>
      <c r="E9" s="3" t="n">
        <v>3.494769247784064</v>
      </c>
      <c r="F9" t="inlineStr">
        <is>
          <t>ocp0gblz91</t>
        </is>
      </c>
      <c r="G9" t="inlineStr">
        <is>
          <t>https://offcampus.dasa.ncsu.edu/housing/property/great-value-in-beautiful-sw-raleigh/ocp0gblz91</t>
        </is>
      </c>
    </row>
    <row r="10">
      <c r="A10" t="inlineStr">
        <is>
          <t>Liberty station male only townhome- 5 miles from Centennial</t>
        </is>
      </c>
      <c r="B10" s="2" t="n">
        <v>900</v>
      </c>
      <c r="C10" s="2" t="n">
        <v>900</v>
      </c>
      <c r="D10" s="2">
        <f>(B10+C10)/2</f>
        <v/>
      </c>
      <c r="E10" s="3" t="n">
        <v>4.064953715116921</v>
      </c>
      <c r="F10" t="inlineStr">
        <is>
          <t>ocp2k0px98</t>
        </is>
      </c>
      <c r="G10" t="inlineStr">
        <is>
          <t>https://offcampus.dasa.ncsu.edu/housing/property/liberty-station-male-only-townhome-5-miles-from-centennial/ocp2k0px98</t>
        </is>
      </c>
    </row>
    <row r="11">
      <c r="A11" t="inlineStr">
        <is>
          <t>Room in House on Joyner Pl</t>
        </is>
      </c>
      <c r="B11" s="2" t="n">
        <v>700</v>
      </c>
      <c r="C11" s="2" t="n">
        <v>700</v>
      </c>
      <c r="D11" s="2">
        <f>(B11+C11)/2</f>
        <v/>
      </c>
      <c r="E11" s="3" t="n">
        <v>4.516524136639497</v>
      </c>
      <c r="F11" t="inlineStr">
        <is>
          <t>jkg82q6</t>
        </is>
      </c>
      <c r="G11" t="inlineStr">
        <is>
          <t>https://offcampus.dasa.ncsu.edu/housing/property/room-in-house-on-joyner-pl/jkg82q6</t>
        </is>
      </c>
    </row>
    <row r="12">
      <c r="A12" t="inlineStr">
        <is>
          <t>Room in House on Quartz Ct</t>
        </is>
      </c>
      <c r="B12" s="2" t="n">
        <v>685</v>
      </c>
      <c r="C12" s="2" t="n">
        <v>685</v>
      </c>
      <c r="D12" s="2">
        <f>(B12+C12)/2</f>
        <v/>
      </c>
      <c r="E12" s="3" t="n">
        <v>4.73061912195772</v>
      </c>
      <c r="F12" t="inlineStr">
        <is>
          <t>bq6wzsb</t>
        </is>
      </c>
      <c r="G12" t="inlineStr">
        <is>
          <t>https://offcampus.dasa.ncsu.edu/housing/property/room-in-house-on-quartz-ct/bq6wzsb</t>
        </is>
      </c>
    </row>
    <row r="13">
      <c r="A13" t="inlineStr">
        <is>
          <t>Room in Townhome on Haskell Dr</t>
        </is>
      </c>
      <c r="B13" s="2" t="n">
        <v>563</v>
      </c>
      <c r="C13" s="2" t="n">
        <v>563</v>
      </c>
      <c r="D13" s="2">
        <f>(B13+C13)/2</f>
        <v/>
      </c>
      <c r="E13" s="3" t="n">
        <v>4.067310842214011</v>
      </c>
      <c r="F13" t="inlineStr">
        <is>
          <t>49jmmdh</t>
        </is>
      </c>
      <c r="G13" t="inlineStr">
        <is>
          <t>https://offcampus.dasa.ncsu.edu/housing/property/room-in-townhome-on-haskell-dr/49jmmdh</t>
        </is>
      </c>
    </row>
    <row r="14">
      <c r="A14" t="inlineStr">
        <is>
          <t>Room in Townhome on Macedonia Lake Dr</t>
        </is>
      </c>
      <c r="B14" s="2" t="n">
        <v>800</v>
      </c>
      <c r="C14" s="2" t="n">
        <v>800</v>
      </c>
      <c r="D14" s="2">
        <f>(B14+C14)/2</f>
        <v/>
      </c>
      <c r="E14" s="3" t="n">
        <v>4.036728025563669</v>
      </c>
      <c r="F14" t="inlineStr">
        <is>
          <t>9m73sq5</t>
        </is>
      </c>
      <c r="G14" t="inlineStr">
        <is>
          <t>https://offcampus.dasa.ncsu.edu/housing/property/room-in-townhome-on-macedonia-lake-dr/9m73sq5</t>
        </is>
      </c>
    </row>
    <row r="15"/>
    <row r="16">
      <c r="A16" s="4" t="inlineStr">
        <is>
          <t>Prices used (COUNT)</t>
        </is>
      </c>
      <c r="B16" s="4">
        <f>COUNT(B5:B14)</f>
        <v/>
      </c>
      <c r="C16" s="4">
        <f>COUNT(C5:C14)</f>
        <v/>
      </c>
      <c r="D16" s="4">
        <f>COUNT(D5:D14)</f>
        <v/>
      </c>
    </row>
    <row r="17">
      <c r="A17" s="4" t="inlineStr">
        <is>
          <t>Total advertised rent (SUM)</t>
        </is>
      </c>
      <c r="B17" s="2">
        <f>SUM(B5:B14)</f>
        <v/>
      </c>
      <c r="C17" s="2">
        <f>SUM(C5:C14)</f>
        <v/>
      </c>
      <c r="D17" s="2">
        <f>SUM(D5:D14)</f>
        <v/>
      </c>
    </row>
    <row r="18">
      <c r="A18" s="4" t="inlineStr">
        <is>
          <t>Average (sum / count)</t>
        </is>
      </c>
      <c r="B18" s="2">
        <f>B17/B16</f>
        <v/>
      </c>
      <c r="C18" s="2">
        <f>C17/C16</f>
        <v/>
      </c>
      <c r="D18" s="2">
        <f>D17/D16</f>
        <v/>
      </c>
    </row>
    <row r="19">
      <c r="A19" s="4" t="inlineStr">
        <is>
          <t>Median listing midpoint</t>
        </is>
      </c>
      <c r="D19" s="2">
        <f>MEDIAN(D5:D14)</f>
        <v/>
      </c>
    </row>
  </sheetData>
  <autoFilter ref="A4:G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  <col width="15" customWidth="1" min="5" max="5"/>
    <col width="14" customWidth="1" min="6" max="6"/>
    <col width="16" customWidth="1" min="7" max="7"/>
    <col width="54" customWidth="1" min="8" max="8"/>
  </cols>
  <sheetData>
    <row r="1">
      <c r="A1" s="6" t="inlineStr">
        <is>
          <t>Centennial Campus all three bands — 74 room listings</t>
        </is>
      </c>
    </row>
    <row r="2">
      <c r="A2" s="7" t="inlineStr">
        <is>
          <t>Sept. 9, 2026 advertised-price snapshot. Exact Centennial Campus all-bands view used to verify the article interactive. One vote per listing; midpoint=(low+high)/2.</t>
        </is>
      </c>
    </row>
    <row r="3"/>
    <row r="4">
      <c r="A4" s="8" t="inlineStr">
        <is>
          <t>Listing name</t>
        </is>
      </c>
      <c r="B4" s="8" t="inlineStr">
        <is>
          <t>Low ($/month)</t>
        </is>
      </c>
      <c r="C4" s="8" t="inlineStr">
        <is>
          <t>High ($/month)</t>
        </is>
      </c>
      <c r="D4" s="8" t="inlineStr">
        <is>
          <t>Midpoint ($/month)</t>
        </is>
      </c>
      <c r="E4" s="8" t="inlineStr">
        <is>
          <t>Distance (mi)</t>
        </is>
      </c>
      <c r="F4" s="8" t="inlineStr">
        <is>
          <t>Band</t>
        </is>
      </c>
      <c r="G4" s="8" t="inlineStr">
        <is>
          <t>Listing ID</t>
        </is>
      </c>
      <c r="H4" s="8" t="inlineStr">
        <is>
          <t>Source URL</t>
        </is>
      </c>
    </row>
    <row r="5">
      <c r="A5" t="inlineStr">
        <is>
          <t>"Avery Close " condos room available across from Centennial Campus NCSU NC State Raleigh</t>
        </is>
      </c>
      <c r="B5" s="2" t="n">
        <v>750</v>
      </c>
      <c r="C5" s="2" t="n">
        <v>750</v>
      </c>
      <c r="D5" s="2">
        <f>(B5+C5)/2</f>
        <v/>
      </c>
      <c r="E5" s="9" t="n">
        <v>0.4729019086752427</v>
      </c>
      <c r="F5" t="inlineStr">
        <is>
          <t>0-1 mi</t>
        </is>
      </c>
      <c r="G5" t="inlineStr">
        <is>
          <t>ocpsnmx4w4</t>
        </is>
      </c>
      <c r="H5" t="inlineStr">
        <is>
          <t>https://offcampus.dasa.ncsu.edu/housing/property/avery-close-condos-room-available-across-from-centennial-campus-ncsu-nc-state-raleigh/ocpsnmx4w4</t>
        </is>
      </c>
    </row>
    <row r="6">
      <c r="A6" t="inlineStr">
        <is>
          <t>4BR/4BA Condo| On Wolfline | Preleasing 27-28 Special $850 Util/Parking Incld | Mile to Campus</t>
        </is>
      </c>
      <c r="B6" s="2" t="n">
        <v>875</v>
      </c>
      <c r="C6" s="2" t="n">
        <v>875</v>
      </c>
      <c r="D6" s="2">
        <f>(B6+C6)/2</f>
        <v/>
      </c>
      <c r="E6" s="9" t="n">
        <v>0.799542520937184</v>
      </c>
      <c r="F6" t="inlineStr">
        <is>
          <t>0-1 mi</t>
        </is>
      </c>
      <c r="G6" t="inlineStr">
        <is>
          <t>ocpxdxd79p</t>
        </is>
      </c>
      <c r="H6" t="inlineStr">
        <is>
          <t>https://offcampus.dasa.ncsu.edu/housing/property/4br-4ba-condo-on-wolfline-preleasing-27-28-special-850-util-parking-incld-mile-to-campus/ocpxdxd79p</t>
        </is>
      </c>
    </row>
    <row r="7">
      <c r="A7" t="inlineStr">
        <is>
          <t>Big Promotion w/best price ever. Move in Immediately . MarcomTowns. Great location nice</t>
        </is>
      </c>
      <c r="B7" s="2" t="n">
        <v>950</v>
      </c>
      <c r="C7" s="2" t="n">
        <v>950</v>
      </c>
      <c r="D7" s="2">
        <f>(B7+C7)/2</f>
        <v/>
      </c>
      <c r="E7" s="9" t="n">
        <v>0.8670805356545912</v>
      </c>
      <c r="F7" t="inlineStr">
        <is>
          <t>0-1 mi</t>
        </is>
      </c>
      <c r="G7" t="inlineStr">
        <is>
          <t>ocpe1n95cm</t>
        </is>
      </c>
      <c r="H7" t="inlineStr">
        <is>
          <t>https://offcampus.dasa.ncsu.edu/housing/property/big-promotion-w-best-price-ever-move-in-immediately-marcomtowns-great-location-nice/ocpe1n95cm</t>
        </is>
      </c>
    </row>
    <row r="8">
      <c r="A8" t="inlineStr">
        <is>
          <t>Burt Drive Townhouses---Brand New Luxury Housing within walking distance to NCSU</t>
        </is>
      </c>
      <c r="B8" s="2" t="n">
        <v>1050</v>
      </c>
      <c r="C8" s="2" t="n">
        <v>1050</v>
      </c>
      <c r="D8" s="2">
        <f>(B8+C8)/2</f>
        <v/>
      </c>
      <c r="E8" s="9" t="n">
        <v>0.7028369244133079</v>
      </c>
      <c r="F8" t="inlineStr">
        <is>
          <t>0-1 mi</t>
        </is>
      </c>
      <c r="G8" t="inlineStr">
        <is>
          <t>ocpm68s5sh</t>
        </is>
      </c>
      <c r="H8" t="inlineStr">
        <is>
          <t>https://offcampus.dasa.ncsu.edu/housing/property/burt-drive-townhouses-brand-new-luxury-housing-within-walking-distance-to-ncsu/ocpm68s5sh</t>
        </is>
      </c>
    </row>
    <row r="9">
      <c r="A9" t="inlineStr">
        <is>
          <t>College Inn</t>
        </is>
      </c>
      <c r="B9" s="2" t="n">
        <v>859</v>
      </c>
      <c r="C9" s="2" t="n">
        <v>1275</v>
      </c>
      <c r="D9" s="2">
        <f>(B9+C9)/2</f>
        <v/>
      </c>
      <c r="E9" s="9" t="n">
        <v>0.8185511340280208</v>
      </c>
      <c r="F9" t="inlineStr">
        <is>
          <t>0-1 mi</t>
        </is>
      </c>
      <c r="G9" t="inlineStr">
        <is>
          <t>se736e5</t>
        </is>
      </c>
      <c r="H9" t="inlineStr">
        <is>
          <t>https://offcampus.dasa.ncsu.edu/housing/property/college-inn/se736e5</t>
        </is>
      </c>
    </row>
    <row r="10">
      <c r="A10" t="inlineStr">
        <is>
          <t>Collegeview Duplex--Brand New Luxury Housing within walking distance to NCSU</t>
        </is>
      </c>
      <c r="B10" s="2" t="n">
        <v>900</v>
      </c>
      <c r="C10" s="2" t="n">
        <v>950</v>
      </c>
      <c r="D10" s="2">
        <f>(B10+C10)/2</f>
        <v/>
      </c>
      <c r="E10" s="9" t="n">
        <v>0.7646924310117169</v>
      </c>
      <c r="F10" t="inlineStr">
        <is>
          <t>0-1 mi</t>
        </is>
      </c>
      <c r="G10" t="inlineStr">
        <is>
          <t>ocppjxdd3r</t>
        </is>
      </c>
      <c r="H10" t="inlineStr">
        <is>
          <t>https://offcampus.dasa.ncsu.edu/housing/property/collegeview-duplex-brand-new-luxury-housing-within-walking-distance-to-ncsu/ocppjxdd3r</t>
        </is>
      </c>
    </row>
    <row r="11">
      <c r="A11" t="inlineStr">
        <is>
          <t>Convenient Kaplan Dr property near NCSU buses, park, grocery, with parking space &amp; private bathroom</t>
        </is>
      </c>
      <c r="B11" s="2" t="n">
        <v>675</v>
      </c>
      <c r="C11" s="2" t="n">
        <v>675</v>
      </c>
      <c r="D11" s="2">
        <f>(B11+C11)/2</f>
        <v/>
      </c>
      <c r="E11" s="9" t="n">
        <v>0.9677748822425947</v>
      </c>
      <c r="F11" t="inlineStr">
        <is>
          <t>0-1 mi</t>
        </is>
      </c>
      <c r="G11" t="inlineStr">
        <is>
          <t>ocp5lwrmvq</t>
        </is>
      </c>
      <c r="H11" t="inlineStr">
        <is>
          <t>https://offcampus.dasa.ncsu.edu/housing/property/convenient-kaplan-dr-property-near-ncsu-buses-park-grocery-with-parking-space-and-private-bathroom/ocp5lwrmvq</t>
        </is>
      </c>
    </row>
    <row r="12">
      <c r="A12" t="inlineStr">
        <is>
          <t>Spacious bedroom with private bath in 2BR townhome – 5 minutes to NC State</t>
        </is>
      </c>
      <c r="B12" s="2" t="n">
        <v>800</v>
      </c>
      <c r="C12" s="2" t="n">
        <v>800</v>
      </c>
      <c r="D12" s="2">
        <f>(B12+C12)/2</f>
        <v/>
      </c>
      <c r="E12" s="9" t="n">
        <v>0.8526029879895402</v>
      </c>
      <c r="F12" t="inlineStr">
        <is>
          <t>0-1 mi</t>
        </is>
      </c>
      <c r="G12" t="inlineStr">
        <is>
          <t>ocpszex2v4</t>
        </is>
      </c>
      <c r="H12" t="inlineStr">
        <is>
          <t>https://offcampus.dasa.ncsu.edu/housing/property/spacious-bedroom-with-private-bath-in-2br-townhome-5-minutes-to-nc-state/ocpszex2v4</t>
        </is>
      </c>
    </row>
    <row r="13">
      <c r="A13" t="inlineStr">
        <is>
          <t>$3600 saving on 2*2 Sublet at Stanhope Apartment for NC STATE</t>
        </is>
      </c>
      <c r="B13" s="2" t="n">
        <v>550</v>
      </c>
      <c r="C13" s="2" t="n">
        <v>550</v>
      </c>
      <c r="D13" s="2">
        <f>(B13+C13)/2</f>
        <v/>
      </c>
      <c r="E13" s="9" t="n">
        <v>1.412298318639059</v>
      </c>
      <c r="F13" t="inlineStr">
        <is>
          <t>1-3 mi</t>
        </is>
      </c>
      <c r="G13" t="inlineStr">
        <is>
          <t>ocpd9wnxdk</t>
        </is>
      </c>
      <c r="H13" t="inlineStr">
        <is>
          <t>https://offcampus.dasa.ncsu.edu/housing/property/3600-saving-on-2-2-sublet-at-stanhope-apartment-for-nc-state/ocpd9wnxdk</t>
        </is>
      </c>
    </row>
    <row r="14">
      <c r="A14" t="inlineStr">
        <is>
          <t>105 Friendly Drive! Furnished Room Rentals with Utilities!</t>
        </is>
      </c>
      <c r="B14" s="2" t="n">
        <v>775</v>
      </c>
      <c r="C14" s="2" t="n">
        <v>1050</v>
      </c>
      <c r="D14" s="2">
        <f>(B14+C14)/2</f>
        <v/>
      </c>
      <c r="E14" s="9" t="n">
        <v>1.408345371418267</v>
      </c>
      <c r="F14" t="inlineStr">
        <is>
          <t>1-3 mi</t>
        </is>
      </c>
      <c r="G14" t="inlineStr">
        <is>
          <t>ocphdtdgk2</t>
        </is>
      </c>
      <c r="H14" t="inlineStr">
        <is>
          <t>https://offcampus.dasa.ncsu.edu/housing/property/105-friendly-drive-furnished-room-rentals-with-utilities/ocphdtdgk2</t>
        </is>
      </c>
    </row>
    <row r="15">
      <c r="A15" t="inlineStr">
        <is>
          <t>1st Month FREE!</t>
        </is>
      </c>
      <c r="B15" s="2" t="n">
        <v>625</v>
      </c>
      <c r="C15" s="2" t="n">
        <v>625</v>
      </c>
      <c r="D15" s="2">
        <f>(B15+C15)/2</f>
        <v/>
      </c>
      <c r="E15" s="9" t="n">
        <v>1.643348579672279</v>
      </c>
      <c r="F15" t="inlineStr">
        <is>
          <t>1-3 mi</t>
        </is>
      </c>
      <c r="G15" t="inlineStr">
        <is>
          <t>ocpq292qyw</t>
        </is>
      </c>
      <c r="H15" t="inlineStr">
        <is>
          <t>https://offcampus.dasa.ncsu.edu/housing/property/1st-month-free/ocpq292qyw</t>
        </is>
      </c>
    </row>
    <row r="16">
      <c r="A16" t="inlineStr">
        <is>
          <t>4bed 4bath Apartment Near Centennial Campus</t>
        </is>
      </c>
      <c r="B16" s="2" t="n">
        <v>725</v>
      </c>
      <c r="C16" s="2" t="n">
        <v>725</v>
      </c>
      <c r="D16" s="2">
        <f>(B16+C16)/2</f>
        <v/>
      </c>
      <c r="E16" s="9" t="n">
        <v>1.386624243906098</v>
      </c>
      <c r="F16" t="inlineStr">
        <is>
          <t>1-3 mi</t>
        </is>
      </c>
      <c r="G16" t="inlineStr">
        <is>
          <t>ocpsq86tm4</t>
        </is>
      </c>
      <c r="H16" t="inlineStr">
        <is>
          <t>https://offcampus.dasa.ncsu.edu/housing/property/4bed-4bath-apartment-near-centennial-campus/ocpsq86tm4</t>
        </is>
      </c>
    </row>
    <row r="17">
      <c r="A17" t="inlineStr">
        <is>
          <t>5 bedroom townhome available near NC State</t>
        </is>
      </c>
      <c r="B17" s="2" t="n">
        <v>650</v>
      </c>
      <c r="C17" s="2" t="n">
        <v>650</v>
      </c>
      <c r="D17" s="2">
        <f>(B17+C17)/2</f>
        <v/>
      </c>
      <c r="E17" s="9" t="n">
        <v>1.671045879197852</v>
      </c>
      <c r="F17" t="inlineStr">
        <is>
          <t>1-3 mi</t>
        </is>
      </c>
      <c r="G17" t="inlineStr">
        <is>
          <t>ocppbmmgnt</t>
        </is>
      </c>
      <c r="H17" t="inlineStr">
        <is>
          <t>https://offcampus.dasa.ncsu.edu/housing/property/5-bedroom-townhome-available-near-nc-state/ocppbmmgnt</t>
        </is>
      </c>
    </row>
    <row r="18">
      <c r="A18" t="inlineStr">
        <is>
          <t>Affordable Student Housing 1 Block from Campus on Wolf Line</t>
        </is>
      </c>
      <c r="B18" s="2" t="n">
        <v>640</v>
      </c>
      <c r="C18" s="2" t="n">
        <v>640</v>
      </c>
      <c r="D18" s="2">
        <f>(B18+C18)/2</f>
        <v/>
      </c>
      <c r="E18" s="9" t="n">
        <v>1.155771517851646</v>
      </c>
      <c r="F18" t="inlineStr">
        <is>
          <t>1-3 mi</t>
        </is>
      </c>
      <c r="G18" t="inlineStr">
        <is>
          <t>ocph8n0fc0</t>
        </is>
      </c>
      <c r="H18" t="inlineStr">
        <is>
          <t>https://offcampus.dasa.ncsu.edu/housing/property/affordable-student-housing-1-block-from-campus-on-wolf-line/ocph8n0fc0</t>
        </is>
      </c>
    </row>
    <row r="19">
      <c r="A19" t="inlineStr">
        <is>
          <t>All Girls Unit - Room with Private Bathroom at  University Woods at Centennial Condominiums</t>
        </is>
      </c>
      <c r="B19" s="2" t="n">
        <v>645</v>
      </c>
      <c r="C19" s="2" t="n">
        <v>645</v>
      </c>
      <c r="D19" s="2">
        <f>(B19+C19)/2</f>
        <v/>
      </c>
      <c r="E19" s="9" t="n">
        <v>1.618231332601906</v>
      </c>
      <c r="F19" t="inlineStr">
        <is>
          <t>1-3 mi</t>
        </is>
      </c>
      <c r="G19" t="inlineStr">
        <is>
          <t>ocpjeweyz6</t>
        </is>
      </c>
      <c r="H19" t="inlineStr">
        <is>
          <t>https://offcampus.dasa.ncsu.edu/housing/property/all-girls-unit-room-with-private-bathroom-at-university-woods-at-centennial-condominiums/ocpjeweyz6</t>
        </is>
      </c>
    </row>
    <row r="20">
      <c r="A20" t="inlineStr">
        <is>
          <t>An apartments with 3 bed and 3 bath for NC State Students www.ncstudentsliving.com</t>
        </is>
      </c>
      <c r="B20" s="2" t="n">
        <v>650</v>
      </c>
      <c r="C20" s="2" t="n">
        <v>650</v>
      </c>
      <c r="D20" s="2">
        <f>(B20+C20)/2</f>
        <v/>
      </c>
      <c r="E20" s="9" t="n">
        <v>1.719701472470099</v>
      </c>
      <c r="F20" t="inlineStr">
        <is>
          <t>1-3 mi</t>
        </is>
      </c>
      <c r="G20" t="inlineStr">
        <is>
          <t>ocp0psn632</t>
        </is>
      </c>
      <c r="H20" t="inlineStr">
        <is>
          <t>https://offcampus.dasa.ncsu.edu/housing/property/an-apartments-with-3-bed-and-3-bath-for-nc-state-students-www-ncstudentsliving-com/ocp0psn632</t>
        </is>
      </c>
    </row>
    <row r="21">
      <c r="A21" t="inlineStr">
        <is>
          <t>Apartment close to NCSU</t>
        </is>
      </c>
      <c r="B21" s="2" t="n">
        <v>645</v>
      </c>
      <c r="C21" s="2" t="n">
        <v>645</v>
      </c>
      <c r="D21" s="2">
        <f>(B21+C21)/2</f>
        <v/>
      </c>
      <c r="E21" s="9" t="n">
        <v>1.457063602955496</v>
      </c>
      <c r="F21" t="inlineStr">
        <is>
          <t>1-3 mi</t>
        </is>
      </c>
      <c r="G21" t="inlineStr">
        <is>
          <t>ocpq99qjpx</t>
        </is>
      </c>
      <c r="H21" t="inlineStr">
        <is>
          <t>https://offcampus.dasa.ncsu.edu/housing/property/apartment-close-to-ncsu/ocpq99qjpx</t>
        </is>
      </c>
    </row>
    <row r="22">
      <c r="A22" t="inlineStr">
        <is>
          <t>Brickside</t>
        </is>
      </c>
      <c r="B22" s="2" t="n">
        <v>999</v>
      </c>
      <c r="C22" s="2" t="n">
        <v>1825</v>
      </c>
      <c r="D22" s="2">
        <f>(B22+C22)/2</f>
        <v/>
      </c>
      <c r="E22" s="9" t="n">
        <v>1.430928990458332</v>
      </c>
      <c r="F22" t="inlineStr">
        <is>
          <t>1-3 mi</t>
        </is>
      </c>
      <c r="G22" t="inlineStr">
        <is>
          <t>75medjw</t>
        </is>
      </c>
      <c r="H22" t="inlineStr">
        <is>
          <t>https://offcampus.dasa.ncsu.edu/housing/property/brickside/75medjw</t>
        </is>
      </c>
    </row>
    <row r="23">
      <c r="A23" t="inlineStr">
        <is>
          <t>Campus Crossings Raleigh</t>
        </is>
      </c>
      <c r="B23" s="2" t="n">
        <v>685</v>
      </c>
      <c r="C23" s="2" t="n">
        <v>870</v>
      </c>
      <c r="D23" s="2">
        <f>(B23+C23)/2</f>
        <v/>
      </c>
      <c r="E23" s="9" t="n">
        <v>1.744202444717392</v>
      </c>
      <c r="F23" t="inlineStr">
        <is>
          <t>1-3 mi</t>
        </is>
      </c>
      <c r="G23" t="inlineStr">
        <is>
          <t>z8cfdjw</t>
        </is>
      </c>
      <c r="H23" t="inlineStr">
        <is>
          <t>https://offcampus.dasa.ncsu.edu/housing/property/campus-crossings-raleigh/z8cfdjw</t>
        </is>
      </c>
    </row>
    <row r="24">
      <c r="A24" t="inlineStr">
        <is>
          <t>Campus Crossings Raleigh</t>
        </is>
      </c>
      <c r="B24" s="2" t="n">
        <v>865</v>
      </c>
      <c r="C24" s="2" t="n">
        <v>865</v>
      </c>
      <c r="D24" s="2">
        <f>(B24+C24)/2</f>
        <v/>
      </c>
      <c r="E24" s="9" t="n">
        <v>1.709379328180733</v>
      </c>
      <c r="F24" t="inlineStr">
        <is>
          <t>1-3 mi</t>
        </is>
      </c>
      <c r="G24" t="inlineStr">
        <is>
          <t>ocp176ghy4</t>
        </is>
      </c>
      <c r="H24" t="inlineStr">
        <is>
          <t>https://offcampus.dasa.ncsu.edu/housing/property/campus-crossings-raleigh/ocp176ghy4</t>
        </is>
      </c>
    </row>
    <row r="25">
      <c r="A25" t="inlineStr">
        <is>
          <t>Campus West at Tryon</t>
        </is>
      </c>
      <c r="B25" s="2" t="n">
        <v>699</v>
      </c>
      <c r="C25" s="2" t="n">
        <v>699</v>
      </c>
      <c r="D25" s="2">
        <f>(B25+C25)/2</f>
        <v/>
      </c>
      <c r="E25" s="9" t="n">
        <v>2.588703187773591</v>
      </c>
      <c r="F25" t="inlineStr">
        <is>
          <t>1-3 mi</t>
        </is>
      </c>
      <c r="G25" t="inlineStr">
        <is>
          <t>0pm7tt3</t>
        </is>
      </c>
      <c r="H25" t="inlineStr">
        <is>
          <t>https://offcampus.dasa.ncsu.edu/housing/property/campus-west-at-tryon/0pm7tt3</t>
        </is>
      </c>
    </row>
    <row r="26">
      <c r="A26" t="inlineStr">
        <is>
          <t>Centennial Ridge Student Housing</t>
        </is>
      </c>
      <c r="B26" s="2" t="n">
        <v>599</v>
      </c>
      <c r="C26" s="2" t="n">
        <v>2157</v>
      </c>
      <c r="D26" s="2">
        <f>(B26+C26)/2</f>
        <v/>
      </c>
      <c r="E26" s="9" t="n">
        <v>1.735707809988741</v>
      </c>
      <c r="F26" t="inlineStr">
        <is>
          <t>1-3 mi</t>
        </is>
      </c>
      <c r="G26" t="inlineStr">
        <is>
          <t>7e6kx1w</t>
        </is>
      </c>
      <c r="H26" t="inlineStr">
        <is>
          <t>https://offcampus.dasa.ncsu.edu/housing/property/centennial-ridge-student-housing/7e6kx1w</t>
        </is>
      </c>
    </row>
    <row r="27">
      <c r="A27" t="inlineStr">
        <is>
          <t>Condo near NCSU</t>
        </is>
      </c>
      <c r="B27" s="2" t="n">
        <v>800</v>
      </c>
      <c r="C27" s="2" t="n">
        <v>800</v>
      </c>
      <c r="D27" s="2">
        <f>(B27+C27)/2</f>
        <v/>
      </c>
      <c r="E27" s="9" t="n">
        <v>1.472322121168746</v>
      </c>
      <c r="F27" t="inlineStr">
        <is>
          <t>1-3 mi</t>
        </is>
      </c>
      <c r="G27" t="inlineStr">
        <is>
          <t>ocpx51p4tm</t>
        </is>
      </c>
      <c r="H27" t="inlineStr">
        <is>
          <t>https://offcampus.dasa.ncsu.edu/housing/property/condo-near-ncsu/ocpx51p4tm</t>
        </is>
      </c>
    </row>
    <row r="28">
      <c r="A28" t="inlineStr">
        <is>
          <t>Cozy house 10 min walk to campus</t>
        </is>
      </c>
      <c r="B28" s="2" t="n">
        <v>1500</v>
      </c>
      <c r="C28" s="2" t="n">
        <v>1500</v>
      </c>
      <c r="D28" s="2">
        <f>(B28+C28)/2</f>
        <v/>
      </c>
      <c r="E28" s="9" t="n">
        <v>1.780316227958689</v>
      </c>
      <c r="F28" t="inlineStr">
        <is>
          <t>1-3 mi</t>
        </is>
      </c>
      <c r="G28" t="inlineStr">
        <is>
          <t>ocphycq162</t>
        </is>
      </c>
      <c r="H28" t="inlineStr">
        <is>
          <t>https://offcampus.dasa.ncsu.edu/housing/property/cozy-house-10-min-walk-to-campus/ocphycq162</t>
        </is>
      </c>
    </row>
    <row r="29">
      <c r="A29" t="inlineStr">
        <is>
          <t>FURNISHED NCSU STUDENT HOUSING – TOWNHOME ROOM RENTAL WITH PRIVATE BATHROOM ($850/room)</t>
        </is>
      </c>
      <c r="B29" s="2" t="n">
        <v>850</v>
      </c>
      <c r="C29" s="2" t="n">
        <v>850</v>
      </c>
      <c r="D29" s="2">
        <f>(B29+C29)/2</f>
        <v/>
      </c>
      <c r="E29" s="9" t="n">
        <v>2.866761897462896</v>
      </c>
      <c r="F29" t="inlineStr">
        <is>
          <t>1-3 mi</t>
        </is>
      </c>
      <c r="G29" t="inlineStr">
        <is>
          <t>ocpx3vt61n</t>
        </is>
      </c>
      <c r="H29" t="inlineStr">
        <is>
          <t>https://offcampus.dasa.ncsu.edu/housing/property/furnished-ncsu-student-housing-townhome-room-rental-with-private-bathroom-850-room/ocpx3vt61n</t>
        </is>
      </c>
    </row>
    <row r="30">
      <c r="A30" t="inlineStr">
        <is>
          <t>Hub Raleigh – 4x2 Lease Takeover, Available Now</t>
        </is>
      </c>
      <c r="B30" s="2" t="n">
        <v>1199</v>
      </c>
      <c r="C30" s="2" t="n">
        <v>1199</v>
      </c>
      <c r="D30" s="2">
        <f>(B30+C30)/2</f>
        <v/>
      </c>
      <c r="E30" s="9" t="n">
        <v>1.48246472439382</v>
      </c>
      <c r="F30" t="inlineStr">
        <is>
          <t>1-3 mi</t>
        </is>
      </c>
      <c r="G30" t="inlineStr">
        <is>
          <t>ocp4lh373j</t>
        </is>
      </c>
      <c r="H30" t="inlineStr">
        <is>
          <t>https://offcampus.dasa.ncsu.edu/housing/property/hub-raleigh-4x2-lease-takeover-available-now/ocp4lh373j</t>
        </is>
      </c>
    </row>
    <row r="31">
      <c r="A31" t="inlineStr">
        <is>
          <t>Hurry 2 Rooms Left! – 4BR/4BA Condo Near NC State  – All Utilities &amp; Internet Included!</t>
        </is>
      </c>
      <c r="B31" s="2" t="n">
        <v>695</v>
      </c>
      <c r="C31" s="2" t="n">
        <v>695</v>
      </c>
      <c r="D31" s="2">
        <f>(B31+C31)/2</f>
        <v/>
      </c>
      <c r="E31" s="9" t="n">
        <v>1.622412333916784</v>
      </c>
      <c r="F31" t="inlineStr">
        <is>
          <t>1-3 mi</t>
        </is>
      </c>
      <c r="G31" t="inlineStr">
        <is>
          <t>ocpchygggd</t>
        </is>
      </c>
      <c r="H31" t="inlineStr">
        <is>
          <t>https://offcampus.dasa.ncsu.edu/housing/property/hurry-2-rooms-left-4br-4ba-condo-near-nc-state-all-utilities-and-internet-included/ocpchygggd</t>
        </is>
      </c>
    </row>
    <row r="32">
      <c r="A32" t="inlineStr">
        <is>
          <t>Lake Park Condos- Room Rental with Utilities</t>
        </is>
      </c>
      <c r="B32" s="2" t="n">
        <v>500</v>
      </c>
      <c r="C32" s="2" t="n">
        <v>600</v>
      </c>
      <c r="D32" s="2">
        <f>(B32+C32)/2</f>
        <v/>
      </c>
      <c r="E32" s="9" t="n">
        <v>1.421164890099371</v>
      </c>
      <c r="F32" t="inlineStr">
        <is>
          <t>1-3 mi</t>
        </is>
      </c>
      <c r="G32" t="inlineStr">
        <is>
          <t>ocpvgtpebg</t>
        </is>
      </c>
      <c r="H32" t="inlineStr">
        <is>
          <t>https://offcampus.dasa.ncsu.edu/housing/property/lake-park-condos-room-rental-with-utilities/ocpvgtpebg</t>
        </is>
      </c>
    </row>
    <row r="33">
      <c r="A33" t="inlineStr">
        <is>
          <t>maisonNC --- Fully Furnished minutes away from Wolfline and Shopping</t>
        </is>
      </c>
      <c r="B33" s="2" t="n">
        <v>750</v>
      </c>
      <c r="C33" s="2" t="n">
        <v>750</v>
      </c>
      <c r="D33" s="2">
        <f>(B33+C33)/2</f>
        <v/>
      </c>
      <c r="E33" s="9" t="n">
        <v>1.45723337788544</v>
      </c>
      <c r="F33" t="inlineStr">
        <is>
          <t>1-3 mi</t>
        </is>
      </c>
      <c r="G33" t="inlineStr">
        <is>
          <t>ocpesl9n3p</t>
        </is>
      </c>
      <c r="H33" t="inlineStr">
        <is>
          <t>https://offcampus.dasa.ncsu.edu/housing/property/maisonnc-fully-furnished-minutes-away-from-wolfline-and-shopping/ocpesl9n3p</t>
        </is>
      </c>
    </row>
    <row r="34">
      <c r="A34" t="inlineStr">
        <is>
          <t>maisonNC --- Fully Furnished minutes away from Wolfline and Shopping</t>
        </is>
      </c>
      <c r="B34" s="2" t="n">
        <v>750</v>
      </c>
      <c r="C34" s="2" t="n">
        <v>750</v>
      </c>
      <c r="D34" s="2">
        <f>(B34+C34)/2</f>
        <v/>
      </c>
      <c r="E34" s="9" t="n">
        <v>1.39799063919996</v>
      </c>
      <c r="F34" t="inlineStr">
        <is>
          <t>1-3 mi</t>
        </is>
      </c>
      <c r="G34" t="inlineStr">
        <is>
          <t>ocpcm3jede</t>
        </is>
      </c>
      <c r="H34" t="inlineStr">
        <is>
          <t>https://offcampus.dasa.ncsu.edu/housing/property/maisonnc-fully-furnished-minutes-away-from-wolfline-and-shopping/ocpcm3jede</t>
        </is>
      </c>
    </row>
    <row r="35">
      <c r="A35" t="inlineStr">
        <is>
          <t>Modern &amp; spacious 3BR/3BA Apartment w/View</t>
        </is>
      </c>
      <c r="B35" s="2" t="n">
        <v>1000</v>
      </c>
      <c r="C35" s="2" t="n">
        <v>1000</v>
      </c>
      <c r="D35" s="2">
        <f>(B35+C35)/2</f>
        <v/>
      </c>
      <c r="E35" s="9" t="n">
        <v>1.450903306797081</v>
      </c>
      <c r="F35" t="inlineStr">
        <is>
          <t>1-3 mi</t>
        </is>
      </c>
      <c r="G35" t="inlineStr">
        <is>
          <t>ocpnx5c0kn</t>
        </is>
      </c>
      <c r="H35" t="inlineStr">
        <is>
          <t>https://offcampus.dasa.ncsu.edu/housing/property/modern-and-spacious-3br-3ba-apartment-w-view/ocpnx5c0kn</t>
        </is>
      </c>
    </row>
    <row r="36">
      <c r="A36" t="inlineStr">
        <is>
          <t>Modern/High Ceilings 2bed/2 bath</t>
        </is>
      </c>
      <c r="B36" s="2" t="n">
        <v>1250</v>
      </c>
      <c r="C36" s="2" t="n">
        <v>1250</v>
      </c>
      <c r="D36" s="2">
        <f>(B36+C36)/2</f>
        <v/>
      </c>
      <c r="E36" s="9" t="n">
        <v>1.436100696139635</v>
      </c>
      <c r="F36" t="inlineStr">
        <is>
          <t>1-3 mi</t>
        </is>
      </c>
      <c r="G36" t="inlineStr">
        <is>
          <t>ocpet5b7hm</t>
        </is>
      </c>
      <c r="H36" t="inlineStr">
        <is>
          <t>https://offcampus.dasa.ncsu.edu/housing/property/modern-high-ceilings-2bed-2-bath/ocpet5b7hm</t>
        </is>
      </c>
    </row>
    <row r="37">
      <c r="A37" t="inlineStr">
        <is>
          <t>Newly Renovated - All Girls Unit Room with Private Bathroom</t>
        </is>
      </c>
      <c r="B37" s="2" t="n">
        <v>645</v>
      </c>
      <c r="C37" s="2" t="n">
        <v>645</v>
      </c>
      <c r="D37" s="2">
        <f>(B37+C37)/2</f>
        <v/>
      </c>
      <c r="E37" s="9" t="n">
        <v>1.648529914393228</v>
      </c>
      <c r="F37" t="inlineStr">
        <is>
          <t>1-3 mi</t>
        </is>
      </c>
      <c r="G37" t="inlineStr">
        <is>
          <t>ocp6mp93ms</t>
        </is>
      </c>
      <c r="H37" t="inlineStr">
        <is>
          <t>https://offcampus.dasa.ncsu.edu/housing/property/newly-renovated-all-girls-unit-room-with-private-bathroom/ocp6mp93ms</t>
        </is>
      </c>
    </row>
    <row r="38">
      <c r="A38" t="inlineStr">
        <is>
          <t>Reavis ---Brand New Luxury Housing within walking distance to NCSU</t>
        </is>
      </c>
      <c r="B38" s="2" t="n">
        <v>925</v>
      </c>
      <c r="C38" s="2" t="n">
        <v>975</v>
      </c>
      <c r="D38" s="2">
        <f>(B38+C38)/2</f>
        <v/>
      </c>
      <c r="E38" s="9" t="n">
        <v>1.517599897052015</v>
      </c>
      <c r="F38" t="inlineStr">
        <is>
          <t>1-3 mi</t>
        </is>
      </c>
      <c r="G38" t="inlineStr">
        <is>
          <t>ocpvlydr3e</t>
        </is>
      </c>
      <c r="H38" t="inlineStr">
        <is>
          <t>https://offcampus.dasa.ncsu.edu/housing/property/reavis-brand-new-luxury-housing-within-walking-distance-to-ncsu/ocpvlydr3e</t>
        </is>
      </c>
    </row>
    <row r="39">
      <c r="A39" t="inlineStr">
        <is>
          <t>Redfield Villages</t>
        </is>
      </c>
      <c r="B39" s="2" t="n">
        <v>799</v>
      </c>
      <c r="C39" s="2" t="n">
        <v>899</v>
      </c>
      <c r="D39" s="2">
        <f>(B39+C39)/2</f>
        <v/>
      </c>
      <c r="E39" s="9" t="n">
        <v>1.322267261836766</v>
      </c>
      <c r="F39" t="inlineStr">
        <is>
          <t>1-3 mi</t>
        </is>
      </c>
      <c r="G39" t="inlineStr">
        <is>
          <t>h2l8mh2</t>
        </is>
      </c>
      <c r="H39" t="inlineStr">
        <is>
          <t>https://offcampus.dasa.ncsu.edu/housing/property/redfield-villages/h2l8mh2</t>
        </is>
      </c>
    </row>
    <row r="40">
      <c r="A40" t="inlineStr">
        <is>
          <t>Room in Condo on Collegiate Cir</t>
        </is>
      </c>
      <c r="B40" s="2" t="n">
        <v>675</v>
      </c>
      <c r="C40" s="2" t="n">
        <v>675</v>
      </c>
      <c r="D40" s="2">
        <f>(B40+C40)/2</f>
        <v/>
      </c>
      <c r="E40" s="9" t="n">
        <v>1.392629741324425</v>
      </c>
      <c r="F40" t="inlineStr">
        <is>
          <t>1-3 mi</t>
        </is>
      </c>
      <c r="G40" t="inlineStr">
        <is>
          <t>kf77vv8</t>
        </is>
      </c>
      <c r="H40" t="inlineStr">
        <is>
          <t>https://offcampus.dasa.ncsu.edu/housing/property/room-in-condo-on-collegiate-cir/kf77vv8</t>
        </is>
      </c>
    </row>
    <row r="41">
      <c r="A41" t="inlineStr">
        <is>
          <t>Room in Condo on Crab Orchard Dr</t>
        </is>
      </c>
      <c r="B41" s="2" t="n">
        <v>675</v>
      </c>
      <c r="C41" s="2" t="n">
        <v>675</v>
      </c>
      <c r="D41" s="2">
        <f>(B41+C41)/2</f>
        <v/>
      </c>
      <c r="E41" s="9" t="n">
        <v>1.471958620257888</v>
      </c>
      <c r="F41" t="inlineStr">
        <is>
          <t>1-3 mi</t>
        </is>
      </c>
      <c r="G41" t="inlineStr">
        <is>
          <t>pxc3rhs</t>
        </is>
      </c>
      <c r="H41" t="inlineStr">
        <is>
          <t>https://offcampus.dasa.ncsu.edu/housing/property/room-in-condo-on-crab-orchard-dr/pxc3rhs</t>
        </is>
      </c>
    </row>
    <row r="42">
      <c r="A42" t="inlineStr">
        <is>
          <t>Room in Condo on Wolfmill Dr</t>
        </is>
      </c>
      <c r="B42" s="2" t="n">
        <v>720</v>
      </c>
      <c r="C42" s="2" t="n">
        <v>720</v>
      </c>
      <c r="D42" s="2">
        <f>(B42+C42)/2</f>
        <v/>
      </c>
      <c r="E42" s="9" t="n">
        <v>1.707396006786066</v>
      </c>
      <c r="F42" t="inlineStr">
        <is>
          <t>1-3 mi</t>
        </is>
      </c>
      <c r="G42" t="inlineStr">
        <is>
          <t>zfenc9w</t>
        </is>
      </c>
      <c r="H42" t="inlineStr">
        <is>
          <t>https://offcampus.dasa.ncsu.edu/housing/property/room-in-condo-on-wolfmill-dr/zfenc9w</t>
        </is>
      </c>
    </row>
    <row r="43">
      <c r="A43" t="inlineStr">
        <is>
          <t>Room in House on Pineland Cir</t>
        </is>
      </c>
      <c r="B43" s="2" t="n">
        <v>700</v>
      </c>
      <c r="C43" s="2" t="n">
        <v>700</v>
      </c>
      <c r="D43" s="2">
        <f>(B43+C43)/2</f>
        <v/>
      </c>
      <c r="E43" s="9" t="n">
        <v>2.266933004042843</v>
      </c>
      <c r="F43" t="inlineStr">
        <is>
          <t>1-3 mi</t>
        </is>
      </c>
      <c r="G43" t="inlineStr">
        <is>
          <t>x5wd0zn</t>
        </is>
      </c>
      <c r="H43" t="inlineStr">
        <is>
          <t>https://offcampus.dasa.ncsu.edu/housing/property/room-in-house-on-pineland-cir/x5wd0zn</t>
        </is>
      </c>
    </row>
    <row r="44">
      <c r="A44" t="inlineStr">
        <is>
          <t>Room in Townhome on Ivory Run Way</t>
        </is>
      </c>
      <c r="B44" s="2" t="n">
        <v>690</v>
      </c>
      <c r="C44" s="2" t="n">
        <v>690</v>
      </c>
      <c r="D44" s="2">
        <f>(B44+C44)/2</f>
        <v/>
      </c>
      <c r="E44" s="9" t="n">
        <v>1.706978199044346</v>
      </c>
      <c r="F44" t="inlineStr">
        <is>
          <t>1-3 mi</t>
        </is>
      </c>
      <c r="G44" t="inlineStr">
        <is>
          <t>hz5leg1</t>
        </is>
      </c>
      <c r="H44" t="inlineStr">
        <is>
          <t>https://offcampus.dasa.ncsu.edu/housing/property/room-in-townhome-on-ivory-run-way/hz5leg1</t>
        </is>
      </c>
    </row>
    <row r="45">
      <c r="A45" t="inlineStr">
        <is>
          <t>Signature 1505</t>
        </is>
      </c>
      <c r="B45" s="2" t="n">
        <v>650</v>
      </c>
      <c r="C45" s="2" t="n">
        <v>1305</v>
      </c>
      <c r="D45" s="2">
        <f>(B45+C45)/2</f>
        <v/>
      </c>
      <c r="E45" s="9" t="n">
        <v>1.497103154260436</v>
      </c>
      <c r="F45" t="inlineStr">
        <is>
          <t>1-3 mi</t>
        </is>
      </c>
      <c r="G45" t="inlineStr">
        <is>
          <t>5je4q3n</t>
        </is>
      </c>
      <c r="H45" t="inlineStr">
        <is>
          <t>https://offcampus.dasa.ncsu.edu/housing/property/signature-1505/5je4q3n</t>
        </is>
      </c>
    </row>
    <row r="46">
      <c r="A46" t="inlineStr">
        <is>
          <t>Signature 1505 4X4 Apartment</t>
        </is>
      </c>
      <c r="B46" s="2" t="n">
        <v>1230</v>
      </c>
      <c r="C46" s="2" t="n">
        <v>1230</v>
      </c>
      <c r="D46" s="2">
        <f>(B46+C46)/2</f>
        <v/>
      </c>
      <c r="E46" s="9" t="n">
        <v>1.473234962501602</v>
      </c>
      <c r="F46" t="inlineStr">
        <is>
          <t>1-3 mi</t>
        </is>
      </c>
      <c r="G46" t="inlineStr">
        <is>
          <t>ocpszqbd35</t>
        </is>
      </c>
      <c r="H46" t="inlineStr">
        <is>
          <t>https://offcampus.dasa.ncsu.edu/housing/property/signature-1505-4x4-apartment/ocpszqbd35</t>
        </is>
      </c>
    </row>
    <row r="47">
      <c r="A47" t="inlineStr">
        <is>
          <t>Spacious En-suite with private patio and garage parking in Crescent Ridge Townhome Community</t>
        </is>
      </c>
      <c r="B47" s="2" t="n">
        <v>900</v>
      </c>
      <c r="C47" s="2" t="n">
        <v>900</v>
      </c>
      <c r="D47" s="2">
        <f>(B47+C47)/2</f>
        <v/>
      </c>
      <c r="E47" s="9" t="n">
        <v>2.412666918769093</v>
      </c>
      <c r="F47" t="inlineStr">
        <is>
          <t>1-3 mi</t>
        </is>
      </c>
      <c r="G47" t="inlineStr">
        <is>
          <t>ocpsd8dpj6</t>
        </is>
      </c>
      <c r="H47" t="inlineStr">
        <is>
          <t>https://offcampus.dasa.ncsu.edu/housing/property/spacious-en-suite-with-private-patio-and-garage-parking-in-crescent-ridge-townhome-community/ocpsd8dpj6</t>
        </is>
      </c>
    </row>
    <row r="48">
      <c r="A48" t="inlineStr">
        <is>
          <t>Spacious Forest Park Two-Room Suite + Private Bath - Walk to Campus (Includes Utilities)</t>
        </is>
      </c>
      <c r="B48" s="2" t="n">
        <v>1225</v>
      </c>
      <c r="C48" s="2" t="n">
        <v>1225</v>
      </c>
      <c r="D48" s="2">
        <f>(B48+C48)/2</f>
        <v/>
      </c>
      <c r="E48" s="9" t="n">
        <v>1.799572412975274</v>
      </c>
      <c r="F48" t="inlineStr">
        <is>
          <t>1-3 mi</t>
        </is>
      </c>
      <c r="G48" t="inlineStr">
        <is>
          <t>ocpgxr290w</t>
        </is>
      </c>
      <c r="H48" t="inlineStr">
        <is>
          <t>https://offcampus.dasa.ncsu.edu/housing/property/spacious-forest-park-two-room-suite-private-bath-walk-to-campus-includes-utilities/ocpgxr290w</t>
        </is>
      </c>
    </row>
    <row r="49">
      <c r="A49" t="inlineStr">
        <is>
          <t>Stanhope Student Apartments</t>
        </is>
      </c>
      <c r="B49" s="2" t="n">
        <v>1300</v>
      </c>
      <c r="C49" s="2" t="n">
        <v>1300</v>
      </c>
      <c r="D49" s="2">
        <f>(B49+C49)/2</f>
        <v/>
      </c>
      <c r="E49" s="9" t="n">
        <v>1.412298318639059</v>
      </c>
      <c r="F49" t="inlineStr">
        <is>
          <t>1-3 mi</t>
        </is>
      </c>
      <c r="G49" t="inlineStr">
        <is>
          <t>ocpk5yz73b</t>
        </is>
      </c>
      <c r="H49" t="inlineStr">
        <is>
          <t>https://offcampus.dasa.ncsu.edu/housing/property/stanhope-student-apartments/ocpk5yz73b</t>
        </is>
      </c>
    </row>
    <row r="50">
      <c r="A50" t="inlineStr">
        <is>
          <t>The Station</t>
        </is>
      </c>
      <c r="B50" s="2" t="n">
        <v>969</v>
      </c>
      <c r="C50" s="2" t="n">
        <v>969</v>
      </c>
      <c r="D50" s="2">
        <f>(B50+C50)/2</f>
        <v/>
      </c>
      <c r="E50" s="9" t="n">
        <v>2.835248870572562</v>
      </c>
      <c r="F50" t="inlineStr">
        <is>
          <t>1-3 mi</t>
        </is>
      </c>
      <c r="G50" t="inlineStr">
        <is>
          <t>ocp2gxtxqc</t>
        </is>
      </c>
      <c r="H50" t="inlineStr">
        <is>
          <t>https://offcampus.dasa.ncsu.edu/housing/property/the-station/ocp2gxtxqc</t>
        </is>
      </c>
    </row>
    <row r="51">
      <c r="A51" t="inlineStr">
        <is>
          <t>The Station Raleigh</t>
        </is>
      </c>
      <c r="B51" s="2" t="n">
        <v>749</v>
      </c>
      <c r="C51" s="2" t="n">
        <v>1930</v>
      </c>
      <c r="D51" s="2">
        <f>(B51+C51)/2</f>
        <v/>
      </c>
      <c r="E51" s="9" t="n">
        <v>2.867480525477387</v>
      </c>
      <c r="F51" t="inlineStr">
        <is>
          <t>1-3 mi</t>
        </is>
      </c>
      <c r="G51" t="inlineStr">
        <is>
          <t>5hme2mn</t>
        </is>
      </c>
      <c r="H51" t="inlineStr">
        <is>
          <t>https://offcampus.dasa.ncsu.edu/housing/property/the-station-raleigh/5hme2mn</t>
        </is>
      </c>
    </row>
    <row r="52">
      <c r="A52" t="inlineStr">
        <is>
          <t>The Wilde</t>
        </is>
      </c>
      <c r="B52" s="2" t="n">
        <v>599</v>
      </c>
      <c r="C52" s="2" t="n">
        <v>920</v>
      </c>
      <c r="D52" s="2">
        <f>(B52+C52)/2</f>
        <v/>
      </c>
      <c r="E52" s="9" t="n">
        <v>1.43688318271336</v>
      </c>
      <c r="F52" t="inlineStr">
        <is>
          <t>1-3 mi</t>
        </is>
      </c>
      <c r="G52" t="inlineStr">
        <is>
          <t>syvz9l4</t>
        </is>
      </c>
      <c r="H52" t="inlineStr">
        <is>
          <t>https://offcampus.dasa.ncsu.edu/housing/property/the-wilde/syvz9l4</t>
        </is>
      </c>
    </row>
    <row r="53">
      <c r="A53" t="inlineStr">
        <is>
          <t>The Wilde</t>
        </is>
      </c>
      <c r="B53" s="2" t="n">
        <v>860</v>
      </c>
      <c r="C53" s="2" t="n">
        <v>860</v>
      </c>
      <c r="D53" s="2">
        <f>(B53+C53)/2</f>
        <v/>
      </c>
      <c r="E53" s="9" t="n">
        <v>1.469430093164432</v>
      </c>
      <c r="F53" t="inlineStr">
        <is>
          <t>1-3 mi</t>
        </is>
      </c>
      <c r="G53" t="inlineStr">
        <is>
          <t>ocp67ldb5s</t>
        </is>
      </c>
      <c r="H53" t="inlineStr">
        <is>
          <t>https://offcampus.dasa.ncsu.edu/housing/property/the-wilde/ocp67ldb5s</t>
        </is>
      </c>
    </row>
    <row r="54">
      <c r="A54" t="inlineStr">
        <is>
          <t>Tryon Flats Apartments</t>
        </is>
      </c>
      <c r="B54" s="2" t="n">
        <v>750</v>
      </c>
      <c r="C54" s="2" t="n">
        <v>750</v>
      </c>
      <c r="D54" s="2">
        <f>(B54+C54)/2</f>
        <v/>
      </c>
      <c r="E54" s="9" t="n">
        <v>1.803033076423747</v>
      </c>
      <c r="F54" t="inlineStr">
        <is>
          <t>1-3 mi</t>
        </is>
      </c>
      <c r="G54" t="inlineStr">
        <is>
          <t>xcp87fm</t>
        </is>
      </c>
      <c r="H54" t="inlineStr">
        <is>
          <t>https://offcampus.dasa.ncsu.edu/housing/property/tryon-flats-apartments/xcp87fm</t>
        </is>
      </c>
    </row>
    <row r="55">
      <c r="A55" t="inlineStr">
        <is>
          <t>University Oaks</t>
        </is>
      </c>
      <c r="B55" s="2" t="n">
        <v>725</v>
      </c>
      <c r="C55" s="2" t="n">
        <v>725</v>
      </c>
      <c r="D55" s="2">
        <f>(B55+C55)/2</f>
        <v/>
      </c>
      <c r="E55" s="9" t="n">
        <v>1.134452219955307</v>
      </c>
      <c r="F55" t="inlineStr">
        <is>
          <t>1-3 mi</t>
        </is>
      </c>
      <c r="G55" t="inlineStr">
        <is>
          <t>ocp4t7wmxk</t>
        </is>
      </c>
      <c r="H55" t="inlineStr">
        <is>
          <t>https://offcampus.dasa.ncsu.edu/housing/property/university-oaks/ocp4t7wmxk</t>
        </is>
      </c>
    </row>
    <row r="56">
      <c r="A56" t="inlineStr">
        <is>
          <t>University Oaks -</t>
        </is>
      </c>
      <c r="B56" s="2" t="n">
        <v>725</v>
      </c>
      <c r="C56" s="2" t="n">
        <v>725</v>
      </c>
      <c r="D56" s="2">
        <f>(B56+C56)/2</f>
        <v/>
      </c>
      <c r="E56" s="9" t="n">
        <v>1.150205519026803</v>
      </c>
      <c r="F56" t="inlineStr">
        <is>
          <t>1-3 mi</t>
        </is>
      </c>
      <c r="G56" t="inlineStr">
        <is>
          <t>ocp2evl6hb</t>
        </is>
      </c>
      <c r="H56" t="inlineStr">
        <is>
          <t>https://offcampus.dasa.ncsu.edu/housing/property/university-oaks/ocp2evl6hb</t>
        </is>
      </c>
    </row>
    <row r="57">
      <c r="A57" t="inlineStr">
        <is>
          <t>University Suites Student Housing</t>
        </is>
      </c>
      <c r="B57" s="2" t="n">
        <v>699</v>
      </c>
      <c r="C57" s="2" t="n">
        <v>799</v>
      </c>
      <c r="D57" s="2">
        <f>(B57+C57)/2</f>
        <v/>
      </c>
      <c r="E57" s="9" t="n">
        <v>1.702928645517823</v>
      </c>
      <c r="F57" t="inlineStr">
        <is>
          <t>1-3 mi</t>
        </is>
      </c>
      <c r="G57" t="inlineStr">
        <is>
          <t>e13mz5m</t>
        </is>
      </c>
      <c r="H57" t="inlineStr">
        <is>
          <t>https://offcampus.dasa.ncsu.edu/housing/property/university-suites-student-housing/e13mz5m</t>
        </is>
      </c>
    </row>
    <row r="58">
      <c r="A58" t="inlineStr">
        <is>
          <t>University Village at 2505</t>
        </is>
      </c>
      <c r="B58" s="2" t="n">
        <v>799</v>
      </c>
      <c r="C58" s="2" t="n">
        <v>799</v>
      </c>
      <c r="D58" s="2">
        <f>(B58+C58)/2</f>
        <v/>
      </c>
      <c r="E58" s="9" t="n">
        <v>1.477401515394216</v>
      </c>
      <c r="F58" t="inlineStr">
        <is>
          <t>1-3 mi</t>
        </is>
      </c>
      <c r="G58" t="inlineStr">
        <is>
          <t>33f756e</t>
        </is>
      </c>
      <c r="H58" t="inlineStr">
        <is>
          <t>https://offcampus.dasa.ncsu.edu/housing/property/university-village-at-2505/33f756e</t>
        </is>
      </c>
    </row>
    <row r="59">
      <c r="A59" t="inlineStr">
        <is>
          <t>University Woods</t>
        </is>
      </c>
      <c r="B59" s="2" t="n">
        <v>600</v>
      </c>
      <c r="C59" s="2" t="n">
        <v>600</v>
      </c>
      <c r="D59" s="2">
        <f>(B59+C59)/2</f>
        <v/>
      </c>
      <c r="E59" s="9" t="n">
        <v>1.587692689347536</v>
      </c>
      <c r="F59" t="inlineStr">
        <is>
          <t>1-3 mi</t>
        </is>
      </c>
      <c r="G59" t="inlineStr">
        <is>
          <t>ocps6ymwl7</t>
        </is>
      </c>
      <c r="H59" t="inlineStr">
        <is>
          <t>https://offcampus.dasa.ncsu.edu/housing/property/university-woods/ocps6ymwl7</t>
        </is>
      </c>
    </row>
    <row r="60">
      <c r="A60" t="inlineStr">
        <is>
          <t>Valentine Commons</t>
        </is>
      </c>
      <c r="B60" s="2" t="n">
        <v>1000</v>
      </c>
      <c r="C60" s="2" t="n">
        <v>1300</v>
      </c>
      <c r="D60" s="2">
        <f>(B60+C60)/2</f>
        <v/>
      </c>
      <c r="E60" s="9" t="n">
        <v>1.336480793212038</v>
      </c>
      <c r="F60" t="inlineStr">
        <is>
          <t>1-3 mi</t>
        </is>
      </c>
      <c r="G60" t="inlineStr">
        <is>
          <t>ocp5cx5drn</t>
        </is>
      </c>
      <c r="H60" t="inlineStr">
        <is>
          <t>https://offcampus.dasa.ncsu.edu/housing/property/valentine-commons/ocp5cx5drn</t>
        </is>
      </c>
    </row>
    <row r="61">
      <c r="A61" t="inlineStr">
        <is>
          <t>Village Green</t>
        </is>
      </c>
      <c r="B61" s="2" t="n">
        <v>930</v>
      </c>
      <c r="C61" s="2" t="n">
        <v>930</v>
      </c>
      <c r="D61" s="2">
        <f>(B61+C61)/2</f>
        <v/>
      </c>
      <c r="E61" s="9" t="n">
        <v>1.194946286765294</v>
      </c>
      <c r="F61" t="inlineStr">
        <is>
          <t>1-3 mi</t>
        </is>
      </c>
      <c r="G61" t="inlineStr">
        <is>
          <t>ocp1ddchy6</t>
        </is>
      </c>
      <c r="H61" t="inlineStr">
        <is>
          <t>https://offcampus.dasa.ncsu.edu/housing/property/village-green/ocp1ddchy6</t>
        </is>
      </c>
    </row>
    <row r="62">
      <c r="A62" t="inlineStr">
        <is>
          <t>Village Green Student Housing</t>
        </is>
      </c>
      <c r="B62" s="2" t="n">
        <v>649</v>
      </c>
      <c r="C62" s="2" t="n">
        <v>839</v>
      </c>
      <c r="D62" s="2">
        <f>(B62+C62)/2</f>
        <v/>
      </c>
      <c r="E62" s="9" t="n">
        <v>1.15944667707491</v>
      </c>
      <c r="F62" t="inlineStr">
        <is>
          <t>1-3 mi</t>
        </is>
      </c>
      <c r="G62" t="inlineStr">
        <is>
          <t>jjs8f07</t>
        </is>
      </c>
      <c r="H62" t="inlineStr">
        <is>
          <t>https://offcampus.dasa.ncsu.edu/housing/property/village-green-student-housing/jjs8f07</t>
        </is>
      </c>
    </row>
    <row r="63">
      <c r="A63" t="inlineStr">
        <is>
          <t>Village Green Student Living</t>
        </is>
      </c>
      <c r="B63" s="2" t="n">
        <v>831</v>
      </c>
      <c r="C63" s="2" t="n">
        <v>831</v>
      </c>
      <c r="D63" s="2">
        <f>(B63+C63)/2</f>
        <v/>
      </c>
      <c r="E63" s="9" t="n">
        <v>1.038223111913154</v>
      </c>
      <c r="F63" t="inlineStr">
        <is>
          <t>1-3 mi</t>
        </is>
      </c>
      <c r="G63" t="inlineStr">
        <is>
          <t>ocpepvxvln</t>
        </is>
      </c>
      <c r="H63" t="inlineStr">
        <is>
          <t>https://offcampus.dasa.ncsu.edu/housing/property/village-green-student-living/ocpepvxvln</t>
        </is>
      </c>
    </row>
    <row r="64">
      <c r="A64" t="inlineStr">
        <is>
          <t>Voyager House</t>
        </is>
      </c>
      <c r="B64" s="2" t="n">
        <v>800</v>
      </c>
      <c r="C64" s="2" t="n">
        <v>800</v>
      </c>
      <c r="D64" s="2">
        <f>(B64+C64)/2</f>
        <v/>
      </c>
      <c r="E64" s="9" t="n">
        <v>1.115036172641576</v>
      </c>
      <c r="F64" t="inlineStr">
        <is>
          <t>1-3 mi</t>
        </is>
      </c>
      <c r="G64" t="inlineStr">
        <is>
          <t>ocpbhbkvy9</t>
        </is>
      </c>
      <c r="H64" t="inlineStr">
        <is>
          <t>https://offcampus.dasa.ncsu.edu/housing/property/voyager-house/ocpbhbkvy9</t>
        </is>
      </c>
    </row>
    <row r="65">
      <c r="A65" t="inlineStr">
        <is>
          <t>We have 1 bedroom open In a luxury 5 bed 5 full bath house 1/1/27-6/30/27</t>
        </is>
      </c>
      <c r="B65" s="2" t="n">
        <v>1200</v>
      </c>
      <c r="C65" s="2" t="n">
        <v>1200</v>
      </c>
      <c r="D65" s="2">
        <f>(B65+C65)/2</f>
        <v/>
      </c>
      <c r="E65" s="9" t="n">
        <v>2.18010409239071</v>
      </c>
      <c r="F65" t="inlineStr">
        <is>
          <t>1-3 mi</t>
        </is>
      </c>
      <c r="G65" t="inlineStr">
        <is>
          <t>ocp6wsb4yt</t>
        </is>
      </c>
      <c r="H65" t="inlineStr">
        <is>
          <t>https://offcampus.dasa.ncsu.edu/housing/property/we-have-1-bedroom-open-in-a-luxury-5-bed-5-full-bath-house-1-1-27-6-30-27/ocp6wsb4yt</t>
        </is>
      </c>
    </row>
    <row r="66">
      <c r="A66" t="inlineStr">
        <is>
          <t>2850 Sanderford Rd (Raleigh, NC)</t>
        </is>
      </c>
      <c r="B66" s="2" t="n">
        <v>650</v>
      </c>
      <c r="C66" s="2" t="n">
        <v>650</v>
      </c>
      <c r="D66" s="2">
        <f>(B66+C66)/2</f>
        <v/>
      </c>
      <c r="E66" s="9" t="n">
        <v>4.175547503871908</v>
      </c>
      <c r="F66" t="inlineStr">
        <is>
          <t>3-5 mi</t>
        </is>
      </c>
      <c r="G66" t="inlineStr">
        <is>
          <t>lpl9fce</t>
        </is>
      </c>
      <c r="H66" t="inlineStr">
        <is>
          <t>https://offcampus.dasa.ncsu.edu/housing/property/2850-sanderford-rd-raleigh-nc/lpl9fce</t>
        </is>
      </c>
    </row>
    <row r="67">
      <c r="A67" t="inlineStr">
        <is>
          <t>Brand New Luxury Furnished Townhome | 4 Bed /  3.5 Bath | 5 Min to NC State &amp; 3 Mins to Fenton +shop</t>
        </is>
      </c>
      <c r="B67" s="2" t="n">
        <v>900</v>
      </c>
      <c r="C67" s="2" t="n">
        <v>1050</v>
      </c>
      <c r="D67" s="2">
        <f>(B67+C67)/2</f>
        <v/>
      </c>
      <c r="E67" s="9" t="n">
        <v>3.578926701741286</v>
      </c>
      <c r="F67" t="inlineStr">
        <is>
          <t>3-5 mi</t>
        </is>
      </c>
      <c r="G67" t="inlineStr">
        <is>
          <t>ocpw46rjcl</t>
        </is>
      </c>
      <c r="H67" t="inlineStr">
        <is>
          <t>https://offcampus.dasa.ncsu.edu/housing/property/brand-new-luxury-furnished-townhome-4-bed-3-5-bath-5-min-to-nc-state-and-3-mins-to-fenton-shop/ocpw46rjcl</t>
        </is>
      </c>
    </row>
    <row r="68">
      <c r="A68" t="inlineStr">
        <is>
          <t>Brick Bungalow close to Campus</t>
        </is>
      </c>
      <c r="B68" s="2" t="n">
        <v>1050</v>
      </c>
      <c r="C68" s="2" t="n">
        <v>1050</v>
      </c>
      <c r="D68" s="2">
        <f>(B68+C68)/2</f>
        <v/>
      </c>
      <c r="E68" s="9" t="n">
        <v>3.807228719080559</v>
      </c>
      <c r="F68" t="inlineStr">
        <is>
          <t>3-5 mi</t>
        </is>
      </c>
      <c r="G68" t="inlineStr">
        <is>
          <t>ocp90bdzb4</t>
        </is>
      </c>
      <c r="H68" t="inlineStr">
        <is>
          <t>https://offcampus.dasa.ncsu.edu/housing/property/brick-bungalow-close-to-campus/ocp90bdzb4</t>
        </is>
      </c>
    </row>
    <row r="69">
      <c r="A69" t="inlineStr">
        <is>
          <t>FURNISHED TOWNHOME RENTAL – 10 Mins to NCSU - 3 Bedroom - starting $750 per room</t>
        </is>
      </c>
      <c r="B69" s="2" t="n">
        <v>750</v>
      </c>
      <c r="C69" s="2" t="n">
        <v>750</v>
      </c>
      <c r="D69" s="2">
        <f>(B69+C69)/2</f>
        <v/>
      </c>
      <c r="E69" s="9" t="n">
        <v>3.413418351720542</v>
      </c>
      <c r="F69" t="inlineStr">
        <is>
          <t>3-5 mi</t>
        </is>
      </c>
      <c r="G69" t="inlineStr">
        <is>
          <t>ocpwwwe8yh</t>
        </is>
      </c>
      <c r="H69" t="inlineStr">
        <is>
          <t>https://offcampus.dasa.ncsu.edu/housing/property/furnished-townhome-rental-10-mins-to-ncsu-3-bedroom-starting-750-per-room/ocpwwwe8yh</t>
        </is>
      </c>
    </row>
    <row r="70">
      <c r="A70" t="inlineStr">
        <is>
          <t>Great value in beautiful SW Raleigh</t>
        </is>
      </c>
      <c r="B70" s="2" t="n">
        <v>850</v>
      </c>
      <c r="C70" s="2" t="n">
        <v>850</v>
      </c>
      <c r="D70" s="2">
        <f>(B70+C70)/2</f>
        <v/>
      </c>
      <c r="E70" s="9" t="n">
        <v>3.281036351668997</v>
      </c>
      <c r="F70" t="inlineStr">
        <is>
          <t>3-5 mi</t>
        </is>
      </c>
      <c r="G70" t="inlineStr">
        <is>
          <t>ocp0gblz91</t>
        </is>
      </c>
      <c r="H70" t="inlineStr">
        <is>
          <t>https://offcampus.dasa.ncsu.edu/housing/property/great-value-in-beautiful-sw-raleigh/ocp0gblz91</t>
        </is>
      </c>
    </row>
    <row r="71">
      <c r="A71" t="inlineStr">
        <is>
          <t>Huge modern studio suite- private entrance and beth- near NCSU</t>
        </is>
      </c>
      <c r="B71" s="2" t="n">
        <v>1150</v>
      </c>
      <c r="C71" s="2" t="n">
        <v>1150</v>
      </c>
      <c r="D71" s="2">
        <f>(B71+C71)/2</f>
        <v/>
      </c>
      <c r="E71" s="9" t="n">
        <v>3.718886731915769</v>
      </c>
      <c r="F71" t="inlineStr">
        <is>
          <t>3-5 mi</t>
        </is>
      </c>
      <c r="G71" t="inlineStr">
        <is>
          <t>ocpteqgjg8</t>
        </is>
      </c>
      <c r="H71" t="inlineStr">
        <is>
          <t>https://offcampus.dasa.ncsu.edu/housing/property/huge-modern-studio-suite-private-entrance-and-beth-near-ncsu/ocpteqgjg8</t>
        </is>
      </c>
    </row>
    <row r="72">
      <c r="A72" t="inlineStr">
        <is>
          <t>Liberty station male only townhome- 5 miles from Centennial</t>
        </is>
      </c>
      <c r="B72" s="2" t="n">
        <v>900</v>
      </c>
      <c r="C72" s="2" t="n">
        <v>900</v>
      </c>
      <c r="D72" s="2">
        <f>(B72+C72)/2</f>
        <v/>
      </c>
      <c r="E72" s="9" t="n">
        <v>3.390690803211668</v>
      </c>
      <c r="F72" t="inlineStr">
        <is>
          <t>3-5 mi</t>
        </is>
      </c>
      <c r="G72" t="inlineStr">
        <is>
          <t>ocp2k0px98</t>
        </is>
      </c>
      <c r="H72" t="inlineStr">
        <is>
          <t>https://offcampus.dasa.ncsu.edu/housing/property/liberty-station-male-only-townhome-5-miles-from-centennial/ocp2k0px98</t>
        </is>
      </c>
    </row>
    <row r="73">
      <c r="A73" t="inlineStr">
        <is>
          <t>Paloma Raleigh</t>
        </is>
      </c>
      <c r="B73" s="2" t="n">
        <v>749</v>
      </c>
      <c r="C73" s="2" t="n">
        <v>1599</v>
      </c>
      <c r="D73" s="2">
        <f>(B73+C73)/2</f>
        <v/>
      </c>
      <c r="E73" s="9" t="n">
        <v>3.060096594508182</v>
      </c>
      <c r="F73" t="inlineStr">
        <is>
          <t>3-5 mi</t>
        </is>
      </c>
      <c r="G73" t="inlineStr">
        <is>
          <t>0smdl31</t>
        </is>
      </c>
      <c r="H73" t="inlineStr">
        <is>
          <t>https://offcampus.dasa.ncsu.edu/housing/property/paloma-raleigh/0smdl31</t>
        </is>
      </c>
    </row>
    <row r="74">
      <c r="A74" t="inlineStr">
        <is>
          <t>Redpoint Raleigh</t>
        </is>
      </c>
      <c r="B74" s="2" t="n">
        <v>899</v>
      </c>
      <c r="C74" s="2" t="n">
        <v>995</v>
      </c>
      <c r="D74" s="2">
        <f>(B74+C74)/2</f>
        <v/>
      </c>
      <c r="E74" s="9" t="n">
        <v>3.127175273739738</v>
      </c>
      <c r="F74" t="inlineStr">
        <is>
          <t>3-5 mi</t>
        </is>
      </c>
      <c r="G74" t="inlineStr">
        <is>
          <t>5x5ph7m</t>
        </is>
      </c>
      <c r="H74" t="inlineStr">
        <is>
          <t>https://offcampus.dasa.ncsu.edu/housing/property/redpoint-raleigh/5x5ph7m</t>
        </is>
      </c>
    </row>
    <row r="75">
      <c r="A75" t="inlineStr">
        <is>
          <t>Room in House on Quartz Ct</t>
        </is>
      </c>
      <c r="B75" s="2" t="n">
        <v>685</v>
      </c>
      <c r="C75" s="2" t="n">
        <v>685</v>
      </c>
      <c r="D75" s="2">
        <f>(B75+C75)/2</f>
        <v/>
      </c>
      <c r="E75" s="9" t="n">
        <v>4.200471923458102</v>
      </c>
      <c r="F75" t="inlineStr">
        <is>
          <t>3-5 mi</t>
        </is>
      </c>
      <c r="G75" t="inlineStr">
        <is>
          <t>bq6wzsb</t>
        </is>
      </c>
      <c r="H75" t="inlineStr">
        <is>
          <t>https://offcampus.dasa.ncsu.edu/housing/property/room-in-house-on-quartz-ct/bq6wzsb</t>
        </is>
      </c>
    </row>
    <row r="76">
      <c r="A76" t="inlineStr">
        <is>
          <t>Room in House on Slippery Elm Dr</t>
        </is>
      </c>
      <c r="B76" s="2" t="n">
        <v>720</v>
      </c>
      <c r="C76" s="2" t="n">
        <v>720</v>
      </c>
      <c r="D76" s="2">
        <f>(B76+C76)/2</f>
        <v/>
      </c>
      <c r="E76" s="9" t="n">
        <v>4.88359910158691</v>
      </c>
      <c r="F76" t="inlineStr">
        <is>
          <t>3-5 mi</t>
        </is>
      </c>
      <c r="G76" t="inlineStr">
        <is>
          <t>3zb9brd</t>
        </is>
      </c>
      <c r="H76" t="inlineStr">
        <is>
          <t>https://offcampus.dasa.ncsu.edu/housing/property/room-in-house-on-slippery-elm-dr/3zb9brd</t>
        </is>
      </c>
    </row>
    <row r="77">
      <c r="A77" t="inlineStr">
        <is>
          <t>Room in Townhome on Haskell Dr</t>
        </is>
      </c>
      <c r="B77" s="2" t="n">
        <v>563</v>
      </c>
      <c r="C77" s="2" t="n">
        <v>563</v>
      </c>
      <c r="D77" s="2">
        <f>(B77+C77)/2</f>
        <v/>
      </c>
      <c r="E77" s="9" t="n">
        <v>3.403130883503663</v>
      </c>
      <c r="F77" t="inlineStr">
        <is>
          <t>3-5 mi</t>
        </is>
      </c>
      <c r="G77" t="inlineStr">
        <is>
          <t>49jmmdh</t>
        </is>
      </c>
      <c r="H77" t="inlineStr">
        <is>
          <t>https://offcampus.dasa.ncsu.edu/housing/property/room-in-townhome-on-haskell-dr/49jmmdh</t>
        </is>
      </c>
    </row>
    <row r="78">
      <c r="A78" t="inlineStr">
        <is>
          <t>Room in Townhome on Macedonia Lake Dr</t>
        </is>
      </c>
      <c r="B78" s="2" t="n">
        <v>800</v>
      </c>
      <c r="C78" s="2" t="n">
        <v>800</v>
      </c>
      <c r="D78" s="2">
        <f>(B78+C78)/2</f>
        <v/>
      </c>
      <c r="E78" s="9" t="n">
        <v>3.910487836729603</v>
      </c>
      <c r="F78" t="inlineStr">
        <is>
          <t>3-5 mi</t>
        </is>
      </c>
      <c r="G78" t="inlineStr">
        <is>
          <t>9m73sq5</t>
        </is>
      </c>
      <c r="H78" t="inlineStr">
        <is>
          <t>https://offcampus.dasa.ncsu.edu/housing/property/room-in-townhome-on-macedonia-lake-dr/9m73sq5</t>
        </is>
      </c>
    </row>
    <row r="79"/>
    <row r="80">
      <c r="A80" s="4" t="n"/>
      <c r="B80" s="4" t="n"/>
      <c r="C80" s="4" t="n"/>
      <c r="D80" s="4" t="n"/>
    </row>
    <row r="81">
      <c r="A81" s="10" t="inlineStr">
        <is>
          <t>Prices used (COUNT)</t>
        </is>
      </c>
      <c r="B81" s="13">
        <f>COUNT(B5:B78)</f>
        <v/>
      </c>
      <c r="C81" s="13">
        <f>COUNT(C5:C78)</f>
        <v/>
      </c>
      <c r="D81" s="13">
        <f>COUNT(D5:D78)</f>
        <v/>
      </c>
    </row>
    <row r="82">
      <c r="A82" s="10" t="inlineStr">
        <is>
          <t>Total advertised rent (SUM)</t>
        </is>
      </c>
      <c r="B82" s="2">
        <f>SUM(B5:B78)</f>
        <v/>
      </c>
      <c r="C82" s="2">
        <f>SUM(C5:C78)</f>
        <v/>
      </c>
      <c r="D82" s="2">
        <f>SUM(D5:D78)</f>
        <v/>
      </c>
    </row>
    <row r="83">
      <c r="A83" s="10" t="inlineStr">
        <is>
          <t>Average (sum / count)</t>
        </is>
      </c>
      <c r="B83" s="2">
        <f>B82/B81</f>
        <v/>
      </c>
      <c r="C83" s="2">
        <f>C82/C81</f>
        <v/>
      </c>
      <c r="D83" s="2">
        <f>D82/D81</f>
        <v/>
      </c>
    </row>
    <row r="84">
      <c r="A84" s="10" t="inlineStr">
        <is>
          <t>Median listing midpoint</t>
        </is>
      </c>
      <c r="B84" s="2" t="n"/>
      <c r="C84" s="2" t="n"/>
      <c r="D84" s="2">
        <f>MEDIAN(D5:D78)</f>
        <v/>
      </c>
    </row>
    <row r="87">
      <c r="A87" s="11" t="inlineStr">
        <is>
          <t>Centennial Campus band</t>
        </is>
      </c>
      <c r="B87" s="11" t="inlineStr">
        <is>
          <t>Listings</t>
        </is>
      </c>
      <c r="C87" s="11" t="inlineStr">
        <is>
          <t>Low-price sum</t>
        </is>
      </c>
      <c r="D87" s="11" t="inlineStr">
        <is>
          <t>High-price sum</t>
        </is>
      </c>
      <c r="E87" s="11" t="inlineStr">
        <is>
          <t>Midpoint sum</t>
        </is>
      </c>
      <c r="F87" s="11" t="inlineStr">
        <is>
          <t>Mean midpoint</t>
        </is>
      </c>
    </row>
    <row r="88">
      <c r="A88" s="10" t="inlineStr">
        <is>
          <t>0-1 mi</t>
        </is>
      </c>
      <c r="B88">
        <f>COUNTIF($F$5:$F78,A88)</f>
        <v/>
      </c>
      <c r="C88" s="2">
        <f>SUMIF($F$5:$F78,A88,$B$5:$B78)</f>
        <v/>
      </c>
      <c r="D88" s="2">
        <f>SUMIF($F$5:$F78,A88,$C$5:$C78)</f>
        <v/>
      </c>
      <c r="E88" s="2">
        <f>SUMIF($F$5:$F78,A88,$D$5:$D78)</f>
        <v/>
      </c>
      <c r="F88" s="2">
        <f>E88/B88</f>
        <v/>
      </c>
    </row>
    <row r="89">
      <c r="A89" s="10" t="inlineStr">
        <is>
          <t>1-3 mi</t>
        </is>
      </c>
      <c r="B89">
        <f>COUNTIF($F$5:$F78,A89)</f>
        <v/>
      </c>
      <c r="C89" s="2">
        <f>SUMIF($F$5:$F78,A89,$B$5:$B78)</f>
        <v/>
      </c>
      <c r="D89" s="2">
        <f>SUMIF($F$5:$F78,A89,$C$5:$C78)</f>
        <v/>
      </c>
      <c r="E89" s="2">
        <f>SUMIF($F$5:$F78,A89,$D$5:$D78)</f>
        <v/>
      </c>
      <c r="F89" s="2">
        <f>E89/B89</f>
        <v/>
      </c>
    </row>
    <row r="90">
      <c r="A90" s="10" t="inlineStr">
        <is>
          <t>3-5 mi</t>
        </is>
      </c>
      <c r="B90">
        <f>COUNTIF($F$5:$F78,A90)</f>
        <v/>
      </c>
      <c r="C90" s="2">
        <f>SUMIF($F$5:$F78,A90,$B$5:$B78)</f>
        <v/>
      </c>
      <c r="D90" s="2">
        <f>SUMIF($F$5:$F78,A90,$C$5:$C78)</f>
        <v/>
      </c>
      <c r="E90" s="2">
        <f>SUMIF($F$5:$F78,A90,$D$5:$D78)</f>
        <v/>
      </c>
      <c r="F90" s="2">
        <f>E90/B90</f>
        <v/>
      </c>
    </row>
    <row r="91">
      <c r="A91" s="10" t="inlineStr">
        <is>
          <t>All three bands</t>
        </is>
      </c>
      <c r="B91" s="10">
        <f>SUM(B88:B90)</f>
        <v/>
      </c>
      <c r="C91" s="13">
        <f>SUM(C88:C90)</f>
        <v/>
      </c>
      <c r="D91" s="13">
        <f>SUM(D88:D90)</f>
        <v/>
      </c>
      <c r="E91" s="13">
        <f>SUM(E88:E90)</f>
        <v/>
      </c>
      <c r="F91" s="13">
        <f>E91/B91</f>
        <v/>
      </c>
    </row>
    <row r="94">
      <c r="A94" s="14" t="inlineStr">
        <is>
          <t>Draft page check</t>
        </is>
      </c>
      <c r="B94" s="14" t="inlineStr">
        <is>
          <t>Rounded average low</t>
        </is>
      </c>
      <c r="C94" s="14" t="inlineStr">
        <is>
          <t>Rounded average high</t>
        </is>
      </c>
      <c r="D94" s="14" t="inlineStr">
        <is>
          <t>Rounded midpoint</t>
        </is>
      </c>
    </row>
    <row r="95">
      <c r="A95" s="10" t="inlineStr">
        <is>
          <t>Displayed values</t>
        </is>
      </c>
      <c r="B95" s="16">
        <f>ROUND(B83,0)</f>
        <v/>
      </c>
      <c r="C95" s="16">
        <f>ROUND(C83,0)</f>
        <v/>
      </c>
      <c r="D95" s="16">
        <f>ROUND(D83,0)</f>
        <v/>
      </c>
    </row>
  </sheetData>
  <autoFilter ref="A4:G78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54" customWidth="1" min="7" max="7"/>
  </cols>
  <sheetData>
    <row r="1">
      <c r="A1" s="6" t="inlineStr">
        <is>
          <t>Centennial 0-1 mi</t>
        </is>
      </c>
    </row>
    <row r="2">
      <c r="A2" s="5" t="inlineStr">
        <is>
          <t>Sept. 9, 2026 advertised-price snapshot. One vote per listing; midpoint=(low+high)/2.</t>
        </is>
      </c>
    </row>
    <row r="4">
      <c r="A4" s="1" t="inlineStr">
        <is>
          <t>Listing name</t>
        </is>
      </c>
      <c r="B4" s="1" t="inlineStr">
        <is>
          <t>Low ($/month)</t>
        </is>
      </c>
      <c r="C4" s="1" t="inlineStr">
        <is>
          <t>High ($/month)</t>
        </is>
      </c>
      <c r="D4" s="1" t="inlineStr">
        <is>
          <t>Midpoint ($/month)</t>
        </is>
      </c>
      <c r="E4" s="1" t="inlineStr">
        <is>
          <t>Distance (mi)</t>
        </is>
      </c>
      <c r="F4" s="1" t="inlineStr">
        <is>
          <t>Listing ID</t>
        </is>
      </c>
      <c r="G4" s="1" t="inlineStr">
        <is>
          <t>Source URL</t>
        </is>
      </c>
    </row>
    <row r="5">
      <c r="A5" t="inlineStr">
        <is>
          <t>"Avery Close " condos room available across from Centennial Campus NCSU NC State Raleigh</t>
        </is>
      </c>
      <c r="B5" s="2" t="n">
        <v>750</v>
      </c>
      <c r="C5" s="2" t="n">
        <v>750</v>
      </c>
      <c r="D5" s="2">
        <f>(B5+C5)/2</f>
        <v/>
      </c>
      <c r="E5" s="3" t="n">
        <v>0.4729019086752427</v>
      </c>
      <c r="F5" t="inlineStr">
        <is>
          <t>ocpsnmx4w4</t>
        </is>
      </c>
      <c r="G5" t="inlineStr">
        <is>
          <t>https://offcampus.dasa.ncsu.edu/housing/property/avery-close-condos-room-available-across-from-centennial-campus-ncsu-nc-state-raleigh/ocpsnmx4w4</t>
        </is>
      </c>
    </row>
    <row r="6">
      <c r="A6" t="inlineStr">
        <is>
          <t>4BR/4BA Condo| On Wolfline | Preleasing 27-28 Special $850 Util/Parking Incld | Mile to Campus</t>
        </is>
      </c>
      <c r="B6" s="2" t="n">
        <v>875</v>
      </c>
      <c r="C6" s="2" t="n">
        <v>875</v>
      </c>
      <c r="D6" s="2">
        <f>(B6+C6)/2</f>
        <v/>
      </c>
      <c r="E6" s="3" t="n">
        <v>0.799542520937184</v>
      </c>
      <c r="F6" t="inlineStr">
        <is>
          <t>ocpxdxd79p</t>
        </is>
      </c>
      <c r="G6" t="inlineStr">
        <is>
          <t>https://offcampus.dasa.ncsu.edu/housing/property/4br-4ba-condo-on-wolfline-preleasing-27-28-special-850-util-parking-incld-mile-to-campus/ocpxdxd79p</t>
        </is>
      </c>
    </row>
    <row r="7">
      <c r="A7" t="inlineStr">
        <is>
          <t>Big Promotion w/best price ever. Move in Immediately . MarcomTowns. Great location nice</t>
        </is>
      </c>
      <c r="B7" s="2" t="n">
        <v>950</v>
      </c>
      <c r="C7" s="2" t="n">
        <v>950</v>
      </c>
      <c r="D7" s="2">
        <f>(B7+C7)/2</f>
        <v/>
      </c>
      <c r="E7" s="3" t="n">
        <v>0.8670805356545912</v>
      </c>
      <c r="F7" t="inlineStr">
        <is>
          <t>ocpe1n95cm</t>
        </is>
      </c>
      <c r="G7" t="inlineStr">
        <is>
          <t>https://offcampus.dasa.ncsu.edu/housing/property/big-promotion-w-best-price-ever-move-in-immediately-marcomtowns-great-location-nice/ocpe1n95cm</t>
        </is>
      </c>
    </row>
    <row r="8">
      <c r="A8" t="inlineStr">
        <is>
          <t>Burt Drive Townhouses---Brand New Luxury Housing within walking distance to NCSU</t>
        </is>
      </c>
      <c r="B8" s="2" t="n">
        <v>1050</v>
      </c>
      <c r="C8" s="2" t="n">
        <v>1050</v>
      </c>
      <c r="D8" s="2">
        <f>(B8+C8)/2</f>
        <v/>
      </c>
      <c r="E8" s="3" t="n">
        <v>0.7028369244133079</v>
      </c>
      <c r="F8" t="inlineStr">
        <is>
          <t>ocpm68s5sh</t>
        </is>
      </c>
      <c r="G8" t="inlineStr">
        <is>
          <t>https://offcampus.dasa.ncsu.edu/housing/property/burt-drive-townhouses-brand-new-luxury-housing-within-walking-distance-to-ncsu/ocpm68s5sh</t>
        </is>
      </c>
    </row>
    <row r="9">
      <c r="A9" t="inlineStr">
        <is>
          <t>College Inn</t>
        </is>
      </c>
      <c r="B9" s="2" t="n">
        <v>859</v>
      </c>
      <c r="C9" s="2" t="n">
        <v>1275</v>
      </c>
      <c r="D9" s="2">
        <f>(B9+C9)/2</f>
        <v/>
      </c>
      <c r="E9" s="3" t="n">
        <v>0.8185511340280208</v>
      </c>
      <c r="F9" t="inlineStr">
        <is>
          <t>se736e5</t>
        </is>
      </c>
      <c r="G9" t="inlineStr">
        <is>
          <t>https://offcampus.dasa.ncsu.edu/housing/property/college-inn/se736e5</t>
        </is>
      </c>
    </row>
    <row r="10">
      <c r="A10" t="inlineStr">
        <is>
          <t>Collegeview Duplex--Brand New Luxury Housing within walking distance to NCSU</t>
        </is>
      </c>
      <c r="B10" s="2" t="n">
        <v>900</v>
      </c>
      <c r="C10" s="2" t="n">
        <v>950</v>
      </c>
      <c r="D10" s="2">
        <f>(B10+C10)/2</f>
        <v/>
      </c>
      <c r="E10" s="3" t="n">
        <v>0.7646924310117169</v>
      </c>
      <c r="F10" t="inlineStr">
        <is>
          <t>ocppjxdd3r</t>
        </is>
      </c>
      <c r="G10" t="inlineStr">
        <is>
          <t>https://offcampus.dasa.ncsu.edu/housing/property/collegeview-duplex-brand-new-luxury-housing-within-walking-distance-to-ncsu/ocppjxdd3r</t>
        </is>
      </c>
    </row>
    <row r="11">
      <c r="A11" t="inlineStr">
        <is>
          <t>Convenient Kaplan Dr property near NCSU buses, park, grocery, with parking space &amp; private bathroom</t>
        </is>
      </c>
      <c r="B11" s="2" t="n">
        <v>675</v>
      </c>
      <c r="C11" s="2" t="n">
        <v>675</v>
      </c>
      <c r="D11" s="2">
        <f>(B11+C11)/2</f>
        <v/>
      </c>
      <c r="E11" s="3" t="n">
        <v>0.9677748822425947</v>
      </c>
      <c r="F11" t="inlineStr">
        <is>
          <t>ocp5lwrmvq</t>
        </is>
      </c>
      <c r="G11" t="inlineStr">
        <is>
          <t>https://offcampus.dasa.ncsu.edu/housing/property/convenient-kaplan-dr-property-near-ncsu-buses-park-grocery-with-parking-space-and-private-bathroom/ocp5lwrmvq</t>
        </is>
      </c>
    </row>
    <row r="12">
      <c r="A12" t="inlineStr">
        <is>
          <t>Spacious bedroom with private bath in 2BR townhome – 5 minutes to NC State</t>
        </is>
      </c>
      <c r="B12" s="2" t="n">
        <v>800</v>
      </c>
      <c r="C12" s="2" t="n">
        <v>800</v>
      </c>
      <c r="D12" s="2">
        <f>(B12+C12)/2</f>
        <v/>
      </c>
      <c r="E12" s="3" t="n">
        <v>0.8526029879895402</v>
      </c>
      <c r="F12" t="inlineStr">
        <is>
          <t>ocpszex2v4</t>
        </is>
      </c>
      <c r="G12" t="inlineStr">
        <is>
          <t>https://offcampus.dasa.ncsu.edu/housing/property/spacious-bedroom-with-private-bath-in-2br-townhome-5-minutes-to-nc-state/ocpszex2v4</t>
        </is>
      </c>
    </row>
    <row r="13"/>
    <row r="14">
      <c r="A14" s="4" t="inlineStr">
        <is>
          <t>Prices used (COUNT)</t>
        </is>
      </c>
      <c r="B14" s="4">
        <f>COUNT(B5:B12)</f>
        <v/>
      </c>
      <c r="C14" s="4">
        <f>COUNT(C5:C12)</f>
        <v/>
      </c>
      <c r="D14" s="4">
        <f>COUNT(D5:D12)</f>
        <v/>
      </c>
    </row>
    <row r="15">
      <c r="A15" s="4" t="inlineStr">
        <is>
          <t>Total advertised rent (SUM)</t>
        </is>
      </c>
      <c r="B15" s="2">
        <f>SUM(B5:B12)</f>
        <v/>
      </c>
      <c r="C15" s="2">
        <f>SUM(C5:C12)</f>
        <v/>
      </c>
      <c r="D15" s="2">
        <f>SUM(D5:D12)</f>
        <v/>
      </c>
    </row>
    <row r="16">
      <c r="A16" s="4" t="inlineStr">
        <is>
          <t>Average (sum / count)</t>
        </is>
      </c>
      <c r="B16" s="2">
        <f>B15/B14</f>
        <v/>
      </c>
      <c r="C16" s="2">
        <f>C15/C14</f>
        <v/>
      </c>
      <c r="D16" s="2">
        <f>D15/D14</f>
        <v/>
      </c>
    </row>
    <row r="17">
      <c r="A17" s="4" t="inlineStr">
        <is>
          <t>Median listing midpoint</t>
        </is>
      </c>
      <c r="D17" s="2">
        <f>MEDIAN(D5:D12)</f>
        <v/>
      </c>
    </row>
  </sheetData>
  <autoFilter ref="A4:G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54" customWidth="1" min="7" max="7"/>
  </cols>
  <sheetData>
    <row r="1">
      <c r="A1" s="6" t="inlineStr">
        <is>
          <t>Centennial 1-3 mi</t>
        </is>
      </c>
    </row>
    <row r="2">
      <c r="A2" s="5" t="inlineStr">
        <is>
          <t>Sept. 9, 2026 advertised-price snapshot. One vote per listing; midpoint=(low+high)/2.</t>
        </is>
      </c>
    </row>
    <row r="4">
      <c r="A4" s="1" t="inlineStr">
        <is>
          <t>Listing name</t>
        </is>
      </c>
      <c r="B4" s="1" t="inlineStr">
        <is>
          <t>Low ($/month)</t>
        </is>
      </c>
      <c r="C4" s="1" t="inlineStr">
        <is>
          <t>High ($/month)</t>
        </is>
      </c>
      <c r="D4" s="1" t="inlineStr">
        <is>
          <t>Midpoint ($/month)</t>
        </is>
      </c>
      <c r="E4" s="1" t="inlineStr">
        <is>
          <t>Distance (mi)</t>
        </is>
      </c>
      <c r="F4" s="1" t="inlineStr">
        <is>
          <t>Listing ID</t>
        </is>
      </c>
      <c r="G4" s="1" t="inlineStr">
        <is>
          <t>Source URL</t>
        </is>
      </c>
    </row>
    <row r="5">
      <c r="A5" t="inlineStr">
        <is>
          <t>$3600 saving on 2*2 Sublet at Stanhope Apartment for NC STATE</t>
        </is>
      </c>
      <c r="B5" s="2" t="n">
        <v>550</v>
      </c>
      <c r="C5" s="2" t="n">
        <v>550</v>
      </c>
      <c r="D5" s="2">
        <f>(B5+C5)/2</f>
        <v/>
      </c>
      <c r="E5" s="3" t="n">
        <v>1.412298318639059</v>
      </c>
      <c r="F5" t="inlineStr">
        <is>
          <t>ocpd9wnxdk</t>
        </is>
      </c>
      <c r="G5" t="inlineStr">
        <is>
          <t>https://offcampus.dasa.ncsu.edu/housing/property/3600-saving-on-2-2-sublet-at-stanhope-apartment-for-nc-state/ocpd9wnxdk</t>
        </is>
      </c>
    </row>
    <row r="6">
      <c r="A6" t="inlineStr">
        <is>
          <t>105 Friendly Drive! Furnished Room Rentals with Utilities!</t>
        </is>
      </c>
      <c r="B6" s="2" t="n">
        <v>775</v>
      </c>
      <c r="C6" s="2" t="n">
        <v>1050</v>
      </c>
      <c r="D6" s="2">
        <f>(B6+C6)/2</f>
        <v/>
      </c>
      <c r="E6" s="3" t="n">
        <v>1.408345371418267</v>
      </c>
      <c r="F6" t="inlineStr">
        <is>
          <t>ocphdtdgk2</t>
        </is>
      </c>
      <c r="G6" t="inlineStr">
        <is>
          <t>https://offcampus.dasa.ncsu.edu/housing/property/105-friendly-drive-furnished-room-rentals-with-utilities/ocphdtdgk2</t>
        </is>
      </c>
    </row>
    <row r="7">
      <c r="A7" t="inlineStr">
        <is>
          <t>1st Month FREE!</t>
        </is>
      </c>
      <c r="B7" s="2" t="n">
        <v>625</v>
      </c>
      <c r="C7" s="2" t="n">
        <v>625</v>
      </c>
      <c r="D7" s="2">
        <f>(B7+C7)/2</f>
        <v/>
      </c>
      <c r="E7" s="3" t="n">
        <v>1.643348579672279</v>
      </c>
      <c r="F7" t="inlineStr">
        <is>
          <t>ocpq292qyw</t>
        </is>
      </c>
      <c r="G7" t="inlineStr">
        <is>
          <t>https://offcampus.dasa.ncsu.edu/housing/property/1st-month-free/ocpq292qyw</t>
        </is>
      </c>
    </row>
    <row r="8">
      <c r="A8" t="inlineStr">
        <is>
          <t>4bed 4bath Apartment Near Centennial Campus</t>
        </is>
      </c>
      <c r="B8" s="2" t="n">
        <v>725</v>
      </c>
      <c r="C8" s="2" t="n">
        <v>725</v>
      </c>
      <c r="D8" s="2">
        <f>(B8+C8)/2</f>
        <v/>
      </c>
      <c r="E8" s="3" t="n">
        <v>1.386624243906098</v>
      </c>
      <c r="F8" t="inlineStr">
        <is>
          <t>ocpsq86tm4</t>
        </is>
      </c>
      <c r="G8" t="inlineStr">
        <is>
          <t>https://offcampus.dasa.ncsu.edu/housing/property/4bed-4bath-apartment-near-centennial-campus/ocpsq86tm4</t>
        </is>
      </c>
    </row>
    <row r="9">
      <c r="A9" t="inlineStr">
        <is>
          <t>5 bedroom townhome available near NC State</t>
        </is>
      </c>
      <c r="B9" s="2" t="n">
        <v>650</v>
      </c>
      <c r="C9" s="2" t="n">
        <v>650</v>
      </c>
      <c r="D9" s="2">
        <f>(B9+C9)/2</f>
        <v/>
      </c>
      <c r="E9" s="3" t="n">
        <v>1.671045879197852</v>
      </c>
      <c r="F9" t="inlineStr">
        <is>
          <t>ocppbmmgnt</t>
        </is>
      </c>
      <c r="G9" t="inlineStr">
        <is>
          <t>https://offcampus.dasa.ncsu.edu/housing/property/5-bedroom-townhome-available-near-nc-state/ocppbmmgnt</t>
        </is>
      </c>
    </row>
    <row r="10">
      <c r="A10" t="inlineStr">
        <is>
          <t>Affordable Student Housing 1 Block from Campus on Wolf Line</t>
        </is>
      </c>
      <c r="B10" s="2" t="n">
        <v>640</v>
      </c>
      <c r="C10" s="2" t="n">
        <v>640</v>
      </c>
      <c r="D10" s="2">
        <f>(B10+C10)/2</f>
        <v/>
      </c>
      <c r="E10" s="3" t="n">
        <v>1.155771517851646</v>
      </c>
      <c r="F10" t="inlineStr">
        <is>
          <t>ocph8n0fc0</t>
        </is>
      </c>
      <c r="G10" t="inlineStr">
        <is>
          <t>https://offcampus.dasa.ncsu.edu/housing/property/affordable-student-housing-1-block-from-campus-on-wolf-line/ocph8n0fc0</t>
        </is>
      </c>
    </row>
    <row r="11">
      <c r="A11" t="inlineStr">
        <is>
          <t>All Girls Unit - Room with Private Bathroom at  University Woods at Centennial Condominiums</t>
        </is>
      </c>
      <c r="B11" s="2" t="n">
        <v>645</v>
      </c>
      <c r="C11" s="2" t="n">
        <v>645</v>
      </c>
      <c r="D11" s="2">
        <f>(B11+C11)/2</f>
        <v/>
      </c>
      <c r="E11" s="3" t="n">
        <v>1.618231332601906</v>
      </c>
      <c r="F11" t="inlineStr">
        <is>
          <t>ocpjeweyz6</t>
        </is>
      </c>
      <c r="G11" t="inlineStr">
        <is>
          <t>https://offcampus.dasa.ncsu.edu/housing/property/all-girls-unit-room-with-private-bathroom-at-university-woods-at-centennial-condominiums/ocpjeweyz6</t>
        </is>
      </c>
    </row>
    <row r="12">
      <c r="A12" t="inlineStr">
        <is>
          <t>An apartments with 3 bed and 3 bath for NC State Students www.ncstudentsliving.com</t>
        </is>
      </c>
      <c r="B12" s="2" t="n">
        <v>650</v>
      </c>
      <c r="C12" s="2" t="n">
        <v>650</v>
      </c>
      <c r="D12" s="2">
        <f>(B12+C12)/2</f>
        <v/>
      </c>
      <c r="E12" s="3" t="n">
        <v>1.719701472470099</v>
      </c>
      <c r="F12" t="inlineStr">
        <is>
          <t>ocp0psn632</t>
        </is>
      </c>
      <c r="G12" t="inlineStr">
        <is>
          <t>https://offcampus.dasa.ncsu.edu/housing/property/an-apartments-with-3-bed-and-3-bath-for-nc-state-students-www-ncstudentsliving-com/ocp0psn632</t>
        </is>
      </c>
    </row>
    <row r="13">
      <c r="A13" t="inlineStr">
        <is>
          <t>Apartment close to NCSU</t>
        </is>
      </c>
      <c r="B13" s="2" t="n">
        <v>645</v>
      </c>
      <c r="C13" s="2" t="n">
        <v>645</v>
      </c>
      <c r="D13" s="2">
        <f>(B13+C13)/2</f>
        <v/>
      </c>
      <c r="E13" s="3" t="n">
        <v>1.457063602955496</v>
      </c>
      <c r="F13" t="inlineStr">
        <is>
          <t>ocpq99qjpx</t>
        </is>
      </c>
      <c r="G13" t="inlineStr">
        <is>
          <t>https://offcampus.dasa.ncsu.edu/housing/property/apartment-close-to-ncsu/ocpq99qjpx</t>
        </is>
      </c>
    </row>
    <row r="14">
      <c r="A14" t="inlineStr">
        <is>
          <t>Brickside</t>
        </is>
      </c>
      <c r="B14" s="2" t="n">
        <v>999</v>
      </c>
      <c r="C14" s="2" t="n">
        <v>1825</v>
      </c>
      <c r="D14" s="2">
        <f>(B14+C14)/2</f>
        <v/>
      </c>
      <c r="E14" s="3" t="n">
        <v>1.430928990458332</v>
      </c>
      <c r="F14" t="inlineStr">
        <is>
          <t>75medjw</t>
        </is>
      </c>
      <c r="G14" t="inlineStr">
        <is>
          <t>https://offcampus.dasa.ncsu.edu/housing/property/brickside/75medjw</t>
        </is>
      </c>
    </row>
    <row r="15">
      <c r="A15" t="inlineStr">
        <is>
          <t>Campus Crossings Raleigh</t>
        </is>
      </c>
      <c r="B15" s="2" t="n">
        <v>685</v>
      </c>
      <c r="C15" s="2" t="n">
        <v>870</v>
      </c>
      <c r="D15" s="2">
        <f>(B15+C15)/2</f>
        <v/>
      </c>
      <c r="E15" s="3" t="n">
        <v>1.744202444717392</v>
      </c>
      <c r="F15" t="inlineStr">
        <is>
          <t>z8cfdjw</t>
        </is>
      </c>
      <c r="G15" t="inlineStr">
        <is>
          <t>https://offcampus.dasa.ncsu.edu/housing/property/campus-crossings-raleigh/z8cfdjw</t>
        </is>
      </c>
    </row>
    <row r="16">
      <c r="A16" t="inlineStr">
        <is>
          <t>Campus Crossings Raleigh</t>
        </is>
      </c>
      <c r="B16" s="2" t="n">
        <v>865</v>
      </c>
      <c r="C16" s="2" t="n">
        <v>865</v>
      </c>
      <c r="D16" s="2">
        <f>(B16+C16)/2</f>
        <v/>
      </c>
      <c r="E16" s="3" t="n">
        <v>1.709379328180733</v>
      </c>
      <c r="F16" t="inlineStr">
        <is>
          <t>ocp176ghy4</t>
        </is>
      </c>
      <c r="G16" t="inlineStr">
        <is>
          <t>https://offcampus.dasa.ncsu.edu/housing/property/campus-crossings-raleigh/ocp176ghy4</t>
        </is>
      </c>
    </row>
    <row r="17">
      <c r="A17" t="inlineStr">
        <is>
          <t>Campus West at Tryon</t>
        </is>
      </c>
      <c r="B17" s="2" t="n">
        <v>699</v>
      </c>
      <c r="C17" s="2" t="n">
        <v>699</v>
      </c>
      <c r="D17" s="2">
        <f>(B17+C17)/2</f>
        <v/>
      </c>
      <c r="E17" s="3" t="n">
        <v>2.588703187773591</v>
      </c>
      <c r="F17" t="inlineStr">
        <is>
          <t>0pm7tt3</t>
        </is>
      </c>
      <c r="G17" t="inlineStr">
        <is>
          <t>https://offcampus.dasa.ncsu.edu/housing/property/campus-west-at-tryon/0pm7tt3</t>
        </is>
      </c>
    </row>
    <row r="18">
      <c r="A18" t="inlineStr">
        <is>
          <t>Centennial Ridge Student Housing</t>
        </is>
      </c>
      <c r="B18" s="2" t="n">
        <v>599</v>
      </c>
      <c r="C18" s="2" t="n">
        <v>2157</v>
      </c>
      <c r="D18" s="2">
        <f>(B18+C18)/2</f>
        <v/>
      </c>
      <c r="E18" s="3" t="n">
        <v>1.735707809988741</v>
      </c>
      <c r="F18" t="inlineStr">
        <is>
          <t>7e6kx1w</t>
        </is>
      </c>
      <c r="G18" t="inlineStr">
        <is>
          <t>https://offcampus.dasa.ncsu.edu/housing/property/centennial-ridge-student-housing/7e6kx1w</t>
        </is>
      </c>
    </row>
    <row r="19">
      <c r="A19" t="inlineStr">
        <is>
          <t>Condo near NCSU</t>
        </is>
      </c>
      <c r="B19" s="2" t="n">
        <v>800</v>
      </c>
      <c r="C19" s="2" t="n">
        <v>800</v>
      </c>
      <c r="D19" s="2">
        <f>(B19+C19)/2</f>
        <v/>
      </c>
      <c r="E19" s="3" t="n">
        <v>1.472322121168746</v>
      </c>
      <c r="F19" t="inlineStr">
        <is>
          <t>ocpx51p4tm</t>
        </is>
      </c>
      <c r="G19" t="inlineStr">
        <is>
          <t>https://offcampus.dasa.ncsu.edu/housing/property/condo-near-ncsu/ocpx51p4tm</t>
        </is>
      </c>
    </row>
    <row r="20">
      <c r="A20" t="inlineStr">
        <is>
          <t>Cozy house 10 min walk to campus</t>
        </is>
      </c>
      <c r="B20" s="2" t="n">
        <v>1500</v>
      </c>
      <c r="C20" s="2" t="n">
        <v>1500</v>
      </c>
      <c r="D20" s="2">
        <f>(B20+C20)/2</f>
        <v/>
      </c>
      <c r="E20" s="3" t="n">
        <v>1.780316227958689</v>
      </c>
      <c r="F20" t="inlineStr">
        <is>
          <t>ocphycq162</t>
        </is>
      </c>
      <c r="G20" t="inlineStr">
        <is>
          <t>https://offcampus.dasa.ncsu.edu/housing/property/cozy-house-10-min-walk-to-campus/ocphycq162</t>
        </is>
      </c>
    </row>
    <row r="21">
      <c r="A21" t="inlineStr">
        <is>
          <t>FURNISHED NCSU STUDENT HOUSING – TOWNHOME ROOM RENTAL WITH PRIVATE BATHROOM ($850/room)</t>
        </is>
      </c>
      <c r="B21" s="2" t="n">
        <v>850</v>
      </c>
      <c r="C21" s="2" t="n">
        <v>850</v>
      </c>
      <c r="D21" s="2">
        <f>(B21+C21)/2</f>
        <v/>
      </c>
      <c r="E21" s="3" t="n">
        <v>2.866761897462896</v>
      </c>
      <c r="F21" t="inlineStr">
        <is>
          <t>ocpx3vt61n</t>
        </is>
      </c>
      <c r="G21" t="inlineStr">
        <is>
          <t>https://offcampus.dasa.ncsu.edu/housing/property/furnished-ncsu-student-housing-townhome-room-rental-with-private-bathroom-850-room/ocpx3vt61n</t>
        </is>
      </c>
    </row>
    <row r="22">
      <c r="A22" t="inlineStr">
        <is>
          <t>Hub Raleigh – 4x2 Lease Takeover, Available Now</t>
        </is>
      </c>
      <c r="B22" s="2" t="n">
        <v>1199</v>
      </c>
      <c r="C22" s="2" t="n">
        <v>1199</v>
      </c>
      <c r="D22" s="2">
        <f>(B22+C22)/2</f>
        <v/>
      </c>
      <c r="E22" s="3" t="n">
        <v>1.48246472439382</v>
      </c>
      <c r="F22" t="inlineStr">
        <is>
          <t>ocp4lh373j</t>
        </is>
      </c>
      <c r="G22" t="inlineStr">
        <is>
          <t>https://offcampus.dasa.ncsu.edu/housing/property/hub-raleigh-4x2-lease-takeover-available-now/ocp4lh373j</t>
        </is>
      </c>
    </row>
    <row r="23">
      <c r="A23" t="inlineStr">
        <is>
          <t>Hurry 2 Rooms Left! – 4BR/4BA Condo Near NC State  – All Utilities &amp; Internet Included!</t>
        </is>
      </c>
      <c r="B23" s="2" t="n">
        <v>695</v>
      </c>
      <c r="C23" s="2" t="n">
        <v>695</v>
      </c>
      <c r="D23" s="2">
        <f>(B23+C23)/2</f>
        <v/>
      </c>
      <c r="E23" s="3" t="n">
        <v>1.622412333916784</v>
      </c>
      <c r="F23" t="inlineStr">
        <is>
          <t>ocpchygggd</t>
        </is>
      </c>
      <c r="G23" t="inlineStr">
        <is>
          <t>https://offcampus.dasa.ncsu.edu/housing/property/hurry-2-rooms-left-4br-4ba-condo-near-nc-state-all-utilities-and-internet-included/ocpchygggd</t>
        </is>
      </c>
    </row>
    <row r="24">
      <c r="A24" t="inlineStr">
        <is>
          <t>Lake Park Condos- Room Rental with Utilities</t>
        </is>
      </c>
      <c r="B24" s="2" t="n">
        <v>500</v>
      </c>
      <c r="C24" s="2" t="n">
        <v>600</v>
      </c>
      <c r="D24" s="2">
        <f>(B24+C24)/2</f>
        <v/>
      </c>
      <c r="E24" s="3" t="n">
        <v>1.421164890099371</v>
      </c>
      <c r="F24" t="inlineStr">
        <is>
          <t>ocpvgtpebg</t>
        </is>
      </c>
      <c r="G24" t="inlineStr">
        <is>
          <t>https://offcampus.dasa.ncsu.edu/housing/property/lake-park-condos-room-rental-with-utilities/ocpvgtpebg</t>
        </is>
      </c>
    </row>
    <row r="25">
      <c r="A25" t="inlineStr">
        <is>
          <t>maisonNC --- Fully Furnished minutes away from Wolfline and Shopping</t>
        </is>
      </c>
      <c r="B25" s="2" t="n">
        <v>750</v>
      </c>
      <c r="C25" s="2" t="n">
        <v>750</v>
      </c>
      <c r="D25" s="2">
        <f>(B25+C25)/2</f>
        <v/>
      </c>
      <c r="E25" s="3" t="n">
        <v>1.45723337788544</v>
      </c>
      <c r="F25" t="inlineStr">
        <is>
          <t>ocpesl9n3p</t>
        </is>
      </c>
      <c r="G25" t="inlineStr">
        <is>
          <t>https://offcampus.dasa.ncsu.edu/housing/property/maisonnc-fully-furnished-minutes-away-from-wolfline-and-shopping/ocpesl9n3p</t>
        </is>
      </c>
    </row>
    <row r="26">
      <c r="A26" t="inlineStr">
        <is>
          <t>maisonNC --- Fully Furnished minutes away from Wolfline and Shopping</t>
        </is>
      </c>
      <c r="B26" s="2" t="n">
        <v>750</v>
      </c>
      <c r="C26" s="2" t="n">
        <v>750</v>
      </c>
      <c r="D26" s="2">
        <f>(B26+C26)/2</f>
        <v/>
      </c>
      <c r="E26" s="3" t="n">
        <v>1.39799063919996</v>
      </c>
      <c r="F26" t="inlineStr">
        <is>
          <t>ocpcm3jede</t>
        </is>
      </c>
      <c r="G26" t="inlineStr">
        <is>
          <t>https://offcampus.dasa.ncsu.edu/housing/property/maisonnc-fully-furnished-minutes-away-from-wolfline-and-shopping/ocpcm3jede</t>
        </is>
      </c>
    </row>
    <row r="27">
      <c r="A27" t="inlineStr">
        <is>
          <t>Modern &amp; spacious 3BR/3BA Apartment w/View</t>
        </is>
      </c>
      <c r="B27" s="2" t="n">
        <v>1000</v>
      </c>
      <c r="C27" s="2" t="n">
        <v>1000</v>
      </c>
      <c r="D27" s="2">
        <f>(B27+C27)/2</f>
        <v/>
      </c>
      <c r="E27" s="3" t="n">
        <v>1.450903306797081</v>
      </c>
      <c r="F27" t="inlineStr">
        <is>
          <t>ocpnx5c0kn</t>
        </is>
      </c>
      <c r="G27" t="inlineStr">
        <is>
          <t>https://offcampus.dasa.ncsu.edu/housing/property/modern-and-spacious-3br-3ba-apartment-w-view/ocpnx5c0kn</t>
        </is>
      </c>
    </row>
    <row r="28">
      <c r="A28" t="inlineStr">
        <is>
          <t>Modern/High Ceilings 2bed/2 bath</t>
        </is>
      </c>
      <c r="B28" s="2" t="n">
        <v>1250</v>
      </c>
      <c r="C28" s="2" t="n">
        <v>1250</v>
      </c>
      <c r="D28" s="2">
        <f>(B28+C28)/2</f>
        <v/>
      </c>
      <c r="E28" s="3" t="n">
        <v>1.436100696139635</v>
      </c>
      <c r="F28" t="inlineStr">
        <is>
          <t>ocpet5b7hm</t>
        </is>
      </c>
      <c r="G28" t="inlineStr">
        <is>
          <t>https://offcampus.dasa.ncsu.edu/housing/property/modern-high-ceilings-2bed-2-bath/ocpet5b7hm</t>
        </is>
      </c>
    </row>
    <row r="29">
      <c r="A29" t="inlineStr">
        <is>
          <t>Newly Renovated - All Girls Unit Room with Private Bathroom</t>
        </is>
      </c>
      <c r="B29" s="2" t="n">
        <v>645</v>
      </c>
      <c r="C29" s="2" t="n">
        <v>645</v>
      </c>
      <c r="D29" s="2">
        <f>(B29+C29)/2</f>
        <v/>
      </c>
      <c r="E29" s="3" t="n">
        <v>1.648529914393228</v>
      </c>
      <c r="F29" t="inlineStr">
        <is>
          <t>ocp6mp93ms</t>
        </is>
      </c>
      <c r="G29" t="inlineStr">
        <is>
          <t>https://offcampus.dasa.ncsu.edu/housing/property/newly-renovated-all-girls-unit-room-with-private-bathroom/ocp6mp93ms</t>
        </is>
      </c>
    </row>
    <row r="30">
      <c r="A30" t="inlineStr">
        <is>
          <t>Reavis ---Brand New Luxury Housing within walking distance to NCSU</t>
        </is>
      </c>
      <c r="B30" s="2" t="n">
        <v>925</v>
      </c>
      <c r="C30" s="2" t="n">
        <v>975</v>
      </c>
      <c r="D30" s="2">
        <f>(B30+C30)/2</f>
        <v/>
      </c>
      <c r="E30" s="3" t="n">
        <v>1.517599897052015</v>
      </c>
      <c r="F30" t="inlineStr">
        <is>
          <t>ocpvlydr3e</t>
        </is>
      </c>
      <c r="G30" t="inlineStr">
        <is>
          <t>https://offcampus.dasa.ncsu.edu/housing/property/reavis-brand-new-luxury-housing-within-walking-distance-to-ncsu/ocpvlydr3e</t>
        </is>
      </c>
    </row>
    <row r="31">
      <c r="A31" t="inlineStr">
        <is>
          <t>Redfield Villages</t>
        </is>
      </c>
      <c r="B31" s="2" t="n">
        <v>799</v>
      </c>
      <c r="C31" s="2" t="n">
        <v>899</v>
      </c>
      <c r="D31" s="2">
        <f>(B31+C31)/2</f>
        <v/>
      </c>
      <c r="E31" s="3" t="n">
        <v>1.322267261836766</v>
      </c>
      <c r="F31" t="inlineStr">
        <is>
          <t>h2l8mh2</t>
        </is>
      </c>
      <c r="G31" t="inlineStr">
        <is>
          <t>https://offcampus.dasa.ncsu.edu/housing/property/redfield-villages/h2l8mh2</t>
        </is>
      </c>
    </row>
    <row r="32">
      <c r="A32" t="inlineStr">
        <is>
          <t>Room in Condo on Collegiate Cir</t>
        </is>
      </c>
      <c r="B32" s="2" t="n">
        <v>675</v>
      </c>
      <c r="C32" s="2" t="n">
        <v>675</v>
      </c>
      <c r="D32" s="2">
        <f>(B32+C32)/2</f>
        <v/>
      </c>
      <c r="E32" s="3" t="n">
        <v>1.392629741324425</v>
      </c>
      <c r="F32" t="inlineStr">
        <is>
          <t>kf77vv8</t>
        </is>
      </c>
      <c r="G32" t="inlineStr">
        <is>
          <t>https://offcampus.dasa.ncsu.edu/housing/property/room-in-condo-on-collegiate-cir/kf77vv8</t>
        </is>
      </c>
    </row>
    <row r="33">
      <c r="A33" t="inlineStr">
        <is>
          <t>Room in Condo on Crab Orchard Dr</t>
        </is>
      </c>
      <c r="B33" s="2" t="n">
        <v>675</v>
      </c>
      <c r="C33" s="2" t="n">
        <v>675</v>
      </c>
      <c r="D33" s="2">
        <f>(B33+C33)/2</f>
        <v/>
      </c>
      <c r="E33" s="3" t="n">
        <v>1.471958620257888</v>
      </c>
      <c r="F33" t="inlineStr">
        <is>
          <t>pxc3rhs</t>
        </is>
      </c>
      <c r="G33" t="inlineStr">
        <is>
          <t>https://offcampus.dasa.ncsu.edu/housing/property/room-in-condo-on-crab-orchard-dr/pxc3rhs</t>
        </is>
      </c>
    </row>
    <row r="34">
      <c r="A34" t="inlineStr">
        <is>
          <t>Room in Condo on Wolfmill Dr</t>
        </is>
      </c>
      <c r="B34" s="2" t="n">
        <v>720</v>
      </c>
      <c r="C34" s="2" t="n">
        <v>720</v>
      </c>
      <c r="D34" s="2">
        <f>(B34+C34)/2</f>
        <v/>
      </c>
      <c r="E34" s="3" t="n">
        <v>1.707396006786066</v>
      </c>
      <c r="F34" t="inlineStr">
        <is>
          <t>zfenc9w</t>
        </is>
      </c>
      <c r="G34" t="inlineStr">
        <is>
          <t>https://offcampus.dasa.ncsu.edu/housing/property/room-in-condo-on-wolfmill-dr/zfenc9w</t>
        </is>
      </c>
    </row>
    <row r="35">
      <c r="A35" t="inlineStr">
        <is>
          <t>Room in House on Pineland Cir</t>
        </is>
      </c>
      <c r="B35" s="2" t="n">
        <v>700</v>
      </c>
      <c r="C35" s="2" t="n">
        <v>700</v>
      </c>
      <c r="D35" s="2">
        <f>(B35+C35)/2</f>
        <v/>
      </c>
      <c r="E35" s="3" t="n">
        <v>2.266933004042843</v>
      </c>
      <c r="F35" t="inlineStr">
        <is>
          <t>x5wd0zn</t>
        </is>
      </c>
      <c r="G35" t="inlineStr">
        <is>
          <t>https://offcampus.dasa.ncsu.edu/housing/property/room-in-house-on-pineland-cir/x5wd0zn</t>
        </is>
      </c>
    </row>
    <row r="36">
      <c r="A36" t="inlineStr">
        <is>
          <t>Room in Townhome on Ivory Run Way</t>
        </is>
      </c>
      <c r="B36" s="2" t="n">
        <v>690</v>
      </c>
      <c r="C36" s="2" t="n">
        <v>690</v>
      </c>
      <c r="D36" s="2">
        <f>(B36+C36)/2</f>
        <v/>
      </c>
      <c r="E36" s="3" t="n">
        <v>1.706978199044346</v>
      </c>
      <c r="F36" t="inlineStr">
        <is>
          <t>hz5leg1</t>
        </is>
      </c>
      <c r="G36" t="inlineStr">
        <is>
          <t>https://offcampus.dasa.ncsu.edu/housing/property/room-in-townhome-on-ivory-run-way/hz5leg1</t>
        </is>
      </c>
    </row>
    <row r="37">
      <c r="A37" t="inlineStr">
        <is>
          <t>Signature 1505</t>
        </is>
      </c>
      <c r="B37" s="2" t="n">
        <v>650</v>
      </c>
      <c r="C37" s="2" t="n">
        <v>1305</v>
      </c>
      <c r="D37" s="2">
        <f>(B37+C37)/2</f>
        <v/>
      </c>
      <c r="E37" s="3" t="n">
        <v>1.497103154260436</v>
      </c>
      <c r="F37" t="inlineStr">
        <is>
          <t>5je4q3n</t>
        </is>
      </c>
      <c r="G37" t="inlineStr">
        <is>
          <t>https://offcampus.dasa.ncsu.edu/housing/property/signature-1505/5je4q3n</t>
        </is>
      </c>
    </row>
    <row r="38">
      <c r="A38" t="inlineStr">
        <is>
          <t>Signature 1505 4X4 Apartment</t>
        </is>
      </c>
      <c r="B38" s="2" t="n">
        <v>1230</v>
      </c>
      <c r="C38" s="2" t="n">
        <v>1230</v>
      </c>
      <c r="D38" s="2">
        <f>(B38+C38)/2</f>
        <v/>
      </c>
      <c r="E38" s="3" t="n">
        <v>1.473234962501602</v>
      </c>
      <c r="F38" t="inlineStr">
        <is>
          <t>ocpszqbd35</t>
        </is>
      </c>
      <c r="G38" t="inlineStr">
        <is>
          <t>https://offcampus.dasa.ncsu.edu/housing/property/signature-1505-4x4-apartment/ocpszqbd35</t>
        </is>
      </c>
    </row>
    <row r="39">
      <c r="A39" t="inlineStr">
        <is>
          <t>Spacious En-suite with private patio and garage parking in Crescent Ridge Townhome Community</t>
        </is>
      </c>
      <c r="B39" s="2" t="n">
        <v>900</v>
      </c>
      <c r="C39" s="2" t="n">
        <v>900</v>
      </c>
      <c r="D39" s="2">
        <f>(B39+C39)/2</f>
        <v/>
      </c>
      <c r="E39" s="3" t="n">
        <v>2.412666918769093</v>
      </c>
      <c r="F39" t="inlineStr">
        <is>
          <t>ocpsd8dpj6</t>
        </is>
      </c>
      <c r="G39" t="inlineStr">
        <is>
          <t>https://offcampus.dasa.ncsu.edu/housing/property/spacious-en-suite-with-private-patio-and-garage-parking-in-crescent-ridge-townhome-community/ocpsd8dpj6</t>
        </is>
      </c>
    </row>
    <row r="40">
      <c r="A40" t="inlineStr">
        <is>
          <t>Spacious Forest Park Two-Room Suite + Private Bath - Walk to Campus (Includes Utilities)</t>
        </is>
      </c>
      <c r="B40" s="2" t="n">
        <v>1225</v>
      </c>
      <c r="C40" s="2" t="n">
        <v>1225</v>
      </c>
      <c r="D40" s="2">
        <f>(B40+C40)/2</f>
        <v/>
      </c>
      <c r="E40" s="3" t="n">
        <v>1.799572412975274</v>
      </c>
      <c r="F40" t="inlineStr">
        <is>
          <t>ocpgxr290w</t>
        </is>
      </c>
      <c r="G40" t="inlineStr">
        <is>
          <t>https://offcampus.dasa.ncsu.edu/housing/property/spacious-forest-park-two-room-suite-private-bath-walk-to-campus-includes-utilities/ocpgxr290w</t>
        </is>
      </c>
    </row>
    <row r="41">
      <c r="A41" t="inlineStr">
        <is>
          <t>Stanhope Student Apartments</t>
        </is>
      </c>
      <c r="B41" s="2" t="n">
        <v>1300</v>
      </c>
      <c r="C41" s="2" t="n">
        <v>1300</v>
      </c>
      <c r="D41" s="2">
        <f>(B41+C41)/2</f>
        <v/>
      </c>
      <c r="E41" s="3" t="n">
        <v>1.412298318639059</v>
      </c>
      <c r="F41" t="inlineStr">
        <is>
          <t>ocpk5yz73b</t>
        </is>
      </c>
      <c r="G41" t="inlineStr">
        <is>
          <t>https://offcampus.dasa.ncsu.edu/housing/property/stanhope-student-apartments/ocpk5yz73b</t>
        </is>
      </c>
    </row>
    <row r="42">
      <c r="A42" t="inlineStr">
        <is>
          <t>The Station</t>
        </is>
      </c>
      <c r="B42" s="2" t="n">
        <v>969</v>
      </c>
      <c r="C42" s="2" t="n">
        <v>969</v>
      </c>
      <c r="D42" s="2">
        <f>(B42+C42)/2</f>
        <v/>
      </c>
      <c r="E42" s="3" t="n">
        <v>2.835248870572562</v>
      </c>
      <c r="F42" t="inlineStr">
        <is>
          <t>ocp2gxtxqc</t>
        </is>
      </c>
      <c r="G42" t="inlineStr">
        <is>
          <t>https://offcampus.dasa.ncsu.edu/housing/property/the-station/ocp2gxtxqc</t>
        </is>
      </c>
    </row>
    <row r="43">
      <c r="A43" t="inlineStr">
        <is>
          <t>The Station Raleigh</t>
        </is>
      </c>
      <c r="B43" s="2" t="n">
        <v>749</v>
      </c>
      <c r="C43" s="2" t="n">
        <v>1930</v>
      </c>
      <c r="D43" s="2">
        <f>(B43+C43)/2</f>
        <v/>
      </c>
      <c r="E43" s="3" t="n">
        <v>2.867480525477387</v>
      </c>
      <c r="F43" t="inlineStr">
        <is>
          <t>5hme2mn</t>
        </is>
      </c>
      <c r="G43" t="inlineStr">
        <is>
          <t>https://offcampus.dasa.ncsu.edu/housing/property/the-station-raleigh/5hme2mn</t>
        </is>
      </c>
    </row>
    <row r="44">
      <c r="A44" t="inlineStr">
        <is>
          <t>The Wilde</t>
        </is>
      </c>
      <c r="B44" s="2" t="n">
        <v>599</v>
      </c>
      <c r="C44" s="2" t="n">
        <v>920</v>
      </c>
      <c r="D44" s="2">
        <f>(B44+C44)/2</f>
        <v/>
      </c>
      <c r="E44" s="3" t="n">
        <v>1.43688318271336</v>
      </c>
      <c r="F44" t="inlineStr">
        <is>
          <t>syvz9l4</t>
        </is>
      </c>
      <c r="G44" t="inlineStr">
        <is>
          <t>https://offcampus.dasa.ncsu.edu/housing/property/the-wilde/syvz9l4</t>
        </is>
      </c>
    </row>
    <row r="45">
      <c r="A45" t="inlineStr">
        <is>
          <t>The Wilde</t>
        </is>
      </c>
      <c r="B45" s="2" t="n">
        <v>860</v>
      </c>
      <c r="C45" s="2" t="n">
        <v>860</v>
      </c>
      <c r="D45" s="2">
        <f>(B45+C45)/2</f>
        <v/>
      </c>
      <c r="E45" s="3" t="n">
        <v>1.469430093164432</v>
      </c>
      <c r="F45" t="inlineStr">
        <is>
          <t>ocp67ldb5s</t>
        </is>
      </c>
      <c r="G45" t="inlineStr">
        <is>
          <t>https://offcampus.dasa.ncsu.edu/housing/property/the-wilde/ocp67ldb5s</t>
        </is>
      </c>
    </row>
    <row r="46">
      <c r="A46" t="inlineStr">
        <is>
          <t>Tryon Flats Apartments</t>
        </is>
      </c>
      <c r="B46" s="2" t="n">
        <v>750</v>
      </c>
      <c r="C46" s="2" t="n">
        <v>750</v>
      </c>
      <c r="D46" s="2">
        <f>(B46+C46)/2</f>
        <v/>
      </c>
      <c r="E46" s="3" t="n">
        <v>1.803033076423747</v>
      </c>
      <c r="F46" t="inlineStr">
        <is>
          <t>xcp87fm</t>
        </is>
      </c>
      <c r="G46" t="inlineStr">
        <is>
          <t>https://offcampus.dasa.ncsu.edu/housing/property/tryon-flats-apartments/xcp87fm</t>
        </is>
      </c>
    </row>
    <row r="47">
      <c r="A47" t="inlineStr">
        <is>
          <t>University Oaks</t>
        </is>
      </c>
      <c r="B47" s="2" t="n">
        <v>725</v>
      </c>
      <c r="C47" s="2" t="n">
        <v>725</v>
      </c>
      <c r="D47" s="2">
        <f>(B47+C47)/2</f>
        <v/>
      </c>
      <c r="E47" s="3" t="n">
        <v>1.134452219955307</v>
      </c>
      <c r="F47" t="inlineStr">
        <is>
          <t>ocp4t7wmxk</t>
        </is>
      </c>
      <c r="G47" t="inlineStr">
        <is>
          <t>https://offcampus.dasa.ncsu.edu/housing/property/university-oaks/ocp4t7wmxk</t>
        </is>
      </c>
    </row>
    <row r="48">
      <c r="A48" t="inlineStr">
        <is>
          <t>University Oaks -</t>
        </is>
      </c>
      <c r="B48" s="2" t="n">
        <v>725</v>
      </c>
      <c r="C48" s="2" t="n">
        <v>725</v>
      </c>
      <c r="D48" s="2">
        <f>(B48+C48)/2</f>
        <v/>
      </c>
      <c r="E48" s="3" t="n">
        <v>1.150205519026803</v>
      </c>
      <c r="F48" t="inlineStr">
        <is>
          <t>ocp2evl6hb</t>
        </is>
      </c>
      <c r="G48" t="inlineStr">
        <is>
          <t>https://offcampus.dasa.ncsu.edu/housing/property/university-oaks/ocp2evl6hb</t>
        </is>
      </c>
    </row>
    <row r="49">
      <c r="A49" t="inlineStr">
        <is>
          <t>University Suites Student Housing</t>
        </is>
      </c>
      <c r="B49" s="2" t="n">
        <v>699</v>
      </c>
      <c r="C49" s="2" t="n">
        <v>799</v>
      </c>
      <c r="D49" s="2">
        <f>(B49+C49)/2</f>
        <v/>
      </c>
      <c r="E49" s="3" t="n">
        <v>1.702928645517823</v>
      </c>
      <c r="F49" t="inlineStr">
        <is>
          <t>e13mz5m</t>
        </is>
      </c>
      <c r="G49" t="inlineStr">
        <is>
          <t>https://offcampus.dasa.ncsu.edu/housing/property/university-suites-student-housing/e13mz5m</t>
        </is>
      </c>
    </row>
    <row r="50">
      <c r="A50" t="inlineStr">
        <is>
          <t>University Village at 2505</t>
        </is>
      </c>
      <c r="B50" s="2" t="n">
        <v>799</v>
      </c>
      <c r="C50" s="2" t="n">
        <v>799</v>
      </c>
      <c r="D50" s="2">
        <f>(B50+C50)/2</f>
        <v/>
      </c>
      <c r="E50" s="3" t="n">
        <v>1.477401515394216</v>
      </c>
      <c r="F50" t="inlineStr">
        <is>
          <t>33f756e</t>
        </is>
      </c>
      <c r="G50" t="inlineStr">
        <is>
          <t>https://offcampus.dasa.ncsu.edu/housing/property/university-village-at-2505/33f756e</t>
        </is>
      </c>
    </row>
    <row r="51">
      <c r="A51" t="inlineStr">
        <is>
          <t>University Woods</t>
        </is>
      </c>
      <c r="B51" s="2" t="n">
        <v>600</v>
      </c>
      <c r="C51" s="2" t="n">
        <v>600</v>
      </c>
      <c r="D51" s="2">
        <f>(B51+C51)/2</f>
        <v/>
      </c>
      <c r="E51" s="3" t="n">
        <v>1.587692689347536</v>
      </c>
      <c r="F51" t="inlineStr">
        <is>
          <t>ocps6ymwl7</t>
        </is>
      </c>
      <c r="G51" t="inlineStr">
        <is>
          <t>https://offcampus.dasa.ncsu.edu/housing/property/university-woods/ocps6ymwl7</t>
        </is>
      </c>
    </row>
    <row r="52">
      <c r="A52" t="inlineStr">
        <is>
          <t>Valentine Commons</t>
        </is>
      </c>
      <c r="B52" s="2" t="n">
        <v>1000</v>
      </c>
      <c r="C52" s="2" t="n">
        <v>1300</v>
      </c>
      <c r="D52" s="2">
        <f>(B52+C52)/2</f>
        <v/>
      </c>
      <c r="E52" s="3" t="n">
        <v>1.336480793212038</v>
      </c>
      <c r="F52" t="inlineStr">
        <is>
          <t>ocp5cx5drn</t>
        </is>
      </c>
      <c r="G52" t="inlineStr">
        <is>
          <t>https://offcampus.dasa.ncsu.edu/housing/property/valentine-commons/ocp5cx5drn</t>
        </is>
      </c>
    </row>
    <row r="53">
      <c r="A53" t="inlineStr">
        <is>
          <t>Village Green</t>
        </is>
      </c>
      <c r="B53" s="2" t="n">
        <v>930</v>
      </c>
      <c r="C53" s="2" t="n">
        <v>930</v>
      </c>
      <c r="D53" s="2">
        <f>(B53+C53)/2</f>
        <v/>
      </c>
      <c r="E53" s="3" t="n">
        <v>1.194946286765294</v>
      </c>
      <c r="F53" t="inlineStr">
        <is>
          <t>ocp1ddchy6</t>
        </is>
      </c>
      <c r="G53" t="inlineStr">
        <is>
          <t>https://offcampus.dasa.ncsu.edu/housing/property/village-green/ocp1ddchy6</t>
        </is>
      </c>
    </row>
    <row r="54">
      <c r="A54" t="inlineStr">
        <is>
          <t>Village Green Student Housing</t>
        </is>
      </c>
      <c r="B54" s="2" t="n">
        <v>649</v>
      </c>
      <c r="C54" s="2" t="n">
        <v>839</v>
      </c>
      <c r="D54" s="2">
        <f>(B54+C54)/2</f>
        <v/>
      </c>
      <c r="E54" s="3" t="n">
        <v>1.15944667707491</v>
      </c>
      <c r="F54" t="inlineStr">
        <is>
          <t>jjs8f07</t>
        </is>
      </c>
      <c r="G54" t="inlineStr">
        <is>
          <t>https://offcampus.dasa.ncsu.edu/housing/property/village-green-student-housing/jjs8f07</t>
        </is>
      </c>
    </row>
    <row r="55">
      <c r="A55" t="inlineStr">
        <is>
          <t>Village Green Student Living</t>
        </is>
      </c>
      <c r="B55" s="2" t="n">
        <v>831</v>
      </c>
      <c r="C55" s="2" t="n">
        <v>831</v>
      </c>
      <c r="D55" s="2">
        <f>(B55+C55)/2</f>
        <v/>
      </c>
      <c r="E55" s="3" t="n">
        <v>1.038223111913154</v>
      </c>
      <c r="F55" t="inlineStr">
        <is>
          <t>ocpepvxvln</t>
        </is>
      </c>
      <c r="G55" t="inlineStr">
        <is>
          <t>https://offcampus.dasa.ncsu.edu/housing/property/village-green-student-living/ocpepvxvln</t>
        </is>
      </c>
    </row>
    <row r="56">
      <c r="A56" t="inlineStr">
        <is>
          <t>Voyager House</t>
        </is>
      </c>
      <c r="B56" s="2" t="n">
        <v>800</v>
      </c>
      <c r="C56" s="2" t="n">
        <v>800</v>
      </c>
      <c r="D56" s="2">
        <f>(B56+C56)/2</f>
        <v/>
      </c>
      <c r="E56" s="3" t="n">
        <v>1.115036172641576</v>
      </c>
      <c r="F56" t="inlineStr">
        <is>
          <t>ocpbhbkvy9</t>
        </is>
      </c>
      <c r="G56" t="inlineStr">
        <is>
          <t>https://offcampus.dasa.ncsu.edu/housing/property/voyager-house/ocpbhbkvy9</t>
        </is>
      </c>
    </row>
    <row r="57">
      <c r="A57" t="inlineStr">
        <is>
          <t>We have 1 bedroom open In a luxury 5 bed 5 full bath house 1/1/27-6/30/27</t>
        </is>
      </c>
      <c r="B57" s="2" t="n">
        <v>1200</v>
      </c>
      <c r="C57" s="2" t="n">
        <v>1200</v>
      </c>
      <c r="D57" s="2">
        <f>(B57+C57)/2</f>
        <v/>
      </c>
      <c r="E57" s="3" t="n">
        <v>2.18010409239071</v>
      </c>
      <c r="F57" t="inlineStr">
        <is>
          <t>ocp6wsb4yt</t>
        </is>
      </c>
      <c r="G57" t="inlineStr">
        <is>
          <t>https://offcampus.dasa.ncsu.edu/housing/property/we-have-1-bedroom-open-in-a-luxury-5-bed-5-full-bath-house-1-1-27-6-30-27/ocp6wsb4yt</t>
        </is>
      </c>
    </row>
    <row r="58"/>
    <row r="59">
      <c r="A59" s="4" t="inlineStr">
        <is>
          <t>Prices used (COUNT)</t>
        </is>
      </c>
      <c r="B59" s="4">
        <f>COUNT(B5:B57)</f>
        <v/>
      </c>
      <c r="C59" s="4">
        <f>COUNT(C5:C57)</f>
        <v/>
      </c>
      <c r="D59" s="4">
        <f>COUNT(D5:D57)</f>
        <v/>
      </c>
    </row>
    <row r="60">
      <c r="A60" s="4" t="inlineStr">
        <is>
          <t>Total advertised rent (SUM)</t>
        </is>
      </c>
      <c r="B60" s="2">
        <f>SUM(B5:B57)</f>
        <v/>
      </c>
      <c r="C60" s="2">
        <f>SUM(C5:C57)</f>
        <v/>
      </c>
      <c r="D60" s="2">
        <f>SUM(D5:D57)</f>
        <v/>
      </c>
    </row>
    <row r="61">
      <c r="A61" s="4" t="inlineStr">
        <is>
          <t>Average (sum / count)</t>
        </is>
      </c>
      <c r="B61" s="2">
        <f>B60/B59</f>
        <v/>
      </c>
      <c r="C61" s="2">
        <f>C60/C59</f>
        <v/>
      </c>
      <c r="D61" s="2">
        <f>D60/D59</f>
        <v/>
      </c>
    </row>
    <row r="62">
      <c r="A62" s="4" t="inlineStr">
        <is>
          <t>Median listing midpoint</t>
        </is>
      </c>
      <c r="D62" s="2">
        <f>MEDIAN(D5:D57)</f>
        <v/>
      </c>
    </row>
  </sheetData>
  <autoFilter ref="A4:G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54" customWidth="1" min="7" max="7"/>
  </cols>
  <sheetData>
    <row r="1">
      <c r="A1" s="6" t="inlineStr">
        <is>
          <t>Centennial 3-5 mi</t>
        </is>
      </c>
    </row>
    <row r="2">
      <c r="A2" s="5" t="inlineStr">
        <is>
          <t>Sept. 9, 2026 advertised-price snapshot. One vote per listing; midpoint=(low+high)/2.</t>
        </is>
      </c>
    </row>
    <row r="4">
      <c r="A4" s="1" t="inlineStr">
        <is>
          <t>Listing name</t>
        </is>
      </c>
      <c r="B4" s="1" t="inlineStr">
        <is>
          <t>Low ($/month)</t>
        </is>
      </c>
      <c r="C4" s="1" t="inlineStr">
        <is>
          <t>High ($/month)</t>
        </is>
      </c>
      <c r="D4" s="1" t="inlineStr">
        <is>
          <t>Midpoint ($/month)</t>
        </is>
      </c>
      <c r="E4" s="1" t="inlineStr">
        <is>
          <t>Distance (mi)</t>
        </is>
      </c>
      <c r="F4" s="1" t="inlineStr">
        <is>
          <t>Listing ID</t>
        </is>
      </c>
      <c r="G4" s="1" t="inlineStr">
        <is>
          <t>Source URL</t>
        </is>
      </c>
    </row>
    <row r="5">
      <c r="A5" t="inlineStr">
        <is>
          <t>2850 Sanderford Rd (Raleigh, NC)</t>
        </is>
      </c>
      <c r="B5" s="2" t="n">
        <v>650</v>
      </c>
      <c r="C5" s="2" t="n">
        <v>650</v>
      </c>
      <c r="D5" s="2">
        <f>(B5+C5)/2</f>
        <v/>
      </c>
      <c r="E5" s="3" t="n">
        <v>4.175547503871908</v>
      </c>
      <c r="F5" t="inlineStr">
        <is>
          <t>lpl9fce</t>
        </is>
      </c>
      <c r="G5" t="inlineStr">
        <is>
          <t>https://offcampus.dasa.ncsu.edu/housing/property/2850-sanderford-rd-raleigh-nc/lpl9fce</t>
        </is>
      </c>
    </row>
    <row r="6">
      <c r="A6" t="inlineStr">
        <is>
          <t>Brand New Luxury Furnished Townhome | 4 Bed /  3.5 Bath | 5 Min to NC State &amp; 3 Mins to Fenton +shop</t>
        </is>
      </c>
      <c r="B6" s="2" t="n">
        <v>900</v>
      </c>
      <c r="C6" s="2" t="n">
        <v>1050</v>
      </c>
      <c r="D6" s="2">
        <f>(B6+C6)/2</f>
        <v/>
      </c>
      <c r="E6" s="3" t="n">
        <v>3.578926701741286</v>
      </c>
      <c r="F6" t="inlineStr">
        <is>
          <t>ocpw46rjcl</t>
        </is>
      </c>
      <c r="G6" t="inlineStr">
        <is>
          <t>https://offcampus.dasa.ncsu.edu/housing/property/brand-new-luxury-furnished-townhome-4-bed-3-5-bath-5-min-to-nc-state-and-3-mins-to-fenton-shop/ocpw46rjcl</t>
        </is>
      </c>
    </row>
    <row r="7">
      <c r="A7" t="inlineStr">
        <is>
          <t>Brick Bungalow close to Campus</t>
        </is>
      </c>
      <c r="B7" s="2" t="n">
        <v>1050</v>
      </c>
      <c r="C7" s="2" t="n">
        <v>1050</v>
      </c>
      <c r="D7" s="2">
        <f>(B7+C7)/2</f>
        <v/>
      </c>
      <c r="E7" s="3" t="n">
        <v>3.807228719080559</v>
      </c>
      <c r="F7" t="inlineStr">
        <is>
          <t>ocp90bdzb4</t>
        </is>
      </c>
      <c r="G7" t="inlineStr">
        <is>
          <t>https://offcampus.dasa.ncsu.edu/housing/property/brick-bungalow-close-to-campus/ocp90bdzb4</t>
        </is>
      </c>
    </row>
    <row r="8">
      <c r="A8" t="inlineStr">
        <is>
          <t>FURNISHED TOWNHOME RENTAL – 10 Mins to NCSU - 3 Bedroom - starting $750 per room</t>
        </is>
      </c>
      <c r="B8" s="2" t="n">
        <v>750</v>
      </c>
      <c r="C8" s="2" t="n">
        <v>750</v>
      </c>
      <c r="D8" s="2">
        <f>(B8+C8)/2</f>
        <v/>
      </c>
      <c r="E8" s="3" t="n">
        <v>3.413418351720542</v>
      </c>
      <c r="F8" t="inlineStr">
        <is>
          <t>ocpwwwe8yh</t>
        </is>
      </c>
      <c r="G8" t="inlineStr">
        <is>
          <t>https://offcampus.dasa.ncsu.edu/housing/property/furnished-townhome-rental-10-mins-to-ncsu-3-bedroom-starting-750-per-room/ocpwwwe8yh</t>
        </is>
      </c>
    </row>
    <row r="9">
      <c r="A9" t="inlineStr">
        <is>
          <t>Great value in beautiful SW Raleigh</t>
        </is>
      </c>
      <c r="B9" s="2" t="n">
        <v>850</v>
      </c>
      <c r="C9" s="2" t="n">
        <v>850</v>
      </c>
      <c r="D9" s="2">
        <f>(B9+C9)/2</f>
        <v/>
      </c>
      <c r="E9" s="3" t="n">
        <v>3.281036351668997</v>
      </c>
      <c r="F9" t="inlineStr">
        <is>
          <t>ocp0gblz91</t>
        </is>
      </c>
      <c r="G9" t="inlineStr">
        <is>
          <t>https://offcampus.dasa.ncsu.edu/housing/property/great-value-in-beautiful-sw-raleigh/ocp0gblz91</t>
        </is>
      </c>
    </row>
    <row r="10">
      <c r="A10" t="inlineStr">
        <is>
          <t>Huge modern studio suite- private entrance and beth- near NCSU</t>
        </is>
      </c>
      <c r="B10" s="2" t="n">
        <v>1150</v>
      </c>
      <c r="C10" s="2" t="n">
        <v>1150</v>
      </c>
      <c r="D10" s="2">
        <f>(B10+C10)/2</f>
        <v/>
      </c>
      <c r="E10" s="3" t="n">
        <v>3.718886731915769</v>
      </c>
      <c r="F10" t="inlineStr">
        <is>
          <t>ocpteqgjg8</t>
        </is>
      </c>
      <c r="G10" t="inlineStr">
        <is>
          <t>https://offcampus.dasa.ncsu.edu/housing/property/huge-modern-studio-suite-private-entrance-and-beth-near-ncsu/ocpteqgjg8</t>
        </is>
      </c>
    </row>
    <row r="11">
      <c r="A11" t="inlineStr">
        <is>
          <t>Liberty station male only townhome- 5 miles from Centennial</t>
        </is>
      </c>
      <c r="B11" s="2" t="n">
        <v>900</v>
      </c>
      <c r="C11" s="2" t="n">
        <v>900</v>
      </c>
      <c r="D11" s="2">
        <f>(B11+C11)/2</f>
        <v/>
      </c>
      <c r="E11" s="3" t="n">
        <v>3.390690803211668</v>
      </c>
      <c r="F11" t="inlineStr">
        <is>
          <t>ocp2k0px98</t>
        </is>
      </c>
      <c r="G11" t="inlineStr">
        <is>
          <t>https://offcampus.dasa.ncsu.edu/housing/property/liberty-station-male-only-townhome-5-miles-from-centennial/ocp2k0px98</t>
        </is>
      </c>
    </row>
    <row r="12">
      <c r="A12" t="inlineStr">
        <is>
          <t>Paloma Raleigh</t>
        </is>
      </c>
      <c r="B12" s="2" t="n">
        <v>749</v>
      </c>
      <c r="C12" s="2" t="n">
        <v>1599</v>
      </c>
      <c r="D12" s="2">
        <f>(B12+C12)/2</f>
        <v/>
      </c>
      <c r="E12" s="3" t="n">
        <v>3.060096594508182</v>
      </c>
      <c r="F12" t="inlineStr">
        <is>
          <t>0smdl31</t>
        </is>
      </c>
      <c r="G12" t="inlineStr">
        <is>
          <t>https://offcampus.dasa.ncsu.edu/housing/property/paloma-raleigh/0smdl31</t>
        </is>
      </c>
    </row>
    <row r="13">
      <c r="A13" t="inlineStr">
        <is>
          <t>Redpoint Raleigh</t>
        </is>
      </c>
      <c r="B13" s="2" t="n">
        <v>899</v>
      </c>
      <c r="C13" s="2" t="n">
        <v>995</v>
      </c>
      <c r="D13" s="2">
        <f>(B13+C13)/2</f>
        <v/>
      </c>
      <c r="E13" s="3" t="n">
        <v>3.127175273739738</v>
      </c>
      <c r="F13" t="inlineStr">
        <is>
          <t>5x5ph7m</t>
        </is>
      </c>
      <c r="G13" t="inlineStr">
        <is>
          <t>https://offcampus.dasa.ncsu.edu/housing/property/redpoint-raleigh/5x5ph7m</t>
        </is>
      </c>
    </row>
    <row r="14">
      <c r="A14" t="inlineStr">
        <is>
          <t>Room in House on Quartz Ct</t>
        </is>
      </c>
      <c r="B14" s="2" t="n">
        <v>685</v>
      </c>
      <c r="C14" s="2" t="n">
        <v>685</v>
      </c>
      <c r="D14" s="2">
        <f>(B14+C14)/2</f>
        <v/>
      </c>
      <c r="E14" s="3" t="n">
        <v>4.200471923458102</v>
      </c>
      <c r="F14" t="inlineStr">
        <is>
          <t>bq6wzsb</t>
        </is>
      </c>
      <c r="G14" t="inlineStr">
        <is>
          <t>https://offcampus.dasa.ncsu.edu/housing/property/room-in-house-on-quartz-ct/bq6wzsb</t>
        </is>
      </c>
    </row>
    <row r="15">
      <c r="A15" t="inlineStr">
        <is>
          <t>Room in House on Slippery Elm Dr</t>
        </is>
      </c>
      <c r="B15" s="2" t="n">
        <v>720</v>
      </c>
      <c r="C15" s="2" t="n">
        <v>720</v>
      </c>
      <c r="D15" s="2">
        <f>(B15+C15)/2</f>
        <v/>
      </c>
      <c r="E15" s="3" t="n">
        <v>4.88359910158691</v>
      </c>
      <c r="F15" t="inlineStr">
        <is>
          <t>3zb9brd</t>
        </is>
      </c>
      <c r="G15" t="inlineStr">
        <is>
          <t>https://offcampus.dasa.ncsu.edu/housing/property/room-in-house-on-slippery-elm-dr/3zb9brd</t>
        </is>
      </c>
    </row>
    <row r="16">
      <c r="A16" t="inlineStr">
        <is>
          <t>Room in Townhome on Haskell Dr</t>
        </is>
      </c>
      <c r="B16" s="2" t="n">
        <v>563</v>
      </c>
      <c r="C16" s="2" t="n">
        <v>563</v>
      </c>
      <c r="D16" s="2">
        <f>(B16+C16)/2</f>
        <v/>
      </c>
      <c r="E16" s="3" t="n">
        <v>3.403130883503663</v>
      </c>
      <c r="F16" t="inlineStr">
        <is>
          <t>49jmmdh</t>
        </is>
      </c>
      <c r="G16" t="inlineStr">
        <is>
          <t>https://offcampus.dasa.ncsu.edu/housing/property/room-in-townhome-on-haskell-dr/49jmmdh</t>
        </is>
      </c>
    </row>
    <row r="17">
      <c r="A17" t="inlineStr">
        <is>
          <t>Room in Townhome on Macedonia Lake Dr</t>
        </is>
      </c>
      <c r="B17" s="2" t="n">
        <v>800</v>
      </c>
      <c r="C17" s="2" t="n">
        <v>800</v>
      </c>
      <c r="D17" s="2">
        <f>(B17+C17)/2</f>
        <v/>
      </c>
      <c r="E17" s="3" t="n">
        <v>3.910487836729603</v>
      </c>
      <c r="F17" t="inlineStr">
        <is>
          <t>9m73sq5</t>
        </is>
      </c>
      <c r="G17" t="inlineStr">
        <is>
          <t>https://offcampus.dasa.ncsu.edu/housing/property/room-in-townhome-on-macedonia-lake-dr/9m73sq5</t>
        </is>
      </c>
    </row>
    <row r="18"/>
    <row r="19">
      <c r="A19" s="4" t="inlineStr">
        <is>
          <t>Prices used (COUNT)</t>
        </is>
      </c>
      <c r="B19" s="4">
        <f>COUNT(B5:B17)</f>
        <v/>
      </c>
      <c r="C19" s="4">
        <f>COUNT(C5:C17)</f>
        <v/>
      </c>
      <c r="D19" s="4">
        <f>COUNT(D5:D17)</f>
        <v/>
      </c>
    </row>
    <row r="20">
      <c r="A20" s="4" t="inlineStr">
        <is>
          <t>Total advertised rent (SUM)</t>
        </is>
      </c>
      <c r="B20" s="2">
        <f>SUM(B5:B17)</f>
        <v/>
      </c>
      <c r="C20" s="2">
        <f>SUM(C5:C17)</f>
        <v/>
      </c>
      <c r="D20" s="2">
        <f>SUM(D5:D17)</f>
        <v/>
      </c>
    </row>
    <row r="21">
      <c r="A21" s="4" t="inlineStr">
        <is>
          <t>Average (sum / count)</t>
        </is>
      </c>
      <c r="B21" s="2">
        <f>B20/B19</f>
        <v/>
      </c>
      <c r="C21" s="2">
        <f>C20/C19</f>
        <v/>
      </c>
      <c r="D21" s="2">
        <f>D20/D19</f>
        <v/>
      </c>
    </row>
    <row r="22">
      <c r="A22" s="4" t="inlineStr">
        <is>
          <t>Median listing midpoint</t>
        </is>
      </c>
      <c r="D22" s="2">
        <f>MEDIAN(D5:D17)</f>
        <v/>
      </c>
    </row>
  </sheetData>
  <autoFilter ref="A4:G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  <col width="15" customWidth="1" min="5" max="5"/>
    <col width="14" customWidth="1" min="6" max="6"/>
    <col width="16" customWidth="1" min="7" max="7"/>
    <col width="54" customWidth="1" min="8" max="8"/>
  </cols>
  <sheetData>
    <row r="1">
      <c r="A1" s="6" t="inlineStr">
        <is>
          <t>Biomedical Campus all three bands — 70 room listings</t>
        </is>
      </c>
    </row>
    <row r="2">
      <c r="A2" s="7" t="inlineStr">
        <is>
          <t>Sept. 9, 2026 advertised-price snapshot. Exact Biomedical Campus all-bands view used to verify the article interactive. One vote per listing; midpoint=(low+high)/2.</t>
        </is>
      </c>
    </row>
    <row r="3"/>
    <row r="4">
      <c r="A4" s="8" t="inlineStr">
        <is>
          <t>Listing name</t>
        </is>
      </c>
      <c r="B4" s="8" t="inlineStr">
        <is>
          <t>Low ($/month)</t>
        </is>
      </c>
      <c r="C4" s="8" t="inlineStr">
        <is>
          <t>High ($/month)</t>
        </is>
      </c>
      <c r="D4" s="8" t="inlineStr">
        <is>
          <t>Midpoint ($/month)</t>
        </is>
      </c>
      <c r="E4" s="8" t="inlineStr">
        <is>
          <t>Distance (mi)</t>
        </is>
      </c>
      <c r="F4" s="8" t="inlineStr">
        <is>
          <t>Band</t>
        </is>
      </c>
      <c r="G4" s="8" t="inlineStr">
        <is>
          <t>Listing ID</t>
        </is>
      </c>
      <c r="H4" s="8" t="inlineStr">
        <is>
          <t>Source URL</t>
        </is>
      </c>
    </row>
    <row r="5">
      <c r="A5" t="inlineStr">
        <is>
          <t>Room in House on Pineland Cir</t>
        </is>
      </c>
      <c r="B5" s="2" t="n">
        <v>700</v>
      </c>
      <c r="C5" s="2" t="n">
        <v>700</v>
      </c>
      <c r="D5" s="2">
        <f>(B5+C5)/2</f>
        <v/>
      </c>
      <c r="E5" s="9" t="n">
        <v>0.7467833953582881</v>
      </c>
      <c r="F5" t="inlineStr">
        <is>
          <t>0-1 mi</t>
        </is>
      </c>
      <c r="G5" t="inlineStr">
        <is>
          <t>x5wd0zn</t>
        </is>
      </c>
      <c r="H5" t="inlineStr">
        <is>
          <t>https://offcampus.dasa.ncsu.edu/housing/property/room-in-house-on-pineland-cir/x5wd0zn</t>
        </is>
      </c>
    </row>
    <row r="6">
      <c r="A6" t="inlineStr">
        <is>
          <t>The Station</t>
        </is>
      </c>
      <c r="B6" s="2" t="n">
        <v>969</v>
      </c>
      <c r="C6" s="2" t="n">
        <v>969</v>
      </c>
      <c r="D6" s="2">
        <f>(B6+C6)/2</f>
        <v/>
      </c>
      <c r="E6" s="9" t="n">
        <v>0.4311555472408258</v>
      </c>
      <c r="F6" t="inlineStr">
        <is>
          <t>0-1 mi</t>
        </is>
      </c>
      <c r="G6" t="inlineStr">
        <is>
          <t>ocp2gxtxqc</t>
        </is>
      </c>
      <c r="H6" t="inlineStr">
        <is>
          <t>https://offcampus.dasa.ncsu.edu/housing/property/the-station/ocp2gxtxqc</t>
        </is>
      </c>
    </row>
    <row r="7">
      <c r="A7" t="inlineStr">
        <is>
          <t>The Station Raleigh</t>
        </is>
      </c>
      <c r="B7" s="2" t="n">
        <v>749</v>
      </c>
      <c r="C7" s="2" t="n">
        <v>1930</v>
      </c>
      <c r="D7" s="2">
        <f>(B7+C7)/2</f>
        <v/>
      </c>
      <c r="E7" s="9" t="n">
        <v>0.4097418636325941</v>
      </c>
      <c r="F7" t="inlineStr">
        <is>
          <t>0-1 mi</t>
        </is>
      </c>
      <c r="G7" t="inlineStr">
        <is>
          <t>5hme2mn</t>
        </is>
      </c>
      <c r="H7" t="inlineStr">
        <is>
          <t>https://offcampus.dasa.ncsu.edu/housing/property/the-station-raleigh/5hme2mn</t>
        </is>
      </c>
    </row>
    <row r="8">
      <c r="A8" t="inlineStr">
        <is>
          <t>We have 1 bedroom open In a luxury 5 bed 5 full bath house 1/1/27-6/30/27</t>
        </is>
      </c>
      <c r="B8" s="2" t="n">
        <v>1200</v>
      </c>
      <c r="C8" s="2" t="n">
        <v>1200</v>
      </c>
      <c r="D8" s="2">
        <f>(B8+C8)/2</f>
        <v/>
      </c>
      <c r="E8" s="9" t="n">
        <v>0.8709041502422058</v>
      </c>
      <c r="F8" t="inlineStr">
        <is>
          <t>0-1 mi</t>
        </is>
      </c>
      <c r="G8" t="inlineStr">
        <is>
          <t>ocp6wsb4yt</t>
        </is>
      </c>
      <c r="H8" t="inlineStr">
        <is>
          <t>https://offcampus.dasa.ncsu.edu/housing/property/we-have-1-bedroom-open-in-a-luxury-5-bed-5-full-bath-house-1-1-27-6-30-27/ocp6wsb4yt</t>
        </is>
      </c>
    </row>
    <row r="9">
      <c r="A9" t="inlineStr">
        <is>
          <t>"Avery Close " condos room available across from Centennial Campus NCSU NC State Raleigh</t>
        </is>
      </c>
      <c r="B9" s="2" t="n">
        <v>750</v>
      </c>
      <c r="C9" s="2" t="n">
        <v>750</v>
      </c>
      <c r="D9" s="2">
        <f>(B9+C9)/2</f>
        <v/>
      </c>
      <c r="E9" s="9" t="n">
        <v>2.067123955503036</v>
      </c>
      <c r="F9" t="inlineStr">
        <is>
          <t>1-3 mi</t>
        </is>
      </c>
      <c r="G9" t="inlineStr">
        <is>
          <t>ocpsnmx4w4</t>
        </is>
      </c>
      <c r="H9" t="inlineStr">
        <is>
          <t>https://offcampus.dasa.ncsu.edu/housing/property/avery-close-condos-room-available-across-from-centennial-campus-ncsu-nc-state-raleigh/ocpsnmx4w4</t>
        </is>
      </c>
    </row>
    <row r="10">
      <c r="A10" t="inlineStr">
        <is>
          <t>$3600 saving on 2*2 Sublet at Stanhope Apartment for NC STATE</t>
        </is>
      </c>
      <c r="B10" s="2" t="n">
        <v>550</v>
      </c>
      <c r="C10" s="2" t="n">
        <v>550</v>
      </c>
      <c r="D10" s="2">
        <f>(B10+C10)/2</f>
        <v/>
      </c>
      <c r="E10" s="9" t="n">
        <v>1.614862709977065</v>
      </c>
      <c r="F10" t="inlineStr">
        <is>
          <t>1-3 mi</t>
        </is>
      </c>
      <c r="G10" t="inlineStr">
        <is>
          <t>ocpd9wnxdk</t>
        </is>
      </c>
      <c r="H10" t="inlineStr">
        <is>
          <t>https://offcampus.dasa.ncsu.edu/housing/property/3600-saving-on-2-2-sublet-at-stanhope-apartment-for-nc-state/ocpd9wnxdk</t>
        </is>
      </c>
    </row>
    <row r="11">
      <c r="A11" t="inlineStr">
        <is>
          <t>105 Friendly Drive! Furnished Room Rentals with Utilities!</t>
        </is>
      </c>
      <c r="B11" s="2" t="n">
        <v>775</v>
      </c>
      <c r="C11" s="2" t="n">
        <v>1050</v>
      </c>
      <c r="D11" s="2">
        <f>(B11+C11)/2</f>
        <v/>
      </c>
      <c r="E11" s="9" t="n">
        <v>1.709232411452477</v>
      </c>
      <c r="F11" t="inlineStr">
        <is>
          <t>1-3 mi</t>
        </is>
      </c>
      <c r="G11" t="inlineStr">
        <is>
          <t>ocphdtdgk2</t>
        </is>
      </c>
      <c r="H11" t="inlineStr">
        <is>
          <t>https://offcampus.dasa.ncsu.edu/housing/property/105-friendly-drive-furnished-room-rentals-with-utilities/ocphdtdgk2</t>
        </is>
      </c>
    </row>
    <row r="12">
      <c r="A12" t="inlineStr">
        <is>
          <t>4bed 4bath Apartment Near Centennial Campus</t>
        </is>
      </c>
      <c r="B12" s="2" t="n">
        <v>725</v>
      </c>
      <c r="C12" s="2" t="n">
        <v>725</v>
      </c>
      <c r="D12" s="2">
        <f>(B12+C12)/2</f>
        <v/>
      </c>
      <c r="E12" s="9" t="n">
        <v>2.47379445236793</v>
      </c>
      <c r="F12" t="inlineStr">
        <is>
          <t>1-3 mi</t>
        </is>
      </c>
      <c r="G12" t="inlineStr">
        <is>
          <t>ocpsq86tm4</t>
        </is>
      </c>
      <c r="H12" t="inlineStr">
        <is>
          <t>https://offcampus.dasa.ncsu.edu/housing/property/4bed-4bath-apartment-near-centennial-campus/ocpsq86tm4</t>
        </is>
      </c>
    </row>
    <row r="13">
      <c r="A13" t="inlineStr">
        <is>
          <t>4BR/4BA Condo| On Wolfline | Preleasing 27-28 Special $850 Util/Parking Incld | Mile to Campus</t>
        </is>
      </c>
      <c r="B13" s="2" t="n">
        <v>875</v>
      </c>
      <c r="C13" s="2" t="n">
        <v>875</v>
      </c>
      <c r="D13" s="2">
        <f>(B13+C13)/2</f>
        <v/>
      </c>
      <c r="E13" s="9" t="n">
        <v>1.894195326652115</v>
      </c>
      <c r="F13" t="inlineStr">
        <is>
          <t>1-3 mi</t>
        </is>
      </c>
      <c r="G13" t="inlineStr">
        <is>
          <t>ocpxdxd79p</t>
        </is>
      </c>
      <c r="H13" t="inlineStr">
        <is>
          <t>https://offcampus.dasa.ncsu.edu/housing/property/4br-4ba-condo-on-wolfline-preleasing-27-28-special-850-util-parking-incld-mile-to-campus/ocpxdxd79p</t>
        </is>
      </c>
    </row>
    <row r="14">
      <c r="A14" t="inlineStr">
        <is>
          <t>Affordable Student Housing 1 Block from Campus on Wolf Line</t>
        </is>
      </c>
      <c r="B14" s="2" t="n">
        <v>640</v>
      </c>
      <c r="C14" s="2" t="n">
        <v>640</v>
      </c>
      <c r="D14" s="2">
        <f>(B14+C14)/2</f>
        <v/>
      </c>
      <c r="E14" s="9" t="n">
        <v>1.389187657426951</v>
      </c>
      <c r="F14" t="inlineStr">
        <is>
          <t>1-3 mi</t>
        </is>
      </c>
      <c r="G14" t="inlineStr">
        <is>
          <t>ocph8n0fc0</t>
        </is>
      </c>
      <c r="H14" t="inlineStr">
        <is>
          <t>https://offcampus.dasa.ncsu.edu/housing/property/affordable-student-housing-1-block-from-campus-on-wolf-line/ocph8n0fc0</t>
        </is>
      </c>
    </row>
    <row r="15">
      <c r="A15" t="inlineStr">
        <is>
          <t>Apartment close to NCSU</t>
        </is>
      </c>
      <c r="B15" s="2" t="n">
        <v>645</v>
      </c>
      <c r="C15" s="2" t="n">
        <v>645</v>
      </c>
      <c r="D15" s="2">
        <f>(B15+C15)/2</f>
        <v/>
      </c>
      <c r="E15" s="9" t="n">
        <v>2.493770610048423</v>
      </c>
      <c r="F15" t="inlineStr">
        <is>
          <t>1-3 mi</t>
        </is>
      </c>
      <c r="G15" t="inlineStr">
        <is>
          <t>ocpq99qjpx</t>
        </is>
      </c>
      <c r="H15" t="inlineStr">
        <is>
          <t>https://offcampus.dasa.ncsu.edu/housing/property/apartment-close-to-ncsu/ocpq99qjpx</t>
        </is>
      </c>
    </row>
    <row r="16">
      <c r="A16" t="inlineStr">
        <is>
          <t>Big Promotion w/best price ever. Move in Immediately . MarcomTowns. Great location nice</t>
        </is>
      </c>
      <c r="B16" s="2" t="n">
        <v>950</v>
      </c>
      <c r="C16" s="2" t="n">
        <v>950</v>
      </c>
      <c r="D16" s="2">
        <f>(B16+C16)/2</f>
        <v/>
      </c>
      <c r="E16" s="9" t="n">
        <v>1.674004450243779</v>
      </c>
      <c r="F16" t="inlineStr">
        <is>
          <t>1-3 mi</t>
        </is>
      </c>
      <c r="G16" t="inlineStr">
        <is>
          <t>ocpe1n95cm</t>
        </is>
      </c>
      <c r="H16" t="inlineStr">
        <is>
          <t>https://offcampus.dasa.ncsu.edu/housing/property/big-promotion-w-best-price-ever-move-in-immediately-marcomtowns-great-location-nice/ocpe1n95cm</t>
        </is>
      </c>
    </row>
    <row r="17">
      <c r="A17" t="inlineStr">
        <is>
          <t>Brand New Luxury Furnished Townhome | 4 Bed /  3.5 Bath | 5 Min to NC State &amp; 3 Mins to Fenton +shop</t>
        </is>
      </c>
      <c r="B17" s="2" t="n">
        <v>900</v>
      </c>
      <c r="C17" s="2" t="n">
        <v>1050</v>
      </c>
      <c r="D17" s="2">
        <f>(B17+C17)/2</f>
        <v/>
      </c>
      <c r="E17" s="9" t="n">
        <v>2.631786902208467</v>
      </c>
      <c r="F17" t="inlineStr">
        <is>
          <t>1-3 mi</t>
        </is>
      </c>
      <c r="G17" t="inlineStr">
        <is>
          <t>ocpw46rjcl</t>
        </is>
      </c>
      <c r="H17" t="inlineStr">
        <is>
          <t>https://offcampus.dasa.ncsu.edu/housing/property/brand-new-luxury-furnished-townhome-4-bed-3-5-bath-5-min-to-nc-state-and-3-mins-to-fenton-shop/ocpw46rjcl</t>
        </is>
      </c>
    </row>
    <row r="18">
      <c r="A18" t="inlineStr">
        <is>
          <t>Brickside</t>
        </is>
      </c>
      <c r="B18" s="2" t="n">
        <v>999</v>
      </c>
      <c r="C18" s="2" t="n">
        <v>1825</v>
      </c>
      <c r="D18" s="2">
        <f>(B18+C18)/2</f>
        <v/>
      </c>
      <c r="E18" s="9" t="n">
        <v>2.041869975567159</v>
      </c>
      <c r="F18" t="inlineStr">
        <is>
          <t>1-3 mi</t>
        </is>
      </c>
      <c r="G18" t="inlineStr">
        <is>
          <t>75medjw</t>
        </is>
      </c>
      <c r="H18" t="inlineStr">
        <is>
          <t>https://offcampus.dasa.ncsu.edu/housing/property/brickside/75medjw</t>
        </is>
      </c>
    </row>
    <row r="19">
      <c r="A19" t="inlineStr">
        <is>
          <t>Burt Drive Townhouses---Brand New Luxury Housing within walking distance to NCSU</t>
        </is>
      </c>
      <c r="B19" s="2" t="n">
        <v>1050</v>
      </c>
      <c r="C19" s="2" t="n">
        <v>1050</v>
      </c>
      <c r="D19" s="2">
        <f>(B19+C19)/2</f>
        <v/>
      </c>
      <c r="E19" s="9" t="n">
        <v>1.844677270208866</v>
      </c>
      <c r="F19" t="inlineStr">
        <is>
          <t>1-3 mi</t>
        </is>
      </c>
      <c r="G19" t="inlineStr">
        <is>
          <t>ocpm68s5sh</t>
        </is>
      </c>
      <c r="H19" t="inlineStr">
        <is>
          <t>https://offcampus.dasa.ncsu.edu/housing/property/burt-drive-townhouses-brand-new-luxury-housing-within-walking-distance-to-ncsu/ocpm68s5sh</t>
        </is>
      </c>
    </row>
    <row r="20">
      <c r="A20" t="inlineStr">
        <is>
          <t>College Inn</t>
        </is>
      </c>
      <c r="B20" s="2" t="n">
        <v>859</v>
      </c>
      <c r="C20" s="2" t="n">
        <v>1275</v>
      </c>
      <c r="D20" s="2">
        <f>(B20+C20)/2</f>
        <v/>
      </c>
      <c r="E20" s="9" t="n">
        <v>1.938377954019911</v>
      </c>
      <c r="F20" t="inlineStr">
        <is>
          <t>1-3 mi</t>
        </is>
      </c>
      <c r="G20" t="inlineStr">
        <is>
          <t>se736e5</t>
        </is>
      </c>
      <c r="H20" t="inlineStr">
        <is>
          <t>https://offcampus.dasa.ncsu.edu/housing/property/college-inn/se736e5</t>
        </is>
      </c>
    </row>
    <row r="21">
      <c r="A21" t="inlineStr">
        <is>
          <t>Collegeview Duplex--Brand New Luxury Housing within walking distance to NCSU</t>
        </is>
      </c>
      <c r="B21" s="2" t="n">
        <v>900</v>
      </c>
      <c r="C21" s="2" t="n">
        <v>950</v>
      </c>
      <c r="D21" s="2">
        <f>(B21+C21)/2</f>
        <v/>
      </c>
      <c r="E21" s="9" t="n">
        <v>1.775085773166035</v>
      </c>
      <c r="F21" t="inlineStr">
        <is>
          <t>1-3 mi</t>
        </is>
      </c>
      <c r="G21" t="inlineStr">
        <is>
          <t>ocppjxdd3r</t>
        </is>
      </c>
      <c r="H21" t="inlineStr">
        <is>
          <t>https://offcampus.dasa.ncsu.edu/housing/property/collegeview-duplex-brand-new-luxury-housing-within-walking-distance-to-ncsu/ocppjxdd3r</t>
        </is>
      </c>
    </row>
    <row r="22">
      <c r="A22" t="inlineStr">
        <is>
          <t>Condo near NCSU</t>
        </is>
      </c>
      <c r="B22" s="2" t="n">
        <v>800</v>
      </c>
      <c r="C22" s="2" t="n">
        <v>800</v>
      </c>
      <c r="D22" s="2">
        <f>(B22+C22)/2</f>
        <v/>
      </c>
      <c r="E22" s="9" t="n">
        <v>2.413386038111517</v>
      </c>
      <c r="F22" t="inlineStr">
        <is>
          <t>1-3 mi</t>
        </is>
      </c>
      <c r="G22" t="inlineStr">
        <is>
          <t>ocpx51p4tm</t>
        </is>
      </c>
      <c r="H22" t="inlineStr">
        <is>
          <t>https://offcampus.dasa.ncsu.edu/housing/property/condo-near-ncsu/ocpx51p4tm</t>
        </is>
      </c>
    </row>
    <row r="23">
      <c r="A23" t="inlineStr">
        <is>
          <t>Convenient Kaplan Dr property near NCSU buses, park, grocery, with parking space &amp; private bathroom</t>
        </is>
      </c>
      <c r="B23" s="2" t="n">
        <v>675</v>
      </c>
      <c r="C23" s="2" t="n">
        <v>675</v>
      </c>
      <c r="D23" s="2">
        <f>(B23+C23)/2</f>
        <v/>
      </c>
      <c r="E23" s="9" t="n">
        <v>1.750058826831014</v>
      </c>
      <c r="F23" t="inlineStr">
        <is>
          <t>1-3 mi</t>
        </is>
      </c>
      <c r="G23" t="inlineStr">
        <is>
          <t>ocp5lwrmvq</t>
        </is>
      </c>
      <c r="H23" t="inlineStr">
        <is>
          <t>https://offcampus.dasa.ncsu.edu/housing/property/convenient-kaplan-dr-property-near-ncsu-buses-park-grocery-with-parking-space-and-private-bathroom/ocp5lwrmvq</t>
        </is>
      </c>
    </row>
    <row r="24">
      <c r="A24" t="inlineStr">
        <is>
          <t>Cozy house 10 min walk to campus</t>
        </is>
      </c>
      <c r="B24" s="2" t="n">
        <v>1500</v>
      </c>
      <c r="C24" s="2" t="n">
        <v>1500</v>
      </c>
      <c r="D24" s="2">
        <f>(B24+C24)/2</f>
        <v/>
      </c>
      <c r="E24" s="9" t="n">
        <v>2.14970929665973</v>
      </c>
      <c r="F24" t="inlineStr">
        <is>
          <t>1-3 mi</t>
        </is>
      </c>
      <c r="G24" t="inlineStr">
        <is>
          <t>ocphycq162</t>
        </is>
      </c>
      <c r="H24" t="inlineStr">
        <is>
          <t>https://offcampus.dasa.ncsu.edu/housing/property/cozy-house-10-min-walk-to-campus/ocphycq162</t>
        </is>
      </c>
    </row>
    <row r="25">
      <c r="A25" t="inlineStr">
        <is>
          <t>FURNISHED NCSU STUDENT HOUSING – TOWNHOME ROOM RENTAL WITH PRIVATE BATHROOM ($850/room)</t>
        </is>
      </c>
      <c r="B25" s="2" t="n">
        <v>850</v>
      </c>
      <c r="C25" s="2" t="n">
        <v>850</v>
      </c>
      <c r="D25" s="2">
        <f>(B25+C25)/2</f>
        <v/>
      </c>
      <c r="E25" s="9" t="n">
        <v>1.490662795107468</v>
      </c>
      <c r="F25" t="inlineStr">
        <is>
          <t>1-3 mi</t>
        </is>
      </c>
      <c r="G25" t="inlineStr">
        <is>
          <t>ocpx3vt61n</t>
        </is>
      </c>
      <c r="H25" t="inlineStr">
        <is>
          <t>https://offcampus.dasa.ncsu.edu/housing/property/furnished-ncsu-student-housing-townhome-room-rental-with-private-bathroom-850-room/ocpx3vt61n</t>
        </is>
      </c>
    </row>
    <row r="26">
      <c r="A26" t="inlineStr">
        <is>
          <t>Hub Raleigh – 4x2 Lease Takeover, Available Now</t>
        </is>
      </c>
      <c r="B26" s="2" t="n">
        <v>1199</v>
      </c>
      <c r="C26" s="2" t="n">
        <v>1199</v>
      </c>
      <c r="D26" s="2">
        <f>(B26+C26)/2</f>
        <v/>
      </c>
      <c r="E26" s="9" t="n">
        <v>2.611114095902443</v>
      </c>
      <c r="F26" t="inlineStr">
        <is>
          <t>1-3 mi</t>
        </is>
      </c>
      <c r="G26" t="inlineStr">
        <is>
          <t>ocp4lh373j</t>
        </is>
      </c>
      <c r="H26" t="inlineStr">
        <is>
          <t>https://offcampus.dasa.ncsu.edu/housing/property/hub-raleigh-4x2-lease-takeover-available-now/ocp4lh373j</t>
        </is>
      </c>
    </row>
    <row r="27">
      <c r="A27" t="inlineStr">
        <is>
          <t>Huge modern studio suite- private entrance and beth- near NCSU</t>
        </is>
      </c>
      <c r="B27" s="2" t="n">
        <v>1150</v>
      </c>
      <c r="C27" s="2" t="n">
        <v>1150</v>
      </c>
      <c r="D27" s="2">
        <f>(B27+C27)/2</f>
        <v/>
      </c>
      <c r="E27" s="9" t="n">
        <v>2.129637740162942</v>
      </c>
      <c r="F27" t="inlineStr">
        <is>
          <t>1-3 mi</t>
        </is>
      </c>
      <c r="G27" t="inlineStr">
        <is>
          <t>ocpteqgjg8</t>
        </is>
      </c>
      <c r="H27" t="inlineStr">
        <is>
          <t>https://offcampus.dasa.ncsu.edu/housing/property/huge-modern-studio-suite-private-entrance-and-beth-near-ncsu/ocpteqgjg8</t>
        </is>
      </c>
    </row>
    <row r="28">
      <c r="A28" t="inlineStr">
        <is>
          <t>Lake Park Condos- Room Rental with Utilities</t>
        </is>
      </c>
      <c r="B28" s="2" t="n">
        <v>500</v>
      </c>
      <c r="C28" s="2" t="n">
        <v>600</v>
      </c>
      <c r="D28" s="2">
        <f>(B28+C28)/2</f>
        <v/>
      </c>
      <c r="E28" s="9" t="n">
        <v>2.516002625317165</v>
      </c>
      <c r="F28" t="inlineStr">
        <is>
          <t>1-3 mi</t>
        </is>
      </c>
      <c r="G28" t="inlineStr">
        <is>
          <t>ocpvgtpebg</t>
        </is>
      </c>
      <c r="H28" t="inlineStr">
        <is>
          <t>https://offcampus.dasa.ncsu.edu/housing/property/lake-park-condos-room-rental-with-utilities/ocpvgtpebg</t>
        </is>
      </c>
    </row>
    <row r="29">
      <c r="A29" t="inlineStr">
        <is>
          <t>maisonNC --- Fully Furnished minutes away from Wolfline and Shopping</t>
        </is>
      </c>
      <c r="B29" s="2" t="n">
        <v>750</v>
      </c>
      <c r="C29" s="2" t="n">
        <v>750</v>
      </c>
      <c r="D29" s="2">
        <f>(B29+C29)/2</f>
        <v/>
      </c>
      <c r="E29" s="9" t="n">
        <v>2.424554918753891</v>
      </c>
      <c r="F29" t="inlineStr">
        <is>
          <t>1-3 mi</t>
        </is>
      </c>
      <c r="G29" t="inlineStr">
        <is>
          <t>ocpesl9n3p</t>
        </is>
      </c>
      <c r="H29" t="inlineStr">
        <is>
          <t>https://offcampus.dasa.ncsu.edu/housing/property/maisonnc-fully-furnished-minutes-away-from-wolfline-and-shopping/ocpesl9n3p</t>
        </is>
      </c>
    </row>
    <row r="30">
      <c r="A30" t="inlineStr">
        <is>
          <t>maisonNC --- Fully Furnished minutes away from Wolfline and Shopping</t>
        </is>
      </c>
      <c r="B30" s="2" t="n">
        <v>750</v>
      </c>
      <c r="C30" s="2" t="n">
        <v>750</v>
      </c>
      <c r="D30" s="2">
        <f>(B30+C30)/2</f>
        <v/>
      </c>
      <c r="E30" s="9" t="n">
        <v>2.476750702403235</v>
      </c>
      <c r="F30" t="inlineStr">
        <is>
          <t>1-3 mi</t>
        </is>
      </c>
      <c r="G30" t="inlineStr">
        <is>
          <t>ocpcm3jede</t>
        </is>
      </c>
      <c r="H30" t="inlineStr">
        <is>
          <t>https://offcampus.dasa.ncsu.edu/housing/property/maisonnc-fully-furnished-minutes-away-from-wolfline-and-shopping/ocpcm3jede</t>
        </is>
      </c>
    </row>
    <row r="31">
      <c r="A31" t="inlineStr">
        <is>
          <t>Modern &amp; spacious 3BR/3BA Apartment w/View</t>
        </is>
      </c>
      <c r="B31" s="2" t="n">
        <v>1000</v>
      </c>
      <c r="C31" s="2" t="n">
        <v>1000</v>
      </c>
      <c r="D31" s="2">
        <f>(B31+C31)/2</f>
        <v/>
      </c>
      <c r="E31" s="9" t="n">
        <v>2.260243009187045</v>
      </c>
      <c r="F31" t="inlineStr">
        <is>
          <t>1-3 mi</t>
        </is>
      </c>
      <c r="G31" t="inlineStr">
        <is>
          <t>ocpnx5c0kn</t>
        </is>
      </c>
      <c r="H31" t="inlineStr">
        <is>
          <t>https://offcampus.dasa.ncsu.edu/housing/property/modern-and-spacious-3br-3ba-apartment-w-view/ocpnx5c0kn</t>
        </is>
      </c>
    </row>
    <row r="32">
      <c r="A32" t="inlineStr">
        <is>
          <t>Modern/High Ceilings 2bed/2 bath</t>
        </is>
      </c>
      <c r="B32" s="2" t="n">
        <v>1250</v>
      </c>
      <c r="C32" s="2" t="n">
        <v>1250</v>
      </c>
      <c r="D32" s="2">
        <f>(B32+C32)/2</f>
        <v/>
      </c>
      <c r="E32" s="9" t="n">
        <v>2.26426412281224</v>
      </c>
      <c r="F32" t="inlineStr">
        <is>
          <t>1-3 mi</t>
        </is>
      </c>
      <c r="G32" t="inlineStr">
        <is>
          <t>ocpet5b7hm</t>
        </is>
      </c>
      <c r="H32" t="inlineStr">
        <is>
          <t>https://offcampus.dasa.ncsu.edu/housing/property/modern-high-ceilings-2bed-2-bath/ocpet5b7hm</t>
        </is>
      </c>
    </row>
    <row r="33">
      <c r="A33" t="inlineStr">
        <is>
          <t>Paloma Raleigh</t>
        </is>
      </c>
      <c r="B33" s="2" t="n">
        <v>749</v>
      </c>
      <c r="C33" s="2" t="n">
        <v>1599</v>
      </c>
      <c r="D33" s="2">
        <f>(B33+C33)/2</f>
        <v/>
      </c>
      <c r="E33" s="9" t="n">
        <v>1.595795391308405</v>
      </c>
      <c r="F33" t="inlineStr">
        <is>
          <t>1-3 mi</t>
        </is>
      </c>
      <c r="G33" t="inlineStr">
        <is>
          <t>0smdl31</t>
        </is>
      </c>
      <c r="H33" t="inlineStr">
        <is>
          <t>https://offcampus.dasa.ncsu.edu/housing/property/paloma-raleigh/0smdl31</t>
        </is>
      </c>
    </row>
    <row r="34">
      <c r="A34" t="inlineStr">
        <is>
          <t>Reavis ---Brand New Luxury Housing within walking distance to NCSU</t>
        </is>
      </c>
      <c r="B34" s="2" t="n">
        <v>925</v>
      </c>
      <c r="C34" s="2" t="n">
        <v>975</v>
      </c>
      <c r="D34" s="2">
        <f>(B34+C34)/2</f>
        <v/>
      </c>
      <c r="E34" s="9" t="n">
        <v>1.029985127024234</v>
      </c>
      <c r="F34" t="inlineStr">
        <is>
          <t>1-3 mi</t>
        </is>
      </c>
      <c r="G34" t="inlineStr">
        <is>
          <t>ocpvlydr3e</t>
        </is>
      </c>
      <c r="H34" t="inlineStr">
        <is>
          <t>https://offcampus.dasa.ncsu.edu/housing/property/reavis-brand-new-luxury-housing-within-walking-distance-to-ncsu/ocpvlydr3e</t>
        </is>
      </c>
    </row>
    <row r="35">
      <c r="A35" t="inlineStr">
        <is>
          <t>Redfield Villages</t>
        </is>
      </c>
      <c r="B35" s="2" t="n">
        <v>799</v>
      </c>
      <c r="C35" s="2" t="n">
        <v>899</v>
      </c>
      <c r="D35" s="2">
        <f>(B35+C35)/2</f>
        <v/>
      </c>
      <c r="E35" s="9" t="n">
        <v>1.254154803633013</v>
      </c>
      <c r="F35" t="inlineStr">
        <is>
          <t>1-3 mi</t>
        </is>
      </c>
      <c r="G35" t="inlineStr">
        <is>
          <t>h2l8mh2</t>
        </is>
      </c>
      <c r="H35" t="inlineStr">
        <is>
          <t>https://offcampus.dasa.ncsu.edu/housing/property/redfield-villages/h2l8mh2</t>
        </is>
      </c>
    </row>
    <row r="36">
      <c r="A36" t="inlineStr">
        <is>
          <t>Redpoint Raleigh</t>
        </is>
      </c>
      <c r="B36" s="2" t="n">
        <v>899</v>
      </c>
      <c r="C36" s="2" t="n">
        <v>995</v>
      </c>
      <c r="D36" s="2">
        <f>(B36+C36)/2</f>
        <v/>
      </c>
      <c r="E36" s="9" t="n">
        <v>1.655983632109707</v>
      </c>
      <c r="F36" t="inlineStr">
        <is>
          <t>1-3 mi</t>
        </is>
      </c>
      <c r="G36" t="inlineStr">
        <is>
          <t>5x5ph7m</t>
        </is>
      </c>
      <c r="H36" t="inlineStr">
        <is>
          <t>https://offcampus.dasa.ncsu.edu/housing/property/redpoint-raleigh/5x5ph7m</t>
        </is>
      </c>
    </row>
    <row r="37">
      <c r="A37" t="inlineStr">
        <is>
          <t>Room in Condo on Collegiate Cir</t>
        </is>
      </c>
      <c r="B37" s="2" t="n">
        <v>675</v>
      </c>
      <c r="C37" s="2" t="n">
        <v>675</v>
      </c>
      <c r="D37" s="2">
        <f>(B37+C37)/2</f>
        <v/>
      </c>
      <c r="E37" s="9" t="n">
        <v>2.544898354511679</v>
      </c>
      <c r="F37" t="inlineStr">
        <is>
          <t>1-3 mi</t>
        </is>
      </c>
      <c r="G37" t="inlineStr">
        <is>
          <t>kf77vv8</t>
        </is>
      </c>
      <c r="H37" t="inlineStr">
        <is>
          <t>https://offcampus.dasa.ncsu.edu/housing/property/room-in-condo-on-collegiate-cir/kf77vv8</t>
        </is>
      </c>
    </row>
    <row r="38">
      <c r="A38" t="inlineStr">
        <is>
          <t>Room in Condo on Crab Orchard Dr</t>
        </is>
      </c>
      <c r="B38" s="2" t="n">
        <v>675</v>
      </c>
      <c r="C38" s="2" t="n">
        <v>675</v>
      </c>
      <c r="D38" s="2">
        <f>(B38+C38)/2</f>
        <v/>
      </c>
      <c r="E38" s="9" t="n">
        <v>2.484547232940121</v>
      </c>
      <c r="F38" t="inlineStr">
        <is>
          <t>1-3 mi</t>
        </is>
      </c>
      <c r="G38" t="inlineStr">
        <is>
          <t>pxc3rhs</t>
        </is>
      </c>
      <c r="H38" t="inlineStr">
        <is>
          <t>https://offcampus.dasa.ncsu.edu/housing/property/room-in-condo-on-crab-orchard-dr/pxc3rhs</t>
        </is>
      </c>
    </row>
    <row r="39">
      <c r="A39" t="inlineStr">
        <is>
          <t>Signature 1505</t>
        </is>
      </c>
      <c r="B39" s="2" t="n">
        <v>650</v>
      </c>
      <c r="C39" s="2" t="n">
        <v>1305</v>
      </c>
      <c r="D39" s="2">
        <f>(B39+C39)/2</f>
        <v/>
      </c>
      <c r="E39" s="9" t="n">
        <v>2.753678573077078</v>
      </c>
      <c r="F39" t="inlineStr">
        <is>
          <t>1-3 mi</t>
        </is>
      </c>
      <c r="G39" t="inlineStr">
        <is>
          <t>5je4q3n</t>
        </is>
      </c>
      <c r="H39" t="inlineStr">
        <is>
          <t>https://offcampus.dasa.ncsu.edu/housing/property/signature-1505/5je4q3n</t>
        </is>
      </c>
    </row>
    <row r="40">
      <c r="A40" t="inlineStr">
        <is>
          <t>Signature 1505 4X4 Apartment</t>
        </is>
      </c>
      <c r="B40" s="2" t="n">
        <v>1230</v>
      </c>
      <c r="C40" s="2" t="n">
        <v>1230</v>
      </c>
      <c r="D40" s="2">
        <f>(B40+C40)/2</f>
        <v/>
      </c>
      <c r="E40" s="9" t="n">
        <v>2.727589665990617</v>
      </c>
      <c r="F40" t="inlineStr">
        <is>
          <t>1-3 mi</t>
        </is>
      </c>
      <c r="G40" t="inlineStr">
        <is>
          <t>ocpszqbd35</t>
        </is>
      </c>
      <c r="H40" t="inlineStr">
        <is>
          <t>https://offcampus.dasa.ncsu.edu/housing/property/signature-1505-4x4-apartment/ocpszqbd35</t>
        </is>
      </c>
    </row>
    <row r="41">
      <c r="A41" t="inlineStr">
        <is>
          <t>Spacious bedroom with private bath in 2BR townhome – 5 minutes to NC State</t>
        </is>
      </c>
      <c r="B41" s="2" t="n">
        <v>800</v>
      </c>
      <c r="C41" s="2" t="n">
        <v>800</v>
      </c>
      <c r="D41" s="2">
        <f>(B41+C41)/2</f>
        <v/>
      </c>
      <c r="E41" s="9" t="n">
        <v>1.762102794973334</v>
      </c>
      <c r="F41" t="inlineStr">
        <is>
          <t>1-3 mi</t>
        </is>
      </c>
      <c r="G41" t="inlineStr">
        <is>
          <t>ocpszex2v4</t>
        </is>
      </c>
      <c r="H41" t="inlineStr">
        <is>
          <t>https://offcampus.dasa.ncsu.edu/housing/property/spacious-bedroom-with-private-bath-in-2br-townhome-5-minutes-to-nc-state/ocpszex2v4</t>
        </is>
      </c>
    </row>
    <row r="42">
      <c r="A42" t="inlineStr">
        <is>
          <t>Spacious Forest Park Two-Room Suite + Private Bath - Walk to Campus (Includes Utilities)</t>
        </is>
      </c>
      <c r="B42" s="2" t="n">
        <v>1225</v>
      </c>
      <c r="C42" s="2" t="n">
        <v>1225</v>
      </c>
      <c r="D42" s="2">
        <f>(B42+C42)/2</f>
        <v/>
      </c>
      <c r="E42" s="9" t="n">
        <v>2.887825180047024</v>
      </c>
      <c r="F42" t="inlineStr">
        <is>
          <t>1-3 mi</t>
        </is>
      </c>
      <c r="G42" t="inlineStr">
        <is>
          <t>ocpgxr290w</t>
        </is>
      </c>
      <c r="H42" t="inlineStr">
        <is>
          <t>https://offcampus.dasa.ncsu.edu/housing/property/spacious-forest-park-two-room-suite-private-bath-walk-to-campus-includes-utilities/ocpgxr290w</t>
        </is>
      </c>
    </row>
    <row r="43">
      <c r="A43" t="inlineStr">
        <is>
          <t>Stanhope Student Apartments</t>
        </is>
      </c>
      <c r="B43" s="2" t="n">
        <v>1300</v>
      </c>
      <c r="C43" s="2" t="n">
        <v>1300</v>
      </c>
      <c r="D43" s="2">
        <f>(B43+C43)/2</f>
        <v/>
      </c>
      <c r="E43" s="9" t="n">
        <v>1.614862709977065</v>
      </c>
      <c r="F43" t="inlineStr">
        <is>
          <t>1-3 mi</t>
        </is>
      </c>
      <c r="G43" t="inlineStr">
        <is>
          <t>ocpk5yz73b</t>
        </is>
      </c>
      <c r="H43" t="inlineStr">
        <is>
          <t>https://offcampus.dasa.ncsu.edu/housing/property/stanhope-student-apartments/ocpk5yz73b</t>
        </is>
      </c>
    </row>
    <row r="44">
      <c r="A44" t="inlineStr">
        <is>
          <t>University Oaks</t>
        </is>
      </c>
      <c r="B44" s="2" t="n">
        <v>725</v>
      </c>
      <c r="C44" s="2" t="n">
        <v>725</v>
      </c>
      <c r="D44" s="2">
        <f>(B44+C44)/2</f>
        <v/>
      </c>
      <c r="E44" s="9" t="n">
        <v>1.40547147046554</v>
      </c>
      <c r="F44" t="inlineStr">
        <is>
          <t>1-3 mi</t>
        </is>
      </c>
      <c r="G44" t="inlineStr">
        <is>
          <t>ocp4t7wmxk</t>
        </is>
      </c>
      <c r="H44" t="inlineStr">
        <is>
          <t>https://offcampus.dasa.ncsu.edu/housing/property/university-oaks/ocp4t7wmxk</t>
        </is>
      </c>
    </row>
    <row r="45">
      <c r="A45" t="inlineStr">
        <is>
          <t>University Oaks -</t>
        </is>
      </c>
      <c r="B45" s="2" t="n">
        <v>725</v>
      </c>
      <c r="C45" s="2" t="n">
        <v>725</v>
      </c>
      <c r="D45" s="2">
        <f>(B45+C45)/2</f>
        <v/>
      </c>
      <c r="E45" s="9" t="n">
        <v>1.394259875498912</v>
      </c>
      <c r="F45" t="inlineStr">
        <is>
          <t>1-3 mi</t>
        </is>
      </c>
      <c r="G45" t="inlineStr">
        <is>
          <t>ocp2evl6hb</t>
        </is>
      </c>
      <c r="H45" t="inlineStr">
        <is>
          <t>https://offcampus.dasa.ncsu.edu/housing/property/university-oaks/ocp2evl6hb</t>
        </is>
      </c>
    </row>
    <row r="46">
      <c r="A46" t="inlineStr">
        <is>
          <t>Valentine Commons</t>
        </is>
      </c>
      <c r="B46" s="2" t="n">
        <v>1000</v>
      </c>
      <c r="C46" s="2" t="n">
        <v>1300</v>
      </c>
      <c r="D46" s="2">
        <f>(B46+C46)/2</f>
        <v/>
      </c>
      <c r="E46" s="9" t="n">
        <v>1.658549841899539</v>
      </c>
      <c r="F46" t="inlineStr">
        <is>
          <t>1-3 mi</t>
        </is>
      </c>
      <c r="G46" t="inlineStr">
        <is>
          <t>ocp5cx5drn</t>
        </is>
      </c>
      <c r="H46" t="inlineStr">
        <is>
          <t>https://offcampus.dasa.ncsu.edu/housing/property/valentine-commons/ocp5cx5drn</t>
        </is>
      </c>
    </row>
    <row r="47">
      <c r="A47" t="inlineStr">
        <is>
          <t>1st Month FREE!</t>
        </is>
      </c>
      <c r="B47" s="2" t="n">
        <v>625</v>
      </c>
      <c r="C47" s="2" t="n">
        <v>625</v>
      </c>
      <c r="D47" s="2">
        <f>(B47+C47)/2</f>
        <v/>
      </c>
      <c r="E47" s="9" t="n">
        <v>3.462349811168599</v>
      </c>
      <c r="F47" t="inlineStr">
        <is>
          <t>3-5 mi</t>
        </is>
      </c>
      <c r="G47" t="inlineStr">
        <is>
          <t>ocpq292qyw</t>
        </is>
      </c>
      <c r="H47" t="inlineStr">
        <is>
          <t>https://offcampus.dasa.ncsu.edu/housing/property/1st-month-free/ocpq292qyw</t>
        </is>
      </c>
    </row>
    <row r="48">
      <c r="A48" t="inlineStr">
        <is>
          <t>5 bedroom townhome available near NC State</t>
        </is>
      </c>
      <c r="B48" s="2" t="n">
        <v>650</v>
      </c>
      <c r="C48" s="2" t="n">
        <v>650</v>
      </c>
      <c r="D48" s="2">
        <f>(B48+C48)/2</f>
        <v/>
      </c>
      <c r="E48" s="9" t="n">
        <v>3.837733337830058</v>
      </c>
      <c r="F48" t="inlineStr">
        <is>
          <t>3-5 mi</t>
        </is>
      </c>
      <c r="G48" t="inlineStr">
        <is>
          <t>ocppbmmgnt</t>
        </is>
      </c>
      <c r="H48" t="inlineStr">
        <is>
          <t>https://offcampus.dasa.ncsu.edu/housing/property/5-bedroom-townhome-available-near-nc-state/ocppbmmgnt</t>
        </is>
      </c>
    </row>
    <row r="49">
      <c r="A49" t="inlineStr">
        <is>
          <t>All Girls Unit - Room with Private Bathroom at  University Woods at Centennial Condominiums</t>
        </is>
      </c>
      <c r="B49" s="2" t="n">
        <v>645</v>
      </c>
      <c r="C49" s="2" t="n">
        <v>645</v>
      </c>
      <c r="D49" s="2">
        <f>(B49+C49)/2</f>
        <v/>
      </c>
      <c r="E49" s="9" t="n">
        <v>3.435850381722893</v>
      </c>
      <c r="F49" t="inlineStr">
        <is>
          <t>3-5 mi</t>
        </is>
      </c>
      <c r="G49" t="inlineStr">
        <is>
          <t>ocpjeweyz6</t>
        </is>
      </c>
      <c r="H49" t="inlineStr">
        <is>
          <t>https://offcampus.dasa.ncsu.edu/housing/property/all-girls-unit-room-with-private-bathroom-at-university-woods-at-centennial-condominiums/ocpjeweyz6</t>
        </is>
      </c>
    </row>
    <row r="50">
      <c r="A50" t="inlineStr">
        <is>
          <t>An apartments with 3 bed and 3 bath for NC State Students www.ncstudentsliving.com</t>
        </is>
      </c>
      <c r="B50" s="2" t="n">
        <v>650</v>
      </c>
      <c r="C50" s="2" t="n">
        <v>650</v>
      </c>
      <c r="D50" s="2">
        <f>(B50+C50)/2</f>
        <v/>
      </c>
      <c r="E50" s="9" t="n">
        <v>3.449430457882558</v>
      </c>
      <c r="F50" t="inlineStr">
        <is>
          <t>3-5 mi</t>
        </is>
      </c>
      <c r="G50" t="inlineStr">
        <is>
          <t>ocp0psn632</t>
        </is>
      </c>
      <c r="H50" t="inlineStr">
        <is>
          <t>https://offcampus.dasa.ncsu.edu/housing/property/an-apartments-with-3-bed-and-3-bath-for-nc-state-students-www-ncstudentsliving-com/ocp0psn632</t>
        </is>
      </c>
    </row>
    <row r="51">
      <c r="A51" t="inlineStr">
        <is>
          <t>Brick Bungalow close to Campus</t>
        </is>
      </c>
      <c r="B51" s="2" t="n">
        <v>1050</v>
      </c>
      <c r="C51" s="2" t="n">
        <v>1050</v>
      </c>
      <c r="D51" s="2">
        <f>(B51+C51)/2</f>
        <v/>
      </c>
      <c r="E51" s="9" t="n">
        <v>4.318331684505075</v>
      </c>
      <c r="F51" t="inlineStr">
        <is>
          <t>3-5 mi</t>
        </is>
      </c>
      <c r="G51" t="inlineStr">
        <is>
          <t>ocp90bdzb4</t>
        </is>
      </c>
      <c r="H51" t="inlineStr">
        <is>
          <t>https://offcampus.dasa.ncsu.edu/housing/property/brick-bungalow-close-to-campus/ocp90bdzb4</t>
        </is>
      </c>
    </row>
    <row r="52">
      <c r="A52" t="inlineStr">
        <is>
          <t>Campus Crossings Raleigh</t>
        </is>
      </c>
      <c r="B52" s="2" t="n">
        <v>685</v>
      </c>
      <c r="C52" s="2" t="n">
        <v>870</v>
      </c>
      <c r="D52" s="2">
        <f>(B52+C52)/2</f>
        <v/>
      </c>
      <c r="E52" s="9" t="n">
        <v>3.822047084535988</v>
      </c>
      <c r="F52" t="inlineStr">
        <is>
          <t>3-5 mi</t>
        </is>
      </c>
      <c r="G52" t="inlineStr">
        <is>
          <t>z8cfdjw</t>
        </is>
      </c>
      <c r="H52" t="inlineStr">
        <is>
          <t>https://offcampus.dasa.ncsu.edu/housing/property/campus-crossings-raleigh/z8cfdjw</t>
        </is>
      </c>
    </row>
    <row r="53">
      <c r="A53" t="inlineStr">
        <is>
          <t>Campus Crossings Raleigh</t>
        </is>
      </c>
      <c r="B53" s="2" t="n">
        <v>865</v>
      </c>
      <c r="C53" s="2" t="n">
        <v>865</v>
      </c>
      <c r="D53" s="2">
        <f>(B53+C53)/2</f>
        <v/>
      </c>
      <c r="E53" s="9" t="n">
        <v>3.762303844318508</v>
      </c>
      <c r="F53" t="inlineStr">
        <is>
          <t>3-5 mi</t>
        </is>
      </c>
      <c r="G53" t="inlineStr">
        <is>
          <t>ocp176ghy4</t>
        </is>
      </c>
      <c r="H53" t="inlineStr">
        <is>
          <t>https://offcampus.dasa.ncsu.edu/housing/property/campus-crossings-raleigh/ocp176ghy4</t>
        </is>
      </c>
    </row>
    <row r="54">
      <c r="A54" t="inlineStr">
        <is>
          <t>Campus West at Tryon</t>
        </is>
      </c>
      <c r="B54" s="2" t="n">
        <v>699</v>
      </c>
      <c r="C54" s="2" t="n">
        <v>699</v>
      </c>
      <c r="D54" s="2">
        <f>(B54+C54)/2</f>
        <v/>
      </c>
      <c r="E54" s="9" t="n">
        <v>3.465363316235042</v>
      </c>
      <c r="F54" t="inlineStr">
        <is>
          <t>3-5 mi</t>
        </is>
      </c>
      <c r="G54" t="inlineStr">
        <is>
          <t>0pm7tt3</t>
        </is>
      </c>
      <c r="H54" t="inlineStr">
        <is>
          <t>https://offcampus.dasa.ncsu.edu/housing/property/campus-west-at-tryon/0pm7tt3</t>
        </is>
      </c>
    </row>
    <row r="55">
      <c r="A55" t="inlineStr">
        <is>
          <t>Centennial Ridge Student Housing</t>
        </is>
      </c>
      <c r="B55" s="2" t="n">
        <v>599</v>
      </c>
      <c r="C55" s="2" t="n">
        <v>2157</v>
      </c>
      <c r="D55" s="2">
        <f>(B55+C55)/2</f>
        <v/>
      </c>
      <c r="E55" s="9" t="n">
        <v>3.70552171192015</v>
      </c>
      <c r="F55" t="inlineStr">
        <is>
          <t>3-5 mi</t>
        </is>
      </c>
      <c r="G55" t="inlineStr">
        <is>
          <t>7e6kx1w</t>
        </is>
      </c>
      <c r="H55" t="inlineStr">
        <is>
          <t>https://offcampus.dasa.ncsu.edu/housing/property/centennial-ridge-student-housing/7e6kx1w</t>
        </is>
      </c>
    </row>
    <row r="56">
      <c r="A56" t="inlineStr">
        <is>
          <t>Great value in beautiful SW Raleigh</t>
        </is>
      </c>
      <c r="B56" s="2" t="n">
        <v>850</v>
      </c>
      <c r="C56" s="2" t="n">
        <v>850</v>
      </c>
      <c r="D56" s="2">
        <f>(B56+C56)/2</f>
        <v/>
      </c>
      <c r="E56" s="9" t="n">
        <v>3.817169822499196</v>
      </c>
      <c r="F56" t="inlineStr">
        <is>
          <t>3-5 mi</t>
        </is>
      </c>
      <c r="G56" t="inlineStr">
        <is>
          <t>ocp0gblz91</t>
        </is>
      </c>
      <c r="H56" t="inlineStr">
        <is>
          <t>https://offcampus.dasa.ncsu.edu/housing/property/great-value-in-beautiful-sw-raleigh/ocp0gblz91</t>
        </is>
      </c>
    </row>
    <row r="57">
      <c r="A57" t="inlineStr">
        <is>
          <t>Hurry 2 Rooms Left! – 4BR/4BA Condo Near NC State  – All Utilities &amp; Internet Included!</t>
        </is>
      </c>
      <c r="B57" s="2" t="n">
        <v>695</v>
      </c>
      <c r="C57" s="2" t="n">
        <v>695</v>
      </c>
      <c r="D57" s="2">
        <f>(B57+C57)/2</f>
        <v/>
      </c>
      <c r="E57" s="9" t="n">
        <v>3.43886765110602</v>
      </c>
      <c r="F57" t="inlineStr">
        <is>
          <t>3-5 mi</t>
        </is>
      </c>
      <c r="G57" t="inlineStr">
        <is>
          <t>ocpchygggd</t>
        </is>
      </c>
      <c r="H57" t="inlineStr">
        <is>
          <t>https://offcampus.dasa.ncsu.edu/housing/property/hurry-2-rooms-left-4br-4ba-condo-near-nc-state-all-utilities-and-internet-included/ocpchygggd</t>
        </is>
      </c>
    </row>
    <row r="58">
      <c r="A58" t="inlineStr">
        <is>
          <t>Newly Renovated - All Girls Unit Room with Private Bathroom</t>
        </is>
      </c>
      <c r="B58" s="2" t="n">
        <v>645</v>
      </c>
      <c r="C58" s="2" t="n">
        <v>645</v>
      </c>
      <c r="D58" s="2">
        <f>(B58+C58)/2</f>
        <v/>
      </c>
      <c r="E58" s="9" t="n">
        <v>3.399382192288023</v>
      </c>
      <c r="F58" t="inlineStr">
        <is>
          <t>3-5 mi</t>
        </is>
      </c>
      <c r="G58" t="inlineStr">
        <is>
          <t>ocp6mp93ms</t>
        </is>
      </c>
      <c r="H58" t="inlineStr">
        <is>
          <t>https://offcampus.dasa.ncsu.edu/housing/property/newly-renovated-all-girls-unit-room-with-private-bathroom/ocp6mp93ms</t>
        </is>
      </c>
    </row>
    <row r="59">
      <c r="A59" t="inlineStr">
        <is>
          <t>Quiet Furnished Room in Cary – Private Bath, Storage, Driveway Access, Near Bus 3</t>
        </is>
      </c>
      <c r="B59" s="2" t="n">
        <v>950</v>
      </c>
      <c r="C59" s="2" t="n">
        <v>950</v>
      </c>
      <c r="D59" s="2">
        <f>(B59+C59)/2</f>
        <v/>
      </c>
      <c r="E59" s="9" t="n">
        <v>4.559165266396114</v>
      </c>
      <c r="F59" t="inlineStr">
        <is>
          <t>3-5 mi</t>
        </is>
      </c>
      <c r="G59" t="inlineStr">
        <is>
          <t>ocp0gch9g2</t>
        </is>
      </c>
      <c r="H59" t="inlineStr">
        <is>
          <t>https://offcampus.dasa.ncsu.edu/housing/property/quiet-furnished-room-in-cary-private-bath-storage-driveway-access-near-bus-3/ocp0gch9g2</t>
        </is>
      </c>
    </row>
    <row r="60">
      <c r="A60" t="inlineStr">
        <is>
          <t>Room in Condo on Wolfmill Dr</t>
        </is>
      </c>
      <c r="B60" s="2" t="n">
        <v>720</v>
      </c>
      <c r="C60" s="2" t="n">
        <v>720</v>
      </c>
      <c r="D60" s="2">
        <f>(B60+C60)/2</f>
        <v/>
      </c>
      <c r="E60" s="9" t="n">
        <v>3.416338167344828</v>
      </c>
      <c r="F60" t="inlineStr">
        <is>
          <t>3-5 mi</t>
        </is>
      </c>
      <c r="G60" t="inlineStr">
        <is>
          <t>zfenc9w</t>
        </is>
      </c>
      <c r="H60" t="inlineStr">
        <is>
          <t>https://offcampus.dasa.ncsu.edu/housing/property/room-in-condo-on-wolfmill-dr/zfenc9w</t>
        </is>
      </c>
    </row>
    <row r="61">
      <c r="A61" t="inlineStr">
        <is>
          <t>Room in House on Joyner Pl</t>
        </is>
      </c>
      <c r="B61" s="2" t="n">
        <v>700</v>
      </c>
      <c r="C61" s="2" t="n">
        <v>700</v>
      </c>
      <c r="D61" s="2">
        <f>(B61+C61)/2</f>
        <v/>
      </c>
      <c r="E61" s="9" t="n">
        <v>3.437811400500744</v>
      </c>
      <c r="F61" t="inlineStr">
        <is>
          <t>3-5 mi</t>
        </is>
      </c>
      <c r="G61" t="inlineStr">
        <is>
          <t>jkg82q6</t>
        </is>
      </c>
      <c r="H61" t="inlineStr">
        <is>
          <t>https://offcampus.dasa.ncsu.edu/housing/property/room-in-house-on-joyner-pl/jkg82q6</t>
        </is>
      </c>
    </row>
    <row r="62">
      <c r="A62" t="inlineStr">
        <is>
          <t>Room in Townhome on Ivory Run Way</t>
        </is>
      </c>
      <c r="B62" s="2" t="n">
        <v>690</v>
      </c>
      <c r="C62" s="2" t="n">
        <v>690</v>
      </c>
      <c r="D62" s="2">
        <f>(B62+C62)/2</f>
        <v/>
      </c>
      <c r="E62" s="9" t="n">
        <v>3.874497194868233</v>
      </c>
      <c r="F62" t="inlineStr">
        <is>
          <t>3-5 mi</t>
        </is>
      </c>
      <c r="G62" t="inlineStr">
        <is>
          <t>hz5leg1</t>
        </is>
      </c>
      <c r="H62" t="inlineStr">
        <is>
          <t>https://offcampus.dasa.ncsu.edu/housing/property/room-in-townhome-on-ivory-run-way/hz5leg1</t>
        </is>
      </c>
    </row>
    <row r="63">
      <c r="A63" t="inlineStr">
        <is>
          <t>Room in Townhome on Macedonia Lake Dr</t>
        </is>
      </c>
      <c r="B63" s="2" t="n">
        <v>800</v>
      </c>
      <c r="C63" s="2" t="n">
        <v>800</v>
      </c>
      <c r="D63" s="2">
        <f>(B63+C63)/2</f>
        <v/>
      </c>
      <c r="E63" s="9" t="n">
        <v>4.081267407142264</v>
      </c>
      <c r="F63" t="inlineStr">
        <is>
          <t>3-5 mi</t>
        </is>
      </c>
      <c r="G63" t="inlineStr">
        <is>
          <t>9m73sq5</t>
        </is>
      </c>
      <c r="H63" t="inlineStr">
        <is>
          <t>https://offcampus.dasa.ncsu.edu/housing/property/room-in-townhome-on-macedonia-lake-dr/9m73sq5</t>
        </is>
      </c>
    </row>
    <row r="64">
      <c r="A64" t="inlineStr">
        <is>
          <t>Spacious En-suite with private patio and garage parking in Crescent Ridge Townhome Community</t>
        </is>
      </c>
      <c r="B64" s="2" t="n">
        <v>900</v>
      </c>
      <c r="C64" s="2" t="n">
        <v>900</v>
      </c>
      <c r="D64" s="2">
        <f>(B64+C64)/2</f>
        <v/>
      </c>
      <c r="E64" s="9" t="n">
        <v>3.40290077430641</v>
      </c>
      <c r="F64" t="inlineStr">
        <is>
          <t>3-5 mi</t>
        </is>
      </c>
      <c r="G64" t="inlineStr">
        <is>
          <t>ocpsd8dpj6</t>
        </is>
      </c>
      <c r="H64" t="inlineStr">
        <is>
          <t>https://offcampus.dasa.ncsu.edu/housing/property/spacious-en-suite-with-private-patio-and-garage-parking-in-crescent-ridge-townhome-community/ocpsd8dpj6</t>
        </is>
      </c>
    </row>
    <row r="65">
      <c r="A65" t="inlineStr">
        <is>
          <t>The Wilde</t>
        </is>
      </c>
      <c r="B65" s="2" t="n">
        <v>599</v>
      </c>
      <c r="C65" s="2" t="n">
        <v>920</v>
      </c>
      <c r="D65" s="2">
        <f>(B65+C65)/2</f>
        <v/>
      </c>
      <c r="E65" s="9" t="n">
        <v>3.34242386821401</v>
      </c>
      <c r="F65" t="inlineStr">
        <is>
          <t>3-5 mi</t>
        </is>
      </c>
      <c r="G65" t="inlineStr">
        <is>
          <t>syvz9l4</t>
        </is>
      </c>
      <c r="H65" t="inlineStr">
        <is>
          <t>https://offcampus.dasa.ncsu.edu/housing/property/the-wilde/syvz9l4</t>
        </is>
      </c>
    </row>
    <row r="66">
      <c r="A66" t="inlineStr">
        <is>
          <t>The Wilde</t>
        </is>
      </c>
      <c r="B66" s="2" t="n">
        <v>860</v>
      </c>
      <c r="C66" s="2" t="n">
        <v>860</v>
      </c>
      <c r="D66" s="2">
        <f>(B66+C66)/2</f>
        <v/>
      </c>
      <c r="E66" s="9" t="n">
        <v>3.31235280006617</v>
      </c>
      <c r="F66" t="inlineStr">
        <is>
          <t>3-5 mi</t>
        </is>
      </c>
      <c r="G66" t="inlineStr">
        <is>
          <t>ocp67ldb5s</t>
        </is>
      </c>
      <c r="H66" t="inlineStr">
        <is>
          <t>https://offcampus.dasa.ncsu.edu/housing/property/the-wilde/ocp67ldb5s</t>
        </is>
      </c>
    </row>
    <row r="67">
      <c r="A67" t="inlineStr">
        <is>
          <t>Tryon Flats Apartments</t>
        </is>
      </c>
      <c r="B67" s="2" t="n">
        <v>750</v>
      </c>
      <c r="C67" s="2" t="n">
        <v>750</v>
      </c>
      <c r="D67" s="2">
        <f>(B67+C67)/2</f>
        <v/>
      </c>
      <c r="E67" s="9" t="n">
        <v>3.915937101691906</v>
      </c>
      <c r="F67" t="inlineStr">
        <is>
          <t>3-5 mi</t>
        </is>
      </c>
      <c r="G67" t="inlineStr">
        <is>
          <t>xcp87fm</t>
        </is>
      </c>
      <c r="H67" t="inlineStr">
        <is>
          <t>https://offcampus.dasa.ncsu.edu/housing/property/tryon-flats-apartments/xcp87fm</t>
        </is>
      </c>
    </row>
    <row r="68">
      <c r="A68" t="inlineStr">
        <is>
          <t>University Suites Student Housing</t>
        </is>
      </c>
      <c r="B68" s="2" t="n">
        <v>699</v>
      </c>
      <c r="C68" s="2" t="n">
        <v>799</v>
      </c>
      <c r="D68" s="2">
        <f>(B68+C68)/2</f>
        <v/>
      </c>
      <c r="E68" s="9" t="n">
        <v>3.553914233172014</v>
      </c>
      <c r="F68" t="inlineStr">
        <is>
          <t>3-5 mi</t>
        </is>
      </c>
      <c r="G68" t="inlineStr">
        <is>
          <t>e13mz5m</t>
        </is>
      </c>
      <c r="H68" t="inlineStr">
        <is>
          <t>https://offcampus.dasa.ncsu.edu/housing/property/university-suites-student-housing/e13mz5m</t>
        </is>
      </c>
    </row>
    <row r="69">
      <c r="A69" t="inlineStr">
        <is>
          <t>University Village at 2505</t>
        </is>
      </c>
      <c r="B69" s="2" t="n">
        <v>799</v>
      </c>
      <c r="C69" s="2" t="n">
        <v>799</v>
      </c>
      <c r="D69" s="2">
        <f>(B69+C69)/2</f>
        <v/>
      </c>
      <c r="E69" s="9" t="n">
        <v>3.84006650761547</v>
      </c>
      <c r="F69" t="inlineStr">
        <is>
          <t>3-5 mi</t>
        </is>
      </c>
      <c r="G69" t="inlineStr">
        <is>
          <t>33f756e</t>
        </is>
      </c>
      <c r="H69" t="inlineStr">
        <is>
          <t>https://offcampus.dasa.ncsu.edu/housing/property/university-village-at-2505/33f756e</t>
        </is>
      </c>
    </row>
    <row r="70">
      <c r="A70" t="inlineStr">
        <is>
          <t>University Woods</t>
        </is>
      </c>
      <c r="B70" s="2" t="n">
        <v>600</v>
      </c>
      <c r="C70" s="2" t="n">
        <v>600</v>
      </c>
      <c r="D70" s="2">
        <f>(B70+C70)/2</f>
        <v/>
      </c>
      <c r="E70" s="9" t="n">
        <v>3.32810246527714</v>
      </c>
      <c r="F70" t="inlineStr">
        <is>
          <t>3-5 mi</t>
        </is>
      </c>
      <c r="G70" t="inlineStr">
        <is>
          <t>ocps6ymwl7</t>
        </is>
      </c>
      <c r="H70" t="inlineStr">
        <is>
          <t>https://offcampus.dasa.ncsu.edu/housing/property/university-woods/ocps6ymwl7</t>
        </is>
      </c>
    </row>
    <row r="71">
      <c r="A71" t="inlineStr">
        <is>
          <t>Village Green</t>
        </is>
      </c>
      <c r="B71" s="2" t="n">
        <v>930</v>
      </c>
      <c r="C71" s="2" t="n">
        <v>930</v>
      </c>
      <c r="D71" s="2">
        <f>(B71+C71)/2</f>
        <v/>
      </c>
      <c r="E71" s="9" t="n">
        <v>3.730289013560026</v>
      </c>
      <c r="F71" t="inlineStr">
        <is>
          <t>3-5 mi</t>
        </is>
      </c>
      <c r="G71" t="inlineStr">
        <is>
          <t>ocp1ddchy6</t>
        </is>
      </c>
      <c r="H71" t="inlineStr">
        <is>
          <t>https://offcampus.dasa.ncsu.edu/housing/property/village-green/ocp1ddchy6</t>
        </is>
      </c>
    </row>
    <row r="72">
      <c r="A72" t="inlineStr">
        <is>
          <t>Village Green Student Housing</t>
        </is>
      </c>
      <c r="B72" s="2" t="n">
        <v>649</v>
      </c>
      <c r="C72" s="2" t="n">
        <v>839</v>
      </c>
      <c r="D72" s="2">
        <f>(B72+C72)/2</f>
        <v/>
      </c>
      <c r="E72" s="9" t="n">
        <v>3.693631240134469</v>
      </c>
      <c r="F72" t="inlineStr">
        <is>
          <t>3-5 mi</t>
        </is>
      </c>
      <c r="G72" t="inlineStr">
        <is>
          <t>jjs8f07</t>
        </is>
      </c>
      <c r="H72" t="inlineStr">
        <is>
          <t>https://offcampus.dasa.ncsu.edu/housing/property/village-green-student-housing/jjs8f07</t>
        </is>
      </c>
    </row>
    <row r="73">
      <c r="A73" t="inlineStr">
        <is>
          <t>Village Green Student Living</t>
        </is>
      </c>
      <c r="B73" s="2" t="n">
        <v>831</v>
      </c>
      <c r="C73" s="2" t="n">
        <v>831</v>
      </c>
      <c r="D73" s="2">
        <f>(B73+C73)/2</f>
        <v/>
      </c>
      <c r="E73" s="9" t="n">
        <v>3.567258278007665</v>
      </c>
      <c r="F73" t="inlineStr">
        <is>
          <t>3-5 mi</t>
        </is>
      </c>
      <c r="G73" t="inlineStr">
        <is>
          <t>ocpepvxvln</t>
        </is>
      </c>
      <c r="H73" t="inlineStr">
        <is>
          <t>https://offcampus.dasa.ncsu.edu/housing/property/village-green-student-living/ocpepvxvln</t>
        </is>
      </c>
    </row>
    <row r="74">
      <c r="A74" t="inlineStr">
        <is>
          <t>Voyager House</t>
        </is>
      </c>
      <c r="B74" s="2" t="n">
        <v>800</v>
      </c>
      <c r="C74" s="2" t="n">
        <v>800</v>
      </c>
      <c r="D74" s="2">
        <f>(B74+C74)/2</f>
        <v/>
      </c>
      <c r="E74" s="9" t="n">
        <v>3.531182033206033</v>
      </c>
      <c r="F74" t="inlineStr">
        <is>
          <t>3-5 mi</t>
        </is>
      </c>
      <c r="G74" t="inlineStr">
        <is>
          <t>ocpbhbkvy9</t>
        </is>
      </c>
      <c r="H74" t="inlineStr">
        <is>
          <t>https://offcampus.dasa.ncsu.edu/housing/property/voyager-house/ocpbhbkvy9</t>
        </is>
      </c>
    </row>
    <row r="75"/>
    <row r="76">
      <c r="A76" s="4" t="n"/>
      <c r="B76" s="4" t="n"/>
      <c r="C76" s="4" t="n"/>
      <c r="D76" s="4" t="n"/>
    </row>
    <row r="77">
      <c r="A77" s="10" t="inlineStr">
        <is>
          <t>Prices used (COUNT)</t>
        </is>
      </c>
      <c r="B77" s="13">
        <f>COUNT(B5:B74)</f>
        <v/>
      </c>
      <c r="C77" s="13">
        <f>COUNT(C5:C74)</f>
        <v/>
      </c>
      <c r="D77" s="13">
        <f>COUNT(D5:D74)</f>
        <v/>
      </c>
    </row>
    <row r="78">
      <c r="A78" s="10" t="inlineStr">
        <is>
          <t>Total advertised rent (SUM)</t>
        </is>
      </c>
      <c r="B78" s="2">
        <f>SUM(B5:B74)</f>
        <v/>
      </c>
      <c r="C78" s="2">
        <f>SUM(C5:C74)</f>
        <v/>
      </c>
      <c r="D78" s="2">
        <f>SUM(D5:D74)</f>
        <v/>
      </c>
    </row>
    <row r="79">
      <c r="A79" s="10" t="inlineStr">
        <is>
          <t>Average (sum / count)</t>
        </is>
      </c>
      <c r="B79" s="2">
        <f>B78/B77</f>
        <v/>
      </c>
      <c r="C79" s="2">
        <f>C78/C77</f>
        <v/>
      </c>
      <c r="D79" s="2">
        <f>D78/D77</f>
        <v/>
      </c>
    </row>
    <row r="80">
      <c r="A80" s="10" t="inlineStr">
        <is>
          <t>Median listing midpoint</t>
        </is>
      </c>
      <c r="B80" s="2" t="n"/>
      <c r="C80" s="2" t="n"/>
      <c r="D80" s="2">
        <f>MEDIAN(D5:D74)</f>
        <v/>
      </c>
    </row>
    <row r="83">
      <c r="A83" s="11" t="inlineStr">
        <is>
          <t>Biomedical Campus band</t>
        </is>
      </c>
      <c r="B83" s="11" t="inlineStr">
        <is>
          <t>Listings</t>
        </is>
      </c>
      <c r="C83" s="11" t="inlineStr">
        <is>
          <t>Low-price sum</t>
        </is>
      </c>
      <c r="D83" s="11" t="inlineStr">
        <is>
          <t>High-price sum</t>
        </is>
      </c>
      <c r="E83" s="11" t="inlineStr">
        <is>
          <t>Midpoint sum</t>
        </is>
      </c>
      <c r="F83" s="11" t="inlineStr">
        <is>
          <t>Mean midpoint</t>
        </is>
      </c>
    </row>
    <row r="84">
      <c r="A84" s="10" t="inlineStr">
        <is>
          <t>0-1 mi</t>
        </is>
      </c>
      <c r="B84">
        <f>COUNTIF($F$5:$F74,A84)</f>
        <v/>
      </c>
      <c r="C84" s="2">
        <f>SUMIF($F$5:$F74,A84,$B$5:$B74)</f>
        <v/>
      </c>
      <c r="D84" s="2">
        <f>SUMIF($F$5:$F74,A84,$C$5:$C74)</f>
        <v/>
      </c>
      <c r="E84" s="2">
        <f>SUMIF($F$5:$F74,A84,$D$5:$D74)</f>
        <v/>
      </c>
      <c r="F84" s="2">
        <f>E84/B84</f>
        <v/>
      </c>
    </row>
    <row r="85">
      <c r="A85" s="10" t="inlineStr">
        <is>
          <t>1-3 mi</t>
        </is>
      </c>
      <c r="B85">
        <f>COUNTIF($F$5:$F74,A85)</f>
        <v/>
      </c>
      <c r="C85" s="2">
        <f>SUMIF($F$5:$F74,A85,$B$5:$B74)</f>
        <v/>
      </c>
      <c r="D85" s="2">
        <f>SUMIF($F$5:$F74,A85,$C$5:$C74)</f>
        <v/>
      </c>
      <c r="E85" s="2">
        <f>SUMIF($F$5:$F74,A85,$D$5:$D74)</f>
        <v/>
      </c>
      <c r="F85" s="2">
        <f>E85/B85</f>
        <v/>
      </c>
    </row>
    <row r="86">
      <c r="A86" s="10" t="inlineStr">
        <is>
          <t>3-5 mi</t>
        </is>
      </c>
      <c r="B86">
        <f>COUNTIF($F$5:$F74,A86)</f>
        <v/>
      </c>
      <c r="C86" s="2">
        <f>SUMIF($F$5:$F74,A86,$B$5:$B74)</f>
        <v/>
      </c>
      <c r="D86" s="2">
        <f>SUMIF($F$5:$F74,A86,$C$5:$C74)</f>
        <v/>
      </c>
      <c r="E86" s="2">
        <f>SUMIF($F$5:$F74,A86,$D$5:$D74)</f>
        <v/>
      </c>
      <c r="F86" s="2">
        <f>E86/B86</f>
        <v/>
      </c>
    </row>
    <row r="87">
      <c r="A87" s="10" t="inlineStr">
        <is>
          <t>All three bands</t>
        </is>
      </c>
      <c r="B87" s="10">
        <f>SUM(B84:B86)</f>
        <v/>
      </c>
      <c r="C87" s="13">
        <f>SUM(C84:C86)</f>
        <v/>
      </c>
      <c r="D87" s="13">
        <f>SUM(D84:D86)</f>
        <v/>
      </c>
      <c r="E87" s="13">
        <f>SUM(E84:E86)</f>
        <v/>
      </c>
      <c r="F87" s="13">
        <f>E87/B87</f>
        <v/>
      </c>
    </row>
    <row r="90">
      <c r="A90" s="14" t="inlineStr">
        <is>
          <t>Draft page check</t>
        </is>
      </c>
      <c r="B90" s="14" t="inlineStr">
        <is>
          <t>Rounded average low</t>
        </is>
      </c>
      <c r="C90" s="14" t="inlineStr">
        <is>
          <t>Rounded average high</t>
        </is>
      </c>
      <c r="D90" s="14" t="inlineStr">
        <is>
          <t>Rounded midpoint</t>
        </is>
      </c>
    </row>
    <row r="91">
      <c r="A91" s="10" t="inlineStr">
        <is>
          <t>Displayed values</t>
        </is>
      </c>
      <c r="B91" s="16">
        <f>ROUND(B79,0)</f>
        <v/>
      </c>
      <c r="C91" s="16">
        <f>ROUND(C79,0)</f>
        <v/>
      </c>
      <c r="D91" s="16">
        <f>ROUND(D79,0)</f>
        <v/>
      </c>
    </row>
  </sheetData>
  <autoFilter ref="A4:G74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54" customWidth="1" min="7" max="7"/>
  </cols>
  <sheetData>
    <row r="1">
      <c r="A1" s="6" t="inlineStr">
        <is>
          <t>Biomedical 0-1 mi</t>
        </is>
      </c>
    </row>
    <row r="2">
      <c r="A2" s="5" t="inlineStr">
        <is>
          <t>Sept. 9, 2026 advertised-price snapshot. One vote per listing; midpoint=(low+high)/2.</t>
        </is>
      </c>
    </row>
    <row r="4">
      <c r="A4" s="1" t="inlineStr">
        <is>
          <t>Listing name</t>
        </is>
      </c>
      <c r="B4" s="1" t="inlineStr">
        <is>
          <t>Low ($/month)</t>
        </is>
      </c>
      <c r="C4" s="1" t="inlineStr">
        <is>
          <t>High ($/month)</t>
        </is>
      </c>
      <c r="D4" s="1" t="inlineStr">
        <is>
          <t>Midpoint ($/month)</t>
        </is>
      </c>
      <c r="E4" s="1" t="inlineStr">
        <is>
          <t>Distance (mi)</t>
        </is>
      </c>
      <c r="F4" s="1" t="inlineStr">
        <is>
          <t>Listing ID</t>
        </is>
      </c>
      <c r="G4" s="1" t="inlineStr">
        <is>
          <t>Source URL</t>
        </is>
      </c>
    </row>
    <row r="5">
      <c r="A5" t="inlineStr">
        <is>
          <t>Room in House on Pineland Cir</t>
        </is>
      </c>
      <c r="B5" s="2" t="n">
        <v>700</v>
      </c>
      <c r="C5" s="2" t="n">
        <v>700</v>
      </c>
      <c r="D5" s="2">
        <f>(B5+C5)/2</f>
        <v/>
      </c>
      <c r="E5" s="3" t="n">
        <v>0.7467833953582881</v>
      </c>
      <c r="F5" t="inlineStr">
        <is>
          <t>x5wd0zn</t>
        </is>
      </c>
      <c r="G5" t="inlineStr">
        <is>
          <t>https://offcampus.dasa.ncsu.edu/housing/property/room-in-house-on-pineland-cir/x5wd0zn</t>
        </is>
      </c>
    </row>
    <row r="6">
      <c r="A6" t="inlineStr">
        <is>
          <t>The Station</t>
        </is>
      </c>
      <c r="B6" s="2" t="n">
        <v>969</v>
      </c>
      <c r="C6" s="2" t="n">
        <v>969</v>
      </c>
      <c r="D6" s="2">
        <f>(B6+C6)/2</f>
        <v/>
      </c>
      <c r="E6" s="3" t="n">
        <v>0.4311555472408258</v>
      </c>
      <c r="F6" t="inlineStr">
        <is>
          <t>ocp2gxtxqc</t>
        </is>
      </c>
      <c r="G6" t="inlineStr">
        <is>
          <t>https://offcampus.dasa.ncsu.edu/housing/property/the-station/ocp2gxtxqc</t>
        </is>
      </c>
    </row>
    <row r="7">
      <c r="A7" t="inlineStr">
        <is>
          <t>The Station Raleigh</t>
        </is>
      </c>
      <c r="B7" s="2" t="n">
        <v>749</v>
      </c>
      <c r="C7" s="2" t="n">
        <v>1930</v>
      </c>
      <c r="D7" s="2">
        <f>(B7+C7)/2</f>
        <v/>
      </c>
      <c r="E7" s="3" t="n">
        <v>0.4097418636325941</v>
      </c>
      <c r="F7" t="inlineStr">
        <is>
          <t>5hme2mn</t>
        </is>
      </c>
      <c r="G7" t="inlineStr">
        <is>
          <t>https://offcampus.dasa.ncsu.edu/housing/property/the-station-raleigh/5hme2mn</t>
        </is>
      </c>
    </row>
    <row r="8">
      <c r="A8" t="inlineStr">
        <is>
          <t>We have 1 bedroom open In a luxury 5 bed 5 full bath house 1/1/27-6/30/27</t>
        </is>
      </c>
      <c r="B8" s="2" t="n">
        <v>1200</v>
      </c>
      <c r="C8" s="2" t="n">
        <v>1200</v>
      </c>
      <c r="D8" s="2">
        <f>(B8+C8)/2</f>
        <v/>
      </c>
      <c r="E8" s="3" t="n">
        <v>0.8709041502422058</v>
      </c>
      <c r="F8" t="inlineStr">
        <is>
          <t>ocp6wsb4yt</t>
        </is>
      </c>
      <c r="G8" t="inlineStr">
        <is>
          <t>https://offcampus.dasa.ncsu.edu/housing/property/we-have-1-bedroom-open-in-a-luxury-5-bed-5-full-bath-house-1-1-27-6-30-27/ocp6wsb4yt</t>
        </is>
      </c>
    </row>
    <row r="9"/>
    <row r="10">
      <c r="A10" s="4" t="inlineStr">
        <is>
          <t>Prices used (COUNT)</t>
        </is>
      </c>
      <c r="B10" s="4">
        <f>COUNT(B5:B8)</f>
        <v/>
      </c>
      <c r="C10" s="4">
        <f>COUNT(C5:C8)</f>
        <v/>
      </c>
      <c r="D10" s="4">
        <f>COUNT(D5:D8)</f>
        <v/>
      </c>
    </row>
    <row r="11">
      <c r="A11" s="4" t="inlineStr">
        <is>
          <t>Total advertised rent (SUM)</t>
        </is>
      </c>
      <c r="B11" s="2">
        <f>SUM(B5:B8)</f>
        <v/>
      </c>
      <c r="C11" s="2">
        <f>SUM(C5:C8)</f>
        <v/>
      </c>
      <c r="D11" s="2">
        <f>SUM(D5:D8)</f>
        <v/>
      </c>
    </row>
    <row r="12">
      <c r="A12" s="4" t="inlineStr">
        <is>
          <t>Average (sum / count)</t>
        </is>
      </c>
      <c r="B12" s="2">
        <f>B11/B10</f>
        <v/>
      </c>
      <c r="C12" s="2">
        <f>C11/C10</f>
        <v/>
      </c>
      <c r="D12" s="2">
        <f>D11/D10</f>
        <v/>
      </c>
    </row>
    <row r="13">
      <c r="A13" s="4" t="inlineStr">
        <is>
          <t>Median listing midpoint</t>
        </is>
      </c>
      <c r="D13" s="2">
        <f>MEDIAN(D5:D8)</f>
        <v/>
      </c>
    </row>
  </sheetData>
  <autoFilter ref="A4:G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54" customWidth="1" min="7" max="7"/>
  </cols>
  <sheetData>
    <row r="1">
      <c r="A1" s="6" t="inlineStr">
        <is>
          <t>Biomedical 1-3 mi</t>
        </is>
      </c>
    </row>
    <row r="2">
      <c r="A2" s="5" t="inlineStr">
        <is>
          <t>Sept. 9, 2026 advertised-price snapshot. One vote per listing; midpoint=(low+high)/2.</t>
        </is>
      </c>
    </row>
    <row r="4">
      <c r="A4" s="1" t="inlineStr">
        <is>
          <t>Listing name</t>
        </is>
      </c>
      <c r="B4" s="1" t="inlineStr">
        <is>
          <t>Low ($/month)</t>
        </is>
      </c>
      <c r="C4" s="1" t="inlineStr">
        <is>
          <t>High ($/month)</t>
        </is>
      </c>
      <c r="D4" s="1" t="inlineStr">
        <is>
          <t>Midpoint ($/month)</t>
        </is>
      </c>
      <c r="E4" s="1" t="inlineStr">
        <is>
          <t>Distance (mi)</t>
        </is>
      </c>
      <c r="F4" s="1" t="inlineStr">
        <is>
          <t>Listing ID</t>
        </is>
      </c>
      <c r="G4" s="1" t="inlineStr">
        <is>
          <t>Source URL</t>
        </is>
      </c>
    </row>
    <row r="5">
      <c r="A5" t="inlineStr">
        <is>
          <t>"Avery Close " condos room available across from Centennial Campus NCSU NC State Raleigh</t>
        </is>
      </c>
      <c r="B5" s="2" t="n">
        <v>750</v>
      </c>
      <c r="C5" s="2" t="n">
        <v>750</v>
      </c>
      <c r="D5" s="2">
        <f>(B5+C5)/2</f>
        <v/>
      </c>
      <c r="E5" s="3" t="n">
        <v>2.067123955503036</v>
      </c>
      <c r="F5" t="inlineStr">
        <is>
          <t>ocpsnmx4w4</t>
        </is>
      </c>
      <c r="G5" t="inlineStr">
        <is>
          <t>https://offcampus.dasa.ncsu.edu/housing/property/avery-close-condos-room-available-across-from-centennial-campus-ncsu-nc-state-raleigh/ocpsnmx4w4</t>
        </is>
      </c>
    </row>
    <row r="6">
      <c r="A6" t="inlineStr">
        <is>
          <t>$3600 saving on 2*2 Sublet at Stanhope Apartment for NC STATE</t>
        </is>
      </c>
      <c r="B6" s="2" t="n">
        <v>550</v>
      </c>
      <c r="C6" s="2" t="n">
        <v>550</v>
      </c>
      <c r="D6" s="2">
        <f>(B6+C6)/2</f>
        <v/>
      </c>
      <c r="E6" s="3" t="n">
        <v>1.614862709977065</v>
      </c>
      <c r="F6" t="inlineStr">
        <is>
          <t>ocpd9wnxdk</t>
        </is>
      </c>
      <c r="G6" t="inlineStr">
        <is>
          <t>https://offcampus.dasa.ncsu.edu/housing/property/3600-saving-on-2-2-sublet-at-stanhope-apartment-for-nc-state/ocpd9wnxdk</t>
        </is>
      </c>
    </row>
    <row r="7">
      <c r="A7" t="inlineStr">
        <is>
          <t>105 Friendly Drive! Furnished Room Rentals with Utilities!</t>
        </is>
      </c>
      <c r="B7" s="2" t="n">
        <v>775</v>
      </c>
      <c r="C7" s="2" t="n">
        <v>1050</v>
      </c>
      <c r="D7" s="2">
        <f>(B7+C7)/2</f>
        <v/>
      </c>
      <c r="E7" s="3" t="n">
        <v>1.709232411452477</v>
      </c>
      <c r="F7" t="inlineStr">
        <is>
          <t>ocphdtdgk2</t>
        </is>
      </c>
      <c r="G7" t="inlineStr">
        <is>
          <t>https://offcampus.dasa.ncsu.edu/housing/property/105-friendly-drive-furnished-room-rentals-with-utilities/ocphdtdgk2</t>
        </is>
      </c>
    </row>
    <row r="8">
      <c r="A8" t="inlineStr">
        <is>
          <t>4bed 4bath Apartment Near Centennial Campus</t>
        </is>
      </c>
      <c r="B8" s="2" t="n">
        <v>725</v>
      </c>
      <c r="C8" s="2" t="n">
        <v>725</v>
      </c>
      <c r="D8" s="2">
        <f>(B8+C8)/2</f>
        <v/>
      </c>
      <c r="E8" s="3" t="n">
        <v>2.47379445236793</v>
      </c>
      <c r="F8" t="inlineStr">
        <is>
          <t>ocpsq86tm4</t>
        </is>
      </c>
      <c r="G8" t="inlineStr">
        <is>
          <t>https://offcampus.dasa.ncsu.edu/housing/property/4bed-4bath-apartment-near-centennial-campus/ocpsq86tm4</t>
        </is>
      </c>
    </row>
    <row r="9">
      <c r="A9" t="inlineStr">
        <is>
          <t>4BR/4BA Condo| On Wolfline | Preleasing 27-28 Special $850 Util/Parking Incld | Mile to Campus</t>
        </is>
      </c>
      <c r="B9" s="2" t="n">
        <v>875</v>
      </c>
      <c r="C9" s="2" t="n">
        <v>875</v>
      </c>
      <c r="D9" s="2">
        <f>(B9+C9)/2</f>
        <v/>
      </c>
      <c r="E9" s="3" t="n">
        <v>1.894195326652115</v>
      </c>
      <c r="F9" t="inlineStr">
        <is>
          <t>ocpxdxd79p</t>
        </is>
      </c>
      <c r="G9" t="inlineStr">
        <is>
          <t>https://offcampus.dasa.ncsu.edu/housing/property/4br-4ba-condo-on-wolfline-preleasing-27-28-special-850-util-parking-incld-mile-to-campus/ocpxdxd79p</t>
        </is>
      </c>
    </row>
    <row r="10">
      <c r="A10" t="inlineStr">
        <is>
          <t>Affordable Student Housing 1 Block from Campus on Wolf Line</t>
        </is>
      </c>
      <c r="B10" s="2" t="n">
        <v>640</v>
      </c>
      <c r="C10" s="2" t="n">
        <v>640</v>
      </c>
      <c r="D10" s="2">
        <f>(B10+C10)/2</f>
        <v/>
      </c>
      <c r="E10" s="3" t="n">
        <v>1.389187657426951</v>
      </c>
      <c r="F10" t="inlineStr">
        <is>
          <t>ocph8n0fc0</t>
        </is>
      </c>
      <c r="G10" t="inlineStr">
        <is>
          <t>https://offcampus.dasa.ncsu.edu/housing/property/affordable-student-housing-1-block-from-campus-on-wolf-line/ocph8n0fc0</t>
        </is>
      </c>
    </row>
    <row r="11">
      <c r="A11" t="inlineStr">
        <is>
          <t>Apartment close to NCSU</t>
        </is>
      </c>
      <c r="B11" s="2" t="n">
        <v>645</v>
      </c>
      <c r="C11" s="2" t="n">
        <v>645</v>
      </c>
      <c r="D11" s="2">
        <f>(B11+C11)/2</f>
        <v/>
      </c>
      <c r="E11" s="3" t="n">
        <v>2.493770610048423</v>
      </c>
      <c r="F11" t="inlineStr">
        <is>
          <t>ocpq99qjpx</t>
        </is>
      </c>
      <c r="G11" t="inlineStr">
        <is>
          <t>https://offcampus.dasa.ncsu.edu/housing/property/apartment-close-to-ncsu/ocpq99qjpx</t>
        </is>
      </c>
    </row>
    <row r="12">
      <c r="A12" t="inlineStr">
        <is>
          <t>Big Promotion w/best price ever. Move in Immediately . MarcomTowns. Great location nice</t>
        </is>
      </c>
      <c r="B12" s="2" t="n">
        <v>950</v>
      </c>
      <c r="C12" s="2" t="n">
        <v>950</v>
      </c>
      <c r="D12" s="2">
        <f>(B12+C12)/2</f>
        <v/>
      </c>
      <c r="E12" s="3" t="n">
        <v>1.674004450243779</v>
      </c>
      <c r="F12" t="inlineStr">
        <is>
          <t>ocpe1n95cm</t>
        </is>
      </c>
      <c r="G12" t="inlineStr">
        <is>
          <t>https://offcampus.dasa.ncsu.edu/housing/property/big-promotion-w-best-price-ever-move-in-immediately-marcomtowns-great-location-nice/ocpe1n95cm</t>
        </is>
      </c>
    </row>
    <row r="13">
      <c r="A13" t="inlineStr">
        <is>
          <t>Brand New Luxury Furnished Townhome | 4 Bed /  3.5 Bath | 5 Min to NC State &amp; 3 Mins to Fenton +shop</t>
        </is>
      </c>
      <c r="B13" s="2" t="n">
        <v>900</v>
      </c>
      <c r="C13" s="2" t="n">
        <v>1050</v>
      </c>
      <c r="D13" s="2">
        <f>(B13+C13)/2</f>
        <v/>
      </c>
      <c r="E13" s="3" t="n">
        <v>2.631786902208467</v>
      </c>
      <c r="F13" t="inlineStr">
        <is>
          <t>ocpw46rjcl</t>
        </is>
      </c>
      <c r="G13" t="inlineStr">
        <is>
          <t>https://offcampus.dasa.ncsu.edu/housing/property/brand-new-luxury-furnished-townhome-4-bed-3-5-bath-5-min-to-nc-state-and-3-mins-to-fenton-shop/ocpw46rjcl</t>
        </is>
      </c>
    </row>
    <row r="14">
      <c r="A14" t="inlineStr">
        <is>
          <t>Brickside</t>
        </is>
      </c>
      <c r="B14" s="2" t="n">
        <v>999</v>
      </c>
      <c r="C14" s="2" t="n">
        <v>1825</v>
      </c>
      <c r="D14" s="2">
        <f>(B14+C14)/2</f>
        <v/>
      </c>
      <c r="E14" s="3" t="n">
        <v>2.041869975567159</v>
      </c>
      <c r="F14" t="inlineStr">
        <is>
          <t>75medjw</t>
        </is>
      </c>
      <c r="G14" t="inlineStr">
        <is>
          <t>https://offcampus.dasa.ncsu.edu/housing/property/brickside/75medjw</t>
        </is>
      </c>
    </row>
    <row r="15">
      <c r="A15" t="inlineStr">
        <is>
          <t>Burt Drive Townhouses---Brand New Luxury Housing within walking distance to NCSU</t>
        </is>
      </c>
      <c r="B15" s="2" t="n">
        <v>1050</v>
      </c>
      <c r="C15" s="2" t="n">
        <v>1050</v>
      </c>
      <c r="D15" s="2">
        <f>(B15+C15)/2</f>
        <v/>
      </c>
      <c r="E15" s="3" t="n">
        <v>1.844677270208866</v>
      </c>
      <c r="F15" t="inlineStr">
        <is>
          <t>ocpm68s5sh</t>
        </is>
      </c>
      <c r="G15" t="inlineStr">
        <is>
          <t>https://offcampus.dasa.ncsu.edu/housing/property/burt-drive-townhouses-brand-new-luxury-housing-within-walking-distance-to-ncsu/ocpm68s5sh</t>
        </is>
      </c>
    </row>
    <row r="16">
      <c r="A16" t="inlineStr">
        <is>
          <t>College Inn</t>
        </is>
      </c>
      <c r="B16" s="2" t="n">
        <v>859</v>
      </c>
      <c r="C16" s="2" t="n">
        <v>1275</v>
      </c>
      <c r="D16" s="2">
        <f>(B16+C16)/2</f>
        <v/>
      </c>
      <c r="E16" s="3" t="n">
        <v>1.938377954019911</v>
      </c>
      <c r="F16" t="inlineStr">
        <is>
          <t>se736e5</t>
        </is>
      </c>
      <c r="G16" t="inlineStr">
        <is>
          <t>https://offcampus.dasa.ncsu.edu/housing/property/college-inn/se736e5</t>
        </is>
      </c>
    </row>
    <row r="17">
      <c r="A17" t="inlineStr">
        <is>
          <t>Collegeview Duplex--Brand New Luxury Housing within walking distance to NCSU</t>
        </is>
      </c>
      <c r="B17" s="2" t="n">
        <v>900</v>
      </c>
      <c r="C17" s="2" t="n">
        <v>950</v>
      </c>
      <c r="D17" s="2">
        <f>(B17+C17)/2</f>
        <v/>
      </c>
      <c r="E17" s="3" t="n">
        <v>1.775085773166035</v>
      </c>
      <c r="F17" t="inlineStr">
        <is>
          <t>ocppjxdd3r</t>
        </is>
      </c>
      <c r="G17" t="inlineStr">
        <is>
          <t>https://offcampus.dasa.ncsu.edu/housing/property/collegeview-duplex-brand-new-luxury-housing-within-walking-distance-to-ncsu/ocppjxdd3r</t>
        </is>
      </c>
    </row>
    <row r="18">
      <c r="A18" t="inlineStr">
        <is>
          <t>Condo near NCSU</t>
        </is>
      </c>
      <c r="B18" s="2" t="n">
        <v>800</v>
      </c>
      <c r="C18" s="2" t="n">
        <v>800</v>
      </c>
      <c r="D18" s="2">
        <f>(B18+C18)/2</f>
        <v/>
      </c>
      <c r="E18" s="3" t="n">
        <v>2.413386038111517</v>
      </c>
      <c r="F18" t="inlineStr">
        <is>
          <t>ocpx51p4tm</t>
        </is>
      </c>
      <c r="G18" t="inlineStr">
        <is>
          <t>https://offcampus.dasa.ncsu.edu/housing/property/condo-near-ncsu/ocpx51p4tm</t>
        </is>
      </c>
    </row>
    <row r="19">
      <c r="A19" t="inlineStr">
        <is>
          <t>Convenient Kaplan Dr property near NCSU buses, park, grocery, with parking space &amp; private bathroom</t>
        </is>
      </c>
      <c r="B19" s="2" t="n">
        <v>675</v>
      </c>
      <c r="C19" s="2" t="n">
        <v>675</v>
      </c>
      <c r="D19" s="2">
        <f>(B19+C19)/2</f>
        <v/>
      </c>
      <c r="E19" s="3" t="n">
        <v>1.750058826831014</v>
      </c>
      <c r="F19" t="inlineStr">
        <is>
          <t>ocp5lwrmvq</t>
        </is>
      </c>
      <c r="G19" t="inlineStr">
        <is>
          <t>https://offcampus.dasa.ncsu.edu/housing/property/convenient-kaplan-dr-property-near-ncsu-buses-park-grocery-with-parking-space-and-private-bathroom/ocp5lwrmvq</t>
        </is>
      </c>
    </row>
    <row r="20">
      <c r="A20" t="inlineStr">
        <is>
          <t>Cozy house 10 min walk to campus</t>
        </is>
      </c>
      <c r="B20" s="2" t="n">
        <v>1500</v>
      </c>
      <c r="C20" s="2" t="n">
        <v>1500</v>
      </c>
      <c r="D20" s="2">
        <f>(B20+C20)/2</f>
        <v/>
      </c>
      <c r="E20" s="3" t="n">
        <v>2.14970929665973</v>
      </c>
      <c r="F20" t="inlineStr">
        <is>
          <t>ocphycq162</t>
        </is>
      </c>
      <c r="G20" t="inlineStr">
        <is>
          <t>https://offcampus.dasa.ncsu.edu/housing/property/cozy-house-10-min-walk-to-campus/ocphycq162</t>
        </is>
      </c>
    </row>
    <row r="21">
      <c r="A21" t="inlineStr">
        <is>
          <t>FURNISHED NCSU STUDENT HOUSING – TOWNHOME ROOM RENTAL WITH PRIVATE BATHROOM ($850/room)</t>
        </is>
      </c>
      <c r="B21" s="2" t="n">
        <v>850</v>
      </c>
      <c r="C21" s="2" t="n">
        <v>850</v>
      </c>
      <c r="D21" s="2">
        <f>(B21+C21)/2</f>
        <v/>
      </c>
      <c r="E21" s="3" t="n">
        <v>1.490662795107468</v>
      </c>
      <c r="F21" t="inlineStr">
        <is>
          <t>ocpx3vt61n</t>
        </is>
      </c>
      <c r="G21" t="inlineStr">
        <is>
          <t>https://offcampus.dasa.ncsu.edu/housing/property/furnished-ncsu-student-housing-townhome-room-rental-with-private-bathroom-850-room/ocpx3vt61n</t>
        </is>
      </c>
    </row>
    <row r="22">
      <c r="A22" t="inlineStr">
        <is>
          <t>Hub Raleigh – 4x2 Lease Takeover, Available Now</t>
        </is>
      </c>
      <c r="B22" s="2" t="n">
        <v>1199</v>
      </c>
      <c r="C22" s="2" t="n">
        <v>1199</v>
      </c>
      <c r="D22" s="2">
        <f>(B22+C22)/2</f>
        <v/>
      </c>
      <c r="E22" s="3" t="n">
        <v>2.611114095902443</v>
      </c>
      <c r="F22" t="inlineStr">
        <is>
          <t>ocp4lh373j</t>
        </is>
      </c>
      <c r="G22" t="inlineStr">
        <is>
          <t>https://offcampus.dasa.ncsu.edu/housing/property/hub-raleigh-4x2-lease-takeover-available-now/ocp4lh373j</t>
        </is>
      </c>
    </row>
    <row r="23">
      <c r="A23" t="inlineStr">
        <is>
          <t>Huge modern studio suite- private entrance and beth- near NCSU</t>
        </is>
      </c>
      <c r="B23" s="2" t="n">
        <v>1150</v>
      </c>
      <c r="C23" s="2" t="n">
        <v>1150</v>
      </c>
      <c r="D23" s="2">
        <f>(B23+C23)/2</f>
        <v/>
      </c>
      <c r="E23" s="3" t="n">
        <v>2.129637740162942</v>
      </c>
      <c r="F23" t="inlineStr">
        <is>
          <t>ocpteqgjg8</t>
        </is>
      </c>
      <c r="G23" t="inlineStr">
        <is>
          <t>https://offcampus.dasa.ncsu.edu/housing/property/huge-modern-studio-suite-private-entrance-and-beth-near-ncsu/ocpteqgjg8</t>
        </is>
      </c>
    </row>
    <row r="24">
      <c r="A24" t="inlineStr">
        <is>
          <t>Lake Park Condos- Room Rental with Utilities</t>
        </is>
      </c>
      <c r="B24" s="2" t="n">
        <v>500</v>
      </c>
      <c r="C24" s="2" t="n">
        <v>600</v>
      </c>
      <c r="D24" s="2">
        <f>(B24+C24)/2</f>
        <v/>
      </c>
      <c r="E24" s="3" t="n">
        <v>2.516002625317165</v>
      </c>
      <c r="F24" t="inlineStr">
        <is>
          <t>ocpvgtpebg</t>
        </is>
      </c>
      <c r="G24" t="inlineStr">
        <is>
          <t>https://offcampus.dasa.ncsu.edu/housing/property/lake-park-condos-room-rental-with-utilities/ocpvgtpebg</t>
        </is>
      </c>
    </row>
    <row r="25">
      <c r="A25" t="inlineStr">
        <is>
          <t>maisonNC --- Fully Furnished minutes away from Wolfline and Shopping</t>
        </is>
      </c>
      <c r="B25" s="2" t="n">
        <v>750</v>
      </c>
      <c r="C25" s="2" t="n">
        <v>750</v>
      </c>
      <c r="D25" s="2">
        <f>(B25+C25)/2</f>
        <v/>
      </c>
      <c r="E25" s="3" t="n">
        <v>2.424554918753891</v>
      </c>
      <c r="F25" t="inlineStr">
        <is>
          <t>ocpesl9n3p</t>
        </is>
      </c>
      <c r="G25" t="inlineStr">
        <is>
          <t>https://offcampus.dasa.ncsu.edu/housing/property/maisonnc-fully-furnished-minutes-away-from-wolfline-and-shopping/ocpesl9n3p</t>
        </is>
      </c>
    </row>
    <row r="26">
      <c r="A26" t="inlineStr">
        <is>
          <t>maisonNC --- Fully Furnished minutes away from Wolfline and Shopping</t>
        </is>
      </c>
      <c r="B26" s="2" t="n">
        <v>750</v>
      </c>
      <c r="C26" s="2" t="n">
        <v>750</v>
      </c>
      <c r="D26" s="2">
        <f>(B26+C26)/2</f>
        <v/>
      </c>
      <c r="E26" s="3" t="n">
        <v>2.476750702403235</v>
      </c>
      <c r="F26" t="inlineStr">
        <is>
          <t>ocpcm3jede</t>
        </is>
      </c>
      <c r="G26" t="inlineStr">
        <is>
          <t>https://offcampus.dasa.ncsu.edu/housing/property/maisonnc-fully-furnished-minutes-away-from-wolfline-and-shopping/ocpcm3jede</t>
        </is>
      </c>
    </row>
    <row r="27">
      <c r="A27" t="inlineStr">
        <is>
          <t>Modern &amp; spacious 3BR/3BA Apartment w/View</t>
        </is>
      </c>
      <c r="B27" s="2" t="n">
        <v>1000</v>
      </c>
      <c r="C27" s="2" t="n">
        <v>1000</v>
      </c>
      <c r="D27" s="2">
        <f>(B27+C27)/2</f>
        <v/>
      </c>
      <c r="E27" s="3" t="n">
        <v>2.260243009187045</v>
      </c>
      <c r="F27" t="inlineStr">
        <is>
          <t>ocpnx5c0kn</t>
        </is>
      </c>
      <c r="G27" t="inlineStr">
        <is>
          <t>https://offcampus.dasa.ncsu.edu/housing/property/modern-and-spacious-3br-3ba-apartment-w-view/ocpnx5c0kn</t>
        </is>
      </c>
    </row>
    <row r="28">
      <c r="A28" t="inlineStr">
        <is>
          <t>Modern/High Ceilings 2bed/2 bath</t>
        </is>
      </c>
      <c r="B28" s="2" t="n">
        <v>1250</v>
      </c>
      <c r="C28" s="2" t="n">
        <v>1250</v>
      </c>
      <c r="D28" s="2">
        <f>(B28+C28)/2</f>
        <v/>
      </c>
      <c r="E28" s="3" t="n">
        <v>2.26426412281224</v>
      </c>
      <c r="F28" t="inlineStr">
        <is>
          <t>ocpet5b7hm</t>
        </is>
      </c>
      <c r="G28" t="inlineStr">
        <is>
          <t>https://offcampus.dasa.ncsu.edu/housing/property/modern-high-ceilings-2bed-2-bath/ocpet5b7hm</t>
        </is>
      </c>
    </row>
    <row r="29">
      <c r="A29" t="inlineStr">
        <is>
          <t>Paloma Raleigh</t>
        </is>
      </c>
      <c r="B29" s="2" t="n">
        <v>749</v>
      </c>
      <c r="C29" s="2" t="n">
        <v>1599</v>
      </c>
      <c r="D29" s="2">
        <f>(B29+C29)/2</f>
        <v/>
      </c>
      <c r="E29" s="3" t="n">
        <v>1.595795391308405</v>
      </c>
      <c r="F29" t="inlineStr">
        <is>
          <t>0smdl31</t>
        </is>
      </c>
      <c r="G29" t="inlineStr">
        <is>
          <t>https://offcampus.dasa.ncsu.edu/housing/property/paloma-raleigh/0smdl31</t>
        </is>
      </c>
    </row>
    <row r="30">
      <c r="A30" t="inlineStr">
        <is>
          <t>Reavis ---Brand New Luxury Housing within walking distance to NCSU</t>
        </is>
      </c>
      <c r="B30" s="2" t="n">
        <v>925</v>
      </c>
      <c r="C30" s="2" t="n">
        <v>975</v>
      </c>
      <c r="D30" s="2">
        <f>(B30+C30)/2</f>
        <v/>
      </c>
      <c r="E30" s="3" t="n">
        <v>1.029985127024234</v>
      </c>
      <c r="F30" t="inlineStr">
        <is>
          <t>ocpvlydr3e</t>
        </is>
      </c>
      <c r="G30" t="inlineStr">
        <is>
          <t>https://offcampus.dasa.ncsu.edu/housing/property/reavis-brand-new-luxury-housing-within-walking-distance-to-ncsu/ocpvlydr3e</t>
        </is>
      </c>
    </row>
    <row r="31">
      <c r="A31" t="inlineStr">
        <is>
          <t>Redfield Villages</t>
        </is>
      </c>
      <c r="B31" s="2" t="n">
        <v>799</v>
      </c>
      <c r="C31" s="2" t="n">
        <v>899</v>
      </c>
      <c r="D31" s="2">
        <f>(B31+C31)/2</f>
        <v/>
      </c>
      <c r="E31" s="3" t="n">
        <v>1.254154803633013</v>
      </c>
      <c r="F31" t="inlineStr">
        <is>
          <t>h2l8mh2</t>
        </is>
      </c>
      <c r="G31" t="inlineStr">
        <is>
          <t>https://offcampus.dasa.ncsu.edu/housing/property/redfield-villages/h2l8mh2</t>
        </is>
      </c>
    </row>
    <row r="32">
      <c r="A32" t="inlineStr">
        <is>
          <t>Redpoint Raleigh</t>
        </is>
      </c>
      <c r="B32" s="2" t="n">
        <v>899</v>
      </c>
      <c r="C32" s="2" t="n">
        <v>995</v>
      </c>
      <c r="D32" s="2">
        <f>(B32+C32)/2</f>
        <v/>
      </c>
      <c r="E32" s="3" t="n">
        <v>1.655983632109707</v>
      </c>
      <c r="F32" t="inlineStr">
        <is>
          <t>5x5ph7m</t>
        </is>
      </c>
      <c r="G32" t="inlineStr">
        <is>
          <t>https://offcampus.dasa.ncsu.edu/housing/property/redpoint-raleigh/5x5ph7m</t>
        </is>
      </c>
    </row>
    <row r="33">
      <c r="A33" t="inlineStr">
        <is>
          <t>Room in Condo on Collegiate Cir</t>
        </is>
      </c>
      <c r="B33" s="2" t="n">
        <v>675</v>
      </c>
      <c r="C33" s="2" t="n">
        <v>675</v>
      </c>
      <c r="D33" s="2">
        <f>(B33+C33)/2</f>
        <v/>
      </c>
      <c r="E33" s="3" t="n">
        <v>2.544898354511679</v>
      </c>
      <c r="F33" t="inlineStr">
        <is>
          <t>kf77vv8</t>
        </is>
      </c>
      <c r="G33" t="inlineStr">
        <is>
          <t>https://offcampus.dasa.ncsu.edu/housing/property/room-in-condo-on-collegiate-cir/kf77vv8</t>
        </is>
      </c>
    </row>
    <row r="34">
      <c r="A34" t="inlineStr">
        <is>
          <t>Room in Condo on Crab Orchard Dr</t>
        </is>
      </c>
      <c r="B34" s="2" t="n">
        <v>675</v>
      </c>
      <c r="C34" s="2" t="n">
        <v>675</v>
      </c>
      <c r="D34" s="2">
        <f>(B34+C34)/2</f>
        <v/>
      </c>
      <c r="E34" s="3" t="n">
        <v>2.484547232940121</v>
      </c>
      <c r="F34" t="inlineStr">
        <is>
          <t>pxc3rhs</t>
        </is>
      </c>
      <c r="G34" t="inlineStr">
        <is>
          <t>https://offcampus.dasa.ncsu.edu/housing/property/room-in-condo-on-crab-orchard-dr/pxc3rhs</t>
        </is>
      </c>
    </row>
    <row r="35">
      <c r="A35" t="inlineStr">
        <is>
          <t>Signature 1505</t>
        </is>
      </c>
      <c r="B35" s="2" t="n">
        <v>650</v>
      </c>
      <c r="C35" s="2" t="n">
        <v>1305</v>
      </c>
      <c r="D35" s="2">
        <f>(B35+C35)/2</f>
        <v/>
      </c>
      <c r="E35" s="3" t="n">
        <v>2.753678573077078</v>
      </c>
      <c r="F35" t="inlineStr">
        <is>
          <t>5je4q3n</t>
        </is>
      </c>
      <c r="G35" t="inlineStr">
        <is>
          <t>https://offcampus.dasa.ncsu.edu/housing/property/signature-1505/5je4q3n</t>
        </is>
      </c>
    </row>
    <row r="36">
      <c r="A36" t="inlineStr">
        <is>
          <t>Signature 1505 4X4 Apartment</t>
        </is>
      </c>
      <c r="B36" s="2" t="n">
        <v>1230</v>
      </c>
      <c r="C36" s="2" t="n">
        <v>1230</v>
      </c>
      <c r="D36" s="2">
        <f>(B36+C36)/2</f>
        <v/>
      </c>
      <c r="E36" s="3" t="n">
        <v>2.727589665990617</v>
      </c>
      <c r="F36" t="inlineStr">
        <is>
          <t>ocpszqbd35</t>
        </is>
      </c>
      <c r="G36" t="inlineStr">
        <is>
          <t>https://offcampus.dasa.ncsu.edu/housing/property/signature-1505-4x4-apartment/ocpszqbd35</t>
        </is>
      </c>
    </row>
    <row r="37">
      <c r="A37" t="inlineStr">
        <is>
          <t>Spacious bedroom with private bath in 2BR townhome – 5 minutes to NC State</t>
        </is>
      </c>
      <c r="B37" s="2" t="n">
        <v>800</v>
      </c>
      <c r="C37" s="2" t="n">
        <v>800</v>
      </c>
      <c r="D37" s="2">
        <f>(B37+C37)/2</f>
        <v/>
      </c>
      <c r="E37" s="3" t="n">
        <v>1.762102794973334</v>
      </c>
      <c r="F37" t="inlineStr">
        <is>
          <t>ocpszex2v4</t>
        </is>
      </c>
      <c r="G37" t="inlineStr">
        <is>
          <t>https://offcampus.dasa.ncsu.edu/housing/property/spacious-bedroom-with-private-bath-in-2br-townhome-5-minutes-to-nc-state/ocpszex2v4</t>
        </is>
      </c>
    </row>
    <row r="38">
      <c r="A38" t="inlineStr">
        <is>
          <t>Spacious Forest Park Two-Room Suite + Private Bath - Walk to Campus (Includes Utilities)</t>
        </is>
      </c>
      <c r="B38" s="2" t="n">
        <v>1225</v>
      </c>
      <c r="C38" s="2" t="n">
        <v>1225</v>
      </c>
      <c r="D38" s="2">
        <f>(B38+C38)/2</f>
        <v/>
      </c>
      <c r="E38" s="3" t="n">
        <v>2.887825180047024</v>
      </c>
      <c r="F38" t="inlineStr">
        <is>
          <t>ocpgxr290w</t>
        </is>
      </c>
      <c r="G38" t="inlineStr">
        <is>
          <t>https://offcampus.dasa.ncsu.edu/housing/property/spacious-forest-park-two-room-suite-private-bath-walk-to-campus-includes-utilities/ocpgxr290w</t>
        </is>
      </c>
    </row>
    <row r="39">
      <c r="A39" t="inlineStr">
        <is>
          <t>Stanhope Student Apartments</t>
        </is>
      </c>
      <c r="B39" s="2" t="n">
        <v>1300</v>
      </c>
      <c r="C39" s="2" t="n">
        <v>1300</v>
      </c>
      <c r="D39" s="2">
        <f>(B39+C39)/2</f>
        <v/>
      </c>
      <c r="E39" s="3" t="n">
        <v>1.614862709977065</v>
      </c>
      <c r="F39" t="inlineStr">
        <is>
          <t>ocpk5yz73b</t>
        </is>
      </c>
      <c r="G39" t="inlineStr">
        <is>
          <t>https://offcampus.dasa.ncsu.edu/housing/property/stanhope-student-apartments/ocpk5yz73b</t>
        </is>
      </c>
    </row>
    <row r="40">
      <c r="A40" t="inlineStr">
        <is>
          <t>University Oaks</t>
        </is>
      </c>
      <c r="B40" s="2" t="n">
        <v>725</v>
      </c>
      <c r="C40" s="2" t="n">
        <v>725</v>
      </c>
      <c r="D40" s="2">
        <f>(B40+C40)/2</f>
        <v/>
      </c>
      <c r="E40" s="3" t="n">
        <v>1.40547147046554</v>
      </c>
      <c r="F40" t="inlineStr">
        <is>
          <t>ocp4t7wmxk</t>
        </is>
      </c>
      <c r="G40" t="inlineStr">
        <is>
          <t>https://offcampus.dasa.ncsu.edu/housing/property/university-oaks/ocp4t7wmxk</t>
        </is>
      </c>
    </row>
    <row r="41">
      <c r="A41" t="inlineStr">
        <is>
          <t>University Oaks -</t>
        </is>
      </c>
      <c r="B41" s="2" t="n">
        <v>725</v>
      </c>
      <c r="C41" s="2" t="n">
        <v>725</v>
      </c>
      <c r="D41" s="2">
        <f>(B41+C41)/2</f>
        <v/>
      </c>
      <c r="E41" s="3" t="n">
        <v>1.394259875498912</v>
      </c>
      <c r="F41" t="inlineStr">
        <is>
          <t>ocp2evl6hb</t>
        </is>
      </c>
      <c r="G41" t="inlineStr">
        <is>
          <t>https://offcampus.dasa.ncsu.edu/housing/property/university-oaks/ocp2evl6hb</t>
        </is>
      </c>
    </row>
    <row r="42">
      <c r="A42" t="inlineStr">
        <is>
          <t>Valentine Commons</t>
        </is>
      </c>
      <c r="B42" s="2" t="n">
        <v>1000</v>
      </c>
      <c r="C42" s="2" t="n">
        <v>1300</v>
      </c>
      <c r="D42" s="2">
        <f>(B42+C42)/2</f>
        <v/>
      </c>
      <c r="E42" s="3" t="n">
        <v>1.658549841899539</v>
      </c>
      <c r="F42" t="inlineStr">
        <is>
          <t>ocp5cx5drn</t>
        </is>
      </c>
      <c r="G42" t="inlineStr">
        <is>
          <t>https://offcampus.dasa.ncsu.edu/housing/property/valentine-commons/ocp5cx5drn</t>
        </is>
      </c>
    </row>
    <row r="43"/>
    <row r="44">
      <c r="A44" s="4" t="inlineStr">
        <is>
          <t>Prices used (COUNT)</t>
        </is>
      </c>
      <c r="B44" s="4">
        <f>COUNT(B5:B42)</f>
        <v/>
      </c>
      <c r="C44" s="4">
        <f>COUNT(C5:C42)</f>
        <v/>
      </c>
      <c r="D44" s="4">
        <f>COUNT(D5:D42)</f>
        <v/>
      </c>
    </row>
    <row r="45">
      <c r="A45" s="4" t="inlineStr">
        <is>
          <t>Total advertised rent (SUM)</t>
        </is>
      </c>
      <c r="B45" s="2">
        <f>SUM(B5:B42)</f>
        <v/>
      </c>
      <c r="C45" s="2">
        <f>SUM(C5:C42)</f>
        <v/>
      </c>
      <c r="D45" s="2">
        <f>SUM(D5:D42)</f>
        <v/>
      </c>
    </row>
    <row r="46">
      <c r="A46" s="4" t="inlineStr">
        <is>
          <t>Average (sum / count)</t>
        </is>
      </c>
      <c r="B46" s="2">
        <f>B45/B44</f>
        <v/>
      </c>
      <c r="C46" s="2">
        <f>C45/C44</f>
        <v/>
      </c>
      <c r="D46" s="2">
        <f>D45/D44</f>
        <v/>
      </c>
    </row>
    <row r="47">
      <c r="A47" s="4" t="inlineStr">
        <is>
          <t>Median listing midpoint</t>
        </is>
      </c>
      <c r="D47" s="2">
        <f>MEDIAN(D5:D42)</f>
        <v/>
      </c>
    </row>
  </sheetData>
  <autoFilter ref="A4:G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54" customWidth="1" min="7" max="7"/>
  </cols>
  <sheetData>
    <row r="1">
      <c r="A1" s="6" t="inlineStr">
        <is>
          <t>Biomedical 3-5 mi</t>
        </is>
      </c>
    </row>
    <row r="2">
      <c r="A2" s="5" t="inlineStr">
        <is>
          <t>Sept. 9, 2026 advertised-price snapshot. One vote per listing; midpoint=(low+high)/2.</t>
        </is>
      </c>
    </row>
    <row r="4">
      <c r="A4" s="1" t="inlineStr">
        <is>
          <t>Listing name</t>
        </is>
      </c>
      <c r="B4" s="1" t="inlineStr">
        <is>
          <t>Low ($/month)</t>
        </is>
      </c>
      <c r="C4" s="1" t="inlineStr">
        <is>
          <t>High ($/month)</t>
        </is>
      </c>
      <c r="D4" s="1" t="inlineStr">
        <is>
          <t>Midpoint ($/month)</t>
        </is>
      </c>
      <c r="E4" s="1" t="inlineStr">
        <is>
          <t>Distance (mi)</t>
        </is>
      </c>
      <c r="F4" s="1" t="inlineStr">
        <is>
          <t>Listing ID</t>
        </is>
      </c>
      <c r="G4" s="1" t="inlineStr">
        <is>
          <t>Source URL</t>
        </is>
      </c>
    </row>
    <row r="5">
      <c r="A5" t="inlineStr">
        <is>
          <t>1st Month FREE!</t>
        </is>
      </c>
      <c r="B5" s="2" t="n">
        <v>625</v>
      </c>
      <c r="C5" s="2" t="n">
        <v>625</v>
      </c>
      <c r="D5" s="2">
        <f>(B5+C5)/2</f>
        <v/>
      </c>
      <c r="E5" s="3" t="n">
        <v>3.462349811168599</v>
      </c>
      <c r="F5" t="inlineStr">
        <is>
          <t>ocpq292qyw</t>
        </is>
      </c>
      <c r="G5" t="inlineStr">
        <is>
          <t>https://offcampus.dasa.ncsu.edu/housing/property/1st-month-free/ocpq292qyw</t>
        </is>
      </c>
    </row>
    <row r="6">
      <c r="A6" t="inlineStr">
        <is>
          <t>5 bedroom townhome available near NC State</t>
        </is>
      </c>
      <c r="B6" s="2" t="n">
        <v>650</v>
      </c>
      <c r="C6" s="2" t="n">
        <v>650</v>
      </c>
      <c r="D6" s="2">
        <f>(B6+C6)/2</f>
        <v/>
      </c>
      <c r="E6" s="3" t="n">
        <v>3.837733337830058</v>
      </c>
      <c r="F6" t="inlineStr">
        <is>
          <t>ocppbmmgnt</t>
        </is>
      </c>
      <c r="G6" t="inlineStr">
        <is>
          <t>https://offcampus.dasa.ncsu.edu/housing/property/5-bedroom-townhome-available-near-nc-state/ocppbmmgnt</t>
        </is>
      </c>
    </row>
    <row r="7">
      <c r="A7" t="inlineStr">
        <is>
          <t>All Girls Unit - Room with Private Bathroom at  University Woods at Centennial Condominiums</t>
        </is>
      </c>
      <c r="B7" s="2" t="n">
        <v>645</v>
      </c>
      <c r="C7" s="2" t="n">
        <v>645</v>
      </c>
      <c r="D7" s="2">
        <f>(B7+C7)/2</f>
        <v/>
      </c>
      <c r="E7" s="3" t="n">
        <v>3.435850381722893</v>
      </c>
      <c r="F7" t="inlineStr">
        <is>
          <t>ocpjeweyz6</t>
        </is>
      </c>
      <c r="G7" t="inlineStr">
        <is>
          <t>https://offcampus.dasa.ncsu.edu/housing/property/all-girls-unit-room-with-private-bathroom-at-university-woods-at-centennial-condominiums/ocpjeweyz6</t>
        </is>
      </c>
    </row>
    <row r="8">
      <c r="A8" t="inlineStr">
        <is>
          <t>An apartments with 3 bed and 3 bath for NC State Students www.ncstudentsliving.com</t>
        </is>
      </c>
      <c r="B8" s="2" t="n">
        <v>650</v>
      </c>
      <c r="C8" s="2" t="n">
        <v>650</v>
      </c>
      <c r="D8" s="2">
        <f>(B8+C8)/2</f>
        <v/>
      </c>
      <c r="E8" s="3" t="n">
        <v>3.449430457882558</v>
      </c>
      <c r="F8" t="inlineStr">
        <is>
          <t>ocp0psn632</t>
        </is>
      </c>
      <c r="G8" t="inlineStr">
        <is>
          <t>https://offcampus.dasa.ncsu.edu/housing/property/an-apartments-with-3-bed-and-3-bath-for-nc-state-students-www-ncstudentsliving-com/ocp0psn632</t>
        </is>
      </c>
    </row>
    <row r="9">
      <c r="A9" t="inlineStr">
        <is>
          <t>Brick Bungalow close to Campus</t>
        </is>
      </c>
      <c r="B9" s="2" t="n">
        <v>1050</v>
      </c>
      <c r="C9" s="2" t="n">
        <v>1050</v>
      </c>
      <c r="D9" s="2">
        <f>(B9+C9)/2</f>
        <v/>
      </c>
      <c r="E9" s="3" t="n">
        <v>4.318331684505075</v>
      </c>
      <c r="F9" t="inlineStr">
        <is>
          <t>ocp90bdzb4</t>
        </is>
      </c>
      <c r="G9" t="inlineStr">
        <is>
          <t>https://offcampus.dasa.ncsu.edu/housing/property/brick-bungalow-close-to-campus/ocp90bdzb4</t>
        </is>
      </c>
    </row>
    <row r="10">
      <c r="A10" t="inlineStr">
        <is>
          <t>Campus Crossings Raleigh</t>
        </is>
      </c>
      <c r="B10" s="2" t="n">
        <v>685</v>
      </c>
      <c r="C10" s="2" t="n">
        <v>870</v>
      </c>
      <c r="D10" s="2">
        <f>(B10+C10)/2</f>
        <v/>
      </c>
      <c r="E10" s="3" t="n">
        <v>3.822047084535988</v>
      </c>
      <c r="F10" t="inlineStr">
        <is>
          <t>z8cfdjw</t>
        </is>
      </c>
      <c r="G10" t="inlineStr">
        <is>
          <t>https://offcampus.dasa.ncsu.edu/housing/property/campus-crossings-raleigh/z8cfdjw</t>
        </is>
      </c>
    </row>
    <row r="11">
      <c r="A11" t="inlineStr">
        <is>
          <t>Campus Crossings Raleigh</t>
        </is>
      </c>
      <c r="B11" s="2" t="n">
        <v>865</v>
      </c>
      <c r="C11" s="2" t="n">
        <v>865</v>
      </c>
      <c r="D11" s="2">
        <f>(B11+C11)/2</f>
        <v/>
      </c>
      <c r="E11" s="3" t="n">
        <v>3.762303844318508</v>
      </c>
      <c r="F11" t="inlineStr">
        <is>
          <t>ocp176ghy4</t>
        </is>
      </c>
      <c r="G11" t="inlineStr">
        <is>
          <t>https://offcampus.dasa.ncsu.edu/housing/property/campus-crossings-raleigh/ocp176ghy4</t>
        </is>
      </c>
    </row>
    <row r="12">
      <c r="A12" t="inlineStr">
        <is>
          <t>Campus West at Tryon</t>
        </is>
      </c>
      <c r="B12" s="2" t="n">
        <v>699</v>
      </c>
      <c r="C12" s="2" t="n">
        <v>699</v>
      </c>
      <c r="D12" s="2">
        <f>(B12+C12)/2</f>
        <v/>
      </c>
      <c r="E12" s="3" t="n">
        <v>3.465363316235042</v>
      </c>
      <c r="F12" t="inlineStr">
        <is>
          <t>0pm7tt3</t>
        </is>
      </c>
      <c r="G12" t="inlineStr">
        <is>
          <t>https://offcampus.dasa.ncsu.edu/housing/property/campus-west-at-tryon/0pm7tt3</t>
        </is>
      </c>
    </row>
    <row r="13">
      <c r="A13" t="inlineStr">
        <is>
          <t>Centennial Ridge Student Housing</t>
        </is>
      </c>
      <c r="B13" s="2" t="n">
        <v>599</v>
      </c>
      <c r="C13" s="2" t="n">
        <v>2157</v>
      </c>
      <c r="D13" s="2">
        <f>(B13+C13)/2</f>
        <v/>
      </c>
      <c r="E13" s="3" t="n">
        <v>3.70552171192015</v>
      </c>
      <c r="F13" t="inlineStr">
        <is>
          <t>7e6kx1w</t>
        </is>
      </c>
      <c r="G13" t="inlineStr">
        <is>
          <t>https://offcampus.dasa.ncsu.edu/housing/property/centennial-ridge-student-housing/7e6kx1w</t>
        </is>
      </c>
    </row>
    <row r="14">
      <c r="A14" t="inlineStr">
        <is>
          <t>Great value in beautiful SW Raleigh</t>
        </is>
      </c>
      <c r="B14" s="2" t="n">
        <v>850</v>
      </c>
      <c r="C14" s="2" t="n">
        <v>850</v>
      </c>
      <c r="D14" s="2">
        <f>(B14+C14)/2</f>
        <v/>
      </c>
      <c r="E14" s="3" t="n">
        <v>3.817169822499196</v>
      </c>
      <c r="F14" t="inlineStr">
        <is>
          <t>ocp0gblz91</t>
        </is>
      </c>
      <c r="G14" t="inlineStr">
        <is>
          <t>https://offcampus.dasa.ncsu.edu/housing/property/great-value-in-beautiful-sw-raleigh/ocp0gblz91</t>
        </is>
      </c>
    </row>
    <row r="15">
      <c r="A15" t="inlineStr">
        <is>
          <t>Hurry 2 Rooms Left! – 4BR/4BA Condo Near NC State  – All Utilities &amp; Internet Included!</t>
        </is>
      </c>
      <c r="B15" s="2" t="n">
        <v>695</v>
      </c>
      <c r="C15" s="2" t="n">
        <v>695</v>
      </c>
      <c r="D15" s="2">
        <f>(B15+C15)/2</f>
        <v/>
      </c>
      <c r="E15" s="3" t="n">
        <v>3.43886765110602</v>
      </c>
      <c r="F15" t="inlineStr">
        <is>
          <t>ocpchygggd</t>
        </is>
      </c>
      <c r="G15" t="inlineStr">
        <is>
          <t>https://offcampus.dasa.ncsu.edu/housing/property/hurry-2-rooms-left-4br-4ba-condo-near-nc-state-all-utilities-and-internet-included/ocpchygggd</t>
        </is>
      </c>
    </row>
    <row r="16">
      <c r="A16" t="inlineStr">
        <is>
          <t>Newly Renovated - All Girls Unit Room with Private Bathroom</t>
        </is>
      </c>
      <c r="B16" s="2" t="n">
        <v>645</v>
      </c>
      <c r="C16" s="2" t="n">
        <v>645</v>
      </c>
      <c r="D16" s="2">
        <f>(B16+C16)/2</f>
        <v/>
      </c>
      <c r="E16" s="3" t="n">
        <v>3.399382192288023</v>
      </c>
      <c r="F16" t="inlineStr">
        <is>
          <t>ocp6mp93ms</t>
        </is>
      </c>
      <c r="G16" t="inlineStr">
        <is>
          <t>https://offcampus.dasa.ncsu.edu/housing/property/newly-renovated-all-girls-unit-room-with-private-bathroom/ocp6mp93ms</t>
        </is>
      </c>
    </row>
    <row r="17">
      <c r="A17" t="inlineStr">
        <is>
          <t>Quiet Furnished Room in Cary – Private Bath, Storage, Driveway Access, Near Bus 3</t>
        </is>
      </c>
      <c r="B17" s="2" t="n">
        <v>950</v>
      </c>
      <c r="C17" s="2" t="n">
        <v>950</v>
      </c>
      <c r="D17" s="2">
        <f>(B17+C17)/2</f>
        <v/>
      </c>
      <c r="E17" s="3" t="n">
        <v>4.559165266396114</v>
      </c>
      <c r="F17" t="inlineStr">
        <is>
          <t>ocp0gch9g2</t>
        </is>
      </c>
      <c r="G17" t="inlineStr">
        <is>
          <t>https://offcampus.dasa.ncsu.edu/housing/property/quiet-furnished-room-in-cary-private-bath-storage-driveway-access-near-bus-3/ocp0gch9g2</t>
        </is>
      </c>
    </row>
    <row r="18">
      <c r="A18" t="inlineStr">
        <is>
          <t>Room in Condo on Wolfmill Dr</t>
        </is>
      </c>
      <c r="B18" s="2" t="n">
        <v>720</v>
      </c>
      <c r="C18" s="2" t="n">
        <v>720</v>
      </c>
      <c r="D18" s="2">
        <f>(B18+C18)/2</f>
        <v/>
      </c>
      <c r="E18" s="3" t="n">
        <v>3.416338167344828</v>
      </c>
      <c r="F18" t="inlineStr">
        <is>
          <t>zfenc9w</t>
        </is>
      </c>
      <c r="G18" t="inlineStr">
        <is>
          <t>https://offcampus.dasa.ncsu.edu/housing/property/room-in-condo-on-wolfmill-dr/zfenc9w</t>
        </is>
      </c>
    </row>
    <row r="19">
      <c r="A19" t="inlineStr">
        <is>
          <t>Room in House on Joyner Pl</t>
        </is>
      </c>
      <c r="B19" s="2" t="n">
        <v>700</v>
      </c>
      <c r="C19" s="2" t="n">
        <v>700</v>
      </c>
      <c r="D19" s="2">
        <f>(B19+C19)/2</f>
        <v/>
      </c>
      <c r="E19" s="3" t="n">
        <v>3.437811400500744</v>
      </c>
      <c r="F19" t="inlineStr">
        <is>
          <t>jkg82q6</t>
        </is>
      </c>
      <c r="G19" t="inlineStr">
        <is>
          <t>https://offcampus.dasa.ncsu.edu/housing/property/room-in-house-on-joyner-pl/jkg82q6</t>
        </is>
      </c>
    </row>
    <row r="20">
      <c r="A20" t="inlineStr">
        <is>
          <t>Room in Townhome on Ivory Run Way</t>
        </is>
      </c>
      <c r="B20" s="2" t="n">
        <v>690</v>
      </c>
      <c r="C20" s="2" t="n">
        <v>690</v>
      </c>
      <c r="D20" s="2">
        <f>(B20+C20)/2</f>
        <v/>
      </c>
      <c r="E20" s="3" t="n">
        <v>3.874497194868233</v>
      </c>
      <c r="F20" t="inlineStr">
        <is>
          <t>hz5leg1</t>
        </is>
      </c>
      <c r="G20" t="inlineStr">
        <is>
          <t>https://offcampus.dasa.ncsu.edu/housing/property/room-in-townhome-on-ivory-run-way/hz5leg1</t>
        </is>
      </c>
    </row>
    <row r="21">
      <c r="A21" t="inlineStr">
        <is>
          <t>Room in Townhome on Macedonia Lake Dr</t>
        </is>
      </c>
      <c r="B21" s="2" t="n">
        <v>800</v>
      </c>
      <c r="C21" s="2" t="n">
        <v>800</v>
      </c>
      <c r="D21" s="2">
        <f>(B21+C21)/2</f>
        <v/>
      </c>
      <c r="E21" s="3" t="n">
        <v>4.081267407142264</v>
      </c>
      <c r="F21" t="inlineStr">
        <is>
          <t>9m73sq5</t>
        </is>
      </c>
      <c r="G21" t="inlineStr">
        <is>
          <t>https://offcampus.dasa.ncsu.edu/housing/property/room-in-townhome-on-macedonia-lake-dr/9m73sq5</t>
        </is>
      </c>
    </row>
    <row r="22">
      <c r="A22" t="inlineStr">
        <is>
          <t>Spacious En-suite with private patio and garage parking in Crescent Ridge Townhome Community</t>
        </is>
      </c>
      <c r="B22" s="2" t="n">
        <v>900</v>
      </c>
      <c r="C22" s="2" t="n">
        <v>900</v>
      </c>
      <c r="D22" s="2">
        <f>(B22+C22)/2</f>
        <v/>
      </c>
      <c r="E22" s="3" t="n">
        <v>3.40290077430641</v>
      </c>
      <c r="F22" t="inlineStr">
        <is>
          <t>ocpsd8dpj6</t>
        </is>
      </c>
      <c r="G22" t="inlineStr">
        <is>
          <t>https://offcampus.dasa.ncsu.edu/housing/property/spacious-en-suite-with-private-patio-and-garage-parking-in-crescent-ridge-townhome-community/ocpsd8dpj6</t>
        </is>
      </c>
    </row>
    <row r="23">
      <c r="A23" t="inlineStr">
        <is>
          <t>The Wilde</t>
        </is>
      </c>
      <c r="B23" s="2" t="n">
        <v>599</v>
      </c>
      <c r="C23" s="2" t="n">
        <v>920</v>
      </c>
      <c r="D23" s="2">
        <f>(B23+C23)/2</f>
        <v/>
      </c>
      <c r="E23" s="3" t="n">
        <v>3.34242386821401</v>
      </c>
      <c r="F23" t="inlineStr">
        <is>
          <t>syvz9l4</t>
        </is>
      </c>
      <c r="G23" t="inlineStr">
        <is>
          <t>https://offcampus.dasa.ncsu.edu/housing/property/the-wilde/syvz9l4</t>
        </is>
      </c>
    </row>
    <row r="24">
      <c r="A24" t="inlineStr">
        <is>
          <t>The Wilde</t>
        </is>
      </c>
      <c r="B24" s="2" t="n">
        <v>860</v>
      </c>
      <c r="C24" s="2" t="n">
        <v>860</v>
      </c>
      <c r="D24" s="2">
        <f>(B24+C24)/2</f>
        <v/>
      </c>
      <c r="E24" s="3" t="n">
        <v>3.31235280006617</v>
      </c>
      <c r="F24" t="inlineStr">
        <is>
          <t>ocp67ldb5s</t>
        </is>
      </c>
      <c r="G24" t="inlineStr">
        <is>
          <t>https://offcampus.dasa.ncsu.edu/housing/property/the-wilde/ocp67ldb5s</t>
        </is>
      </c>
    </row>
    <row r="25">
      <c r="A25" t="inlineStr">
        <is>
          <t>Tryon Flats Apartments</t>
        </is>
      </c>
      <c r="B25" s="2" t="n">
        <v>750</v>
      </c>
      <c r="C25" s="2" t="n">
        <v>750</v>
      </c>
      <c r="D25" s="2">
        <f>(B25+C25)/2</f>
        <v/>
      </c>
      <c r="E25" s="3" t="n">
        <v>3.915937101691906</v>
      </c>
      <c r="F25" t="inlineStr">
        <is>
          <t>xcp87fm</t>
        </is>
      </c>
      <c r="G25" t="inlineStr">
        <is>
          <t>https://offcampus.dasa.ncsu.edu/housing/property/tryon-flats-apartments/xcp87fm</t>
        </is>
      </c>
    </row>
    <row r="26">
      <c r="A26" t="inlineStr">
        <is>
          <t>University Suites Student Housing</t>
        </is>
      </c>
      <c r="B26" s="2" t="n">
        <v>699</v>
      </c>
      <c r="C26" s="2" t="n">
        <v>799</v>
      </c>
      <c r="D26" s="2">
        <f>(B26+C26)/2</f>
        <v/>
      </c>
      <c r="E26" s="3" t="n">
        <v>3.553914233172014</v>
      </c>
      <c r="F26" t="inlineStr">
        <is>
          <t>e13mz5m</t>
        </is>
      </c>
      <c r="G26" t="inlineStr">
        <is>
          <t>https://offcampus.dasa.ncsu.edu/housing/property/university-suites-student-housing/e13mz5m</t>
        </is>
      </c>
    </row>
    <row r="27">
      <c r="A27" t="inlineStr">
        <is>
          <t>University Village at 2505</t>
        </is>
      </c>
      <c r="B27" s="2" t="n">
        <v>799</v>
      </c>
      <c r="C27" s="2" t="n">
        <v>799</v>
      </c>
      <c r="D27" s="2">
        <f>(B27+C27)/2</f>
        <v/>
      </c>
      <c r="E27" s="3" t="n">
        <v>3.84006650761547</v>
      </c>
      <c r="F27" t="inlineStr">
        <is>
          <t>33f756e</t>
        </is>
      </c>
      <c r="G27" t="inlineStr">
        <is>
          <t>https://offcampus.dasa.ncsu.edu/housing/property/university-village-at-2505/33f756e</t>
        </is>
      </c>
    </row>
    <row r="28">
      <c r="A28" t="inlineStr">
        <is>
          <t>University Woods</t>
        </is>
      </c>
      <c r="B28" s="2" t="n">
        <v>600</v>
      </c>
      <c r="C28" s="2" t="n">
        <v>600</v>
      </c>
      <c r="D28" s="2">
        <f>(B28+C28)/2</f>
        <v/>
      </c>
      <c r="E28" s="3" t="n">
        <v>3.32810246527714</v>
      </c>
      <c r="F28" t="inlineStr">
        <is>
          <t>ocps6ymwl7</t>
        </is>
      </c>
      <c r="G28" t="inlineStr">
        <is>
          <t>https://offcampus.dasa.ncsu.edu/housing/property/university-woods/ocps6ymwl7</t>
        </is>
      </c>
    </row>
    <row r="29">
      <c r="A29" t="inlineStr">
        <is>
          <t>Village Green</t>
        </is>
      </c>
      <c r="B29" s="2" t="n">
        <v>930</v>
      </c>
      <c r="C29" s="2" t="n">
        <v>930</v>
      </c>
      <c r="D29" s="2">
        <f>(B29+C29)/2</f>
        <v/>
      </c>
      <c r="E29" s="3" t="n">
        <v>3.730289013560026</v>
      </c>
      <c r="F29" t="inlineStr">
        <is>
          <t>ocp1ddchy6</t>
        </is>
      </c>
      <c r="G29" t="inlineStr">
        <is>
          <t>https://offcampus.dasa.ncsu.edu/housing/property/village-green/ocp1ddchy6</t>
        </is>
      </c>
    </row>
    <row r="30">
      <c r="A30" t="inlineStr">
        <is>
          <t>Village Green Student Housing</t>
        </is>
      </c>
      <c r="B30" s="2" t="n">
        <v>649</v>
      </c>
      <c r="C30" s="2" t="n">
        <v>839</v>
      </c>
      <c r="D30" s="2">
        <f>(B30+C30)/2</f>
        <v/>
      </c>
      <c r="E30" s="3" t="n">
        <v>3.693631240134469</v>
      </c>
      <c r="F30" t="inlineStr">
        <is>
          <t>jjs8f07</t>
        </is>
      </c>
      <c r="G30" t="inlineStr">
        <is>
          <t>https://offcampus.dasa.ncsu.edu/housing/property/village-green-student-housing/jjs8f07</t>
        </is>
      </c>
    </row>
    <row r="31">
      <c r="A31" t="inlineStr">
        <is>
          <t>Village Green Student Living</t>
        </is>
      </c>
      <c r="B31" s="2" t="n">
        <v>831</v>
      </c>
      <c r="C31" s="2" t="n">
        <v>831</v>
      </c>
      <c r="D31" s="2">
        <f>(B31+C31)/2</f>
        <v/>
      </c>
      <c r="E31" s="3" t="n">
        <v>3.567258278007665</v>
      </c>
      <c r="F31" t="inlineStr">
        <is>
          <t>ocpepvxvln</t>
        </is>
      </c>
      <c r="G31" t="inlineStr">
        <is>
          <t>https://offcampus.dasa.ncsu.edu/housing/property/village-green-student-living/ocpepvxvln</t>
        </is>
      </c>
    </row>
    <row r="32">
      <c r="A32" t="inlineStr">
        <is>
          <t>Voyager House</t>
        </is>
      </c>
      <c r="B32" s="2" t="n">
        <v>800</v>
      </c>
      <c r="C32" s="2" t="n">
        <v>800</v>
      </c>
      <c r="D32" s="2">
        <f>(B32+C32)/2</f>
        <v/>
      </c>
      <c r="E32" s="3" t="n">
        <v>3.531182033206033</v>
      </c>
      <c r="F32" t="inlineStr">
        <is>
          <t>ocpbhbkvy9</t>
        </is>
      </c>
      <c r="G32" t="inlineStr">
        <is>
          <t>https://offcampus.dasa.ncsu.edu/housing/property/voyager-house/ocpbhbkvy9</t>
        </is>
      </c>
    </row>
    <row r="33"/>
    <row r="34">
      <c r="A34" s="4" t="inlineStr">
        <is>
          <t>Prices used (COUNT)</t>
        </is>
      </c>
      <c r="B34" s="4">
        <f>COUNT(B5:B32)</f>
        <v/>
      </c>
      <c r="C34" s="4">
        <f>COUNT(C5:C32)</f>
        <v/>
      </c>
      <c r="D34" s="4">
        <f>COUNT(D5:D32)</f>
        <v/>
      </c>
    </row>
    <row r="35">
      <c r="A35" s="4" t="inlineStr">
        <is>
          <t>Total advertised rent (SUM)</t>
        </is>
      </c>
      <c r="B35" s="2">
        <f>SUM(B5:B32)</f>
        <v/>
      </c>
      <c r="C35" s="2">
        <f>SUM(C5:C32)</f>
        <v/>
      </c>
      <c r="D35" s="2">
        <f>SUM(D5:D32)</f>
        <v/>
      </c>
    </row>
    <row r="36">
      <c r="A36" s="4" t="inlineStr">
        <is>
          <t>Average (sum / count)</t>
        </is>
      </c>
      <c r="B36" s="2">
        <f>B35/B34</f>
        <v/>
      </c>
      <c r="C36" s="2">
        <f>C35/C34</f>
        <v/>
      </c>
      <c r="D36" s="2">
        <f>D35/D34</f>
        <v/>
      </c>
    </row>
    <row r="37">
      <c r="A37" s="4" t="inlineStr">
        <is>
          <t>Median listing midpoint</t>
        </is>
      </c>
      <c r="D37" s="2">
        <f>MEDIAN(D5:D32)</f>
        <v/>
      </c>
    </row>
  </sheetData>
  <autoFilter ref="A4:G3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min="1" max="1"/>
    <col width="18" customWidth="1" min="2" max="2"/>
    <col width="58" customWidth="1" min="3" max="3"/>
    <col width="16" customWidth="1" min="4" max="4"/>
    <col width="54" customWidth="1" min="5" max="5"/>
    <col width="72" customWidth="1" min="6" max="6"/>
  </cols>
  <sheetData>
    <row r="1">
      <c r="A1" s="1" t="inlineStr">
        <is>
          <t>Listing name</t>
        </is>
      </c>
      <c r="B1" s="1" t="inlineStr">
        <is>
          <t>Reviewed basis</t>
        </is>
      </c>
      <c r="C1" s="1" t="inlineStr">
        <is>
          <t>Reason excluded from room article</t>
        </is>
      </c>
      <c r="D1" s="1" t="inlineStr">
        <is>
          <t>Listing ID</t>
        </is>
      </c>
      <c r="E1" s="1" t="inlineStr">
        <is>
          <t>Source URL</t>
        </is>
      </c>
      <c r="F1" s="1" t="inlineStr">
        <is>
          <t>Review evidence</t>
        </is>
      </c>
    </row>
    <row r="2">
      <c r="A2" t="inlineStr">
        <is>
          <t>$300 off 1st month's rent! Spacious 3BD/2.5BA Townhome Rental available near NCSU for fall semester!</t>
        </is>
      </c>
      <c r="B2" t="inlineStr">
        <is>
          <t>Whole unit</t>
        </is>
      </c>
      <c r="C2" s="5" t="inlineStr">
        <is>
          <t>Whole-unit offer, outside room-only scope.</t>
        </is>
      </c>
      <c r="D2" t="inlineStr">
        <is>
          <t>ocp5z7c91m</t>
        </is>
      </c>
      <c r="E2" t="inlineStr">
        <is>
          <t>https://offcampus.dasa.ncsu.edu/housing/property/300-off-1st-months-rent-spacious-3bd-2-5ba-townhome-rental-available-near-ncsu-for-fall-semester/ocp5z7c91m</t>
        </is>
      </c>
      <c r="F2" s="5" t="inlineStr">
        <is>
          <t>Source pricing flag retained; automated consistency checks passed. This is not independent landlord verification.</t>
        </is>
      </c>
    </row>
    <row r="3">
      <c r="A3" t="inlineStr">
        <is>
          <t>** WAITLIST for 2026-2027 ** 4 Bedroom, 4.5 Bathroom Unit Near NCSU Campus and Cup A Joe</t>
        </is>
      </c>
      <c r="B3" t="inlineStr">
        <is>
          <t>Whole unit</t>
        </is>
      </c>
      <c r="C3" s="5" t="inlineStr">
        <is>
          <t>Whole-unit offer, outside room-only scope.</t>
        </is>
      </c>
      <c r="D3" t="inlineStr">
        <is>
          <t>ocp913l1z6</t>
        </is>
      </c>
      <c r="E3" t="inlineStr">
        <is>
          <t>https://offcampus.dasa.ncsu.edu/housing/property/waitlist-for-2026-2027-4-bedroom-4-5-bathroom-unit-near-ncsu-campus-and-cup-a-joe/ocp913l1z6</t>
        </is>
      </c>
      <c r="F3" s="5" t="inlineStr">
        <is>
          <t>Source pricing flag retained; automated consistency checks passed. This is not independent landlord verification.</t>
        </is>
      </c>
    </row>
    <row r="4">
      <c r="A4" t="inlineStr">
        <is>
          <t>1101 Gunnison Pl (Raleigh, NC)</t>
        </is>
      </c>
      <c r="B4" t="inlineStr">
        <is>
          <t>Whole unit</t>
        </is>
      </c>
      <c r="C4" s="5" t="inlineStr">
        <is>
          <t>Whole-unit offer, outside room-only scope.</t>
        </is>
      </c>
      <c r="D4" t="inlineStr">
        <is>
          <t>51px18q</t>
        </is>
      </c>
      <c r="E4" t="inlineStr">
        <is>
          <t>https://offcampus.dasa.ncsu.edu/housing/property/1101-gunnison-pl-raleigh-nc/51px18q</t>
        </is>
      </c>
      <c r="F4" s="5" t="inlineStr">
        <is>
          <t>Source pricing flag retained; automated consistency checks passed. This is not independent landlord verification.</t>
        </is>
      </c>
    </row>
    <row r="5">
      <c r="A5" t="inlineStr">
        <is>
          <t>1233 S Blount St (Raleigh, NC)</t>
        </is>
      </c>
      <c r="B5" t="inlineStr">
        <is>
          <t>Whole unit</t>
        </is>
      </c>
      <c r="C5" s="5" t="inlineStr">
        <is>
          <t>Search/detail price mismatch. Whole-unit offer, outside room-only scope.</t>
        </is>
      </c>
      <c r="D5" t="inlineStr">
        <is>
          <t>teq7kh8</t>
        </is>
      </c>
      <c r="E5" t="inlineStr">
        <is>
          <t>https://offcampus.dasa.ncsu.edu/housing/property/1233-s-blount-st-raleigh-nc/teq7kh8</t>
        </is>
      </c>
      <c r="F5" s="5" t="inlineStr">
        <is>
          <t>Source pricing flag retained; automated consistency checks passed. This is not independent landlord verification. Search summary: $3800–$3800; saved floor-plan envelope: $3000–$3000. Difference may reflect fees, timing or scope; unresolved snapshot price excluded.</t>
        </is>
      </c>
    </row>
    <row r="6">
      <c r="A6" t="inlineStr">
        <is>
          <t>1431 Collegiate Cir (Raleigh, NC)</t>
        </is>
      </c>
      <c r="B6" t="inlineStr">
        <is>
          <t>Whole unit</t>
        </is>
      </c>
      <c r="C6" s="5" t="inlineStr">
        <is>
          <t>Search/detail price mismatch. Whole-unit offer, outside room-only scope.</t>
        </is>
      </c>
      <c r="D6" t="inlineStr">
        <is>
          <t>qcvpeqz</t>
        </is>
      </c>
      <c r="E6" t="inlineStr">
        <is>
          <t>https://offcampus.dasa.ncsu.edu/housing/property/1431-collegiate-cir-raleigh-nc/qcvpeqz</t>
        </is>
      </c>
      <c r="F6" s="5" t="inlineStr">
        <is>
          <t>Source pricing flag retained; automated consistency checks passed. This is not independent landlord verification. Search summary: $750–$750; saved floor-plan envelope: $725–$725. Difference may reflect fees, timing or scope; unresolved snapshot price excluded.</t>
        </is>
      </c>
    </row>
    <row r="7">
      <c r="A7" t="inlineStr">
        <is>
          <t>2 blocks from central campus, 2 blocks from Village District!</t>
        </is>
      </c>
      <c r="B7" t="inlineStr">
        <is>
          <t>Whole unit</t>
        </is>
      </c>
      <c r="C7" s="5" t="inlineStr">
        <is>
          <t>Whole-unit offer, outside room-only scope.</t>
        </is>
      </c>
      <c r="D7" t="inlineStr">
        <is>
          <t>ocp1tnqde5</t>
        </is>
      </c>
      <c r="E7" t="inlineStr">
        <is>
          <t>https://offcampus.dasa.ncsu.edu/housing/property/2-blocks-from-central-campus-2-blocks-from-village-district/ocp1tnqde5</t>
        </is>
      </c>
      <c r="F7" s="5" t="inlineStr">
        <is>
          <t>Source pricing flag retained; automated consistency checks passed. This is not independent landlord verification.</t>
        </is>
      </c>
    </row>
    <row r="8">
      <c r="A8" t="inlineStr">
        <is>
          <t>2626 Wolf Cub Ct (Raleigh, NC)</t>
        </is>
      </c>
      <c r="B8" t="inlineStr">
        <is>
          <t>Whole unit</t>
        </is>
      </c>
      <c r="C8" s="5" t="inlineStr">
        <is>
          <t>Whole-unit offer, outside room-only scope.</t>
        </is>
      </c>
      <c r="D8" t="inlineStr">
        <is>
          <t>dnbdmqk</t>
        </is>
      </c>
      <c r="E8" t="inlineStr">
        <is>
          <t>https://offcampus.dasa.ncsu.edu/housing/property/2626-wolf-cub-ct-raleigh-nc/dnbdmqk</t>
        </is>
      </c>
      <c r="F8" s="5" t="inlineStr">
        <is>
          <t>Source pricing flag retained; automated consistency checks passed. This is not independent landlord verification.</t>
        </is>
      </c>
    </row>
    <row r="9">
      <c r="A9" t="inlineStr">
        <is>
          <t>2810 Crestscene Trail (Raleigh, NC)</t>
        </is>
      </c>
      <c r="B9" t="inlineStr">
        <is>
          <t>Whole unit</t>
        </is>
      </c>
      <c r="C9" s="5" t="inlineStr">
        <is>
          <t>Whole-unit offer, outside room-only scope.</t>
        </is>
      </c>
      <c r="D9" t="inlineStr">
        <is>
          <t>6lbm6br</t>
        </is>
      </c>
      <c r="E9" t="inlineStr">
        <is>
          <t>https://offcampus.dasa.ncsu.edu/housing/property/2810-crestscene-trail-raleigh-nc/6lbm6br</t>
        </is>
      </c>
      <c r="F9" s="5" t="inlineStr">
        <is>
          <t>Source pricing flag retained; automated consistency checks passed. This is not independent landlord verification.</t>
        </is>
      </c>
    </row>
    <row r="10">
      <c r="A10" t="inlineStr">
        <is>
          <t>3 bedroom home close to campus and downtown Raleigh(Utilities included)</t>
        </is>
      </c>
      <c r="B10" t="inlineStr">
        <is>
          <t>Whole unit</t>
        </is>
      </c>
      <c r="C10" s="5" t="inlineStr">
        <is>
          <t>Whole-unit offer, outside room-only scope.</t>
        </is>
      </c>
      <c r="D10" t="inlineStr">
        <is>
          <t>ocpn54lxfn</t>
        </is>
      </c>
      <c r="E10" t="inlineStr">
        <is>
          <t>https://offcampus.dasa.ncsu.edu/housing/property/3-bedroom-home-close-to-campus-and-downtown-raleigh-utilities-included/ocpn54lxfn</t>
        </is>
      </c>
      <c r="F10" s="5" t="inlineStr">
        <is>
          <t>Source pricing flag retained; automated consistency checks passed. This is not independent landlord verification.</t>
        </is>
      </c>
    </row>
    <row r="11">
      <c r="A11" t="inlineStr">
        <is>
          <t>3111 Kentish Town Ln (Raleigh, NC)</t>
        </is>
      </c>
      <c r="B11" t="inlineStr">
        <is>
          <t>Whole unit</t>
        </is>
      </c>
      <c r="C11" s="5" t="inlineStr">
        <is>
          <t>Search/detail price mismatch. Whole-unit offer, outside room-only scope.</t>
        </is>
      </c>
      <c r="D11" t="inlineStr">
        <is>
          <t>gdtz0ww</t>
        </is>
      </c>
      <c r="E11" t="inlineStr">
        <is>
          <t>https://offcampus.dasa.ncsu.edu/housing/property/3111-kentish-town-ln-raleigh-nc/gdtz0ww</t>
        </is>
      </c>
      <c r="F11" s="5" t="inlineStr">
        <is>
          <t>Source pricing flag retained; automated consistency checks passed. This is not independent landlord verification. Search summary: $2700–$2700; saved floor-plan envelope: $2675–$2675. Difference may reflect fees, timing or scope; unresolved snapshot price excluded.</t>
        </is>
      </c>
    </row>
    <row r="12">
      <c r="A12" t="inlineStr">
        <is>
          <t>4BD/3.5BA townhome near NCSU &amp; Downtown Raleigh available August 2026!</t>
        </is>
      </c>
      <c r="B12" t="inlineStr">
        <is>
          <t>Whole unit</t>
        </is>
      </c>
      <c r="C12" s="5" t="inlineStr">
        <is>
          <t>Whole-unit offer, outside room-only scope.</t>
        </is>
      </c>
      <c r="D12" t="inlineStr">
        <is>
          <t>ocpjh4j574</t>
        </is>
      </c>
      <c r="E12" t="inlineStr">
        <is>
          <t>https://offcampus.dasa.ncsu.edu/housing/property/4bd-3-5ba-townhome-near-ncsu-and-downtown-raleigh-available-august-2026/ocpjh4j574</t>
        </is>
      </c>
      <c r="F12" s="5" t="inlineStr">
        <is>
          <t>Source pricing flag retained; automated consistency checks passed. This is not independent landlord verification.</t>
        </is>
      </c>
    </row>
    <row r="13">
      <c r="A13" t="inlineStr">
        <is>
          <t>5 bedroom 5 full Bath luxury house with 1Gig AT&amp;T Fiber and 1 free parking space per bedroom</t>
        </is>
      </c>
      <c r="B13" t="inlineStr">
        <is>
          <t>Whole unit</t>
        </is>
      </c>
      <c r="C13" s="5" t="inlineStr">
        <is>
          <t>Whole-unit offer, outside room-only scope.</t>
        </is>
      </c>
      <c r="D13" t="inlineStr">
        <is>
          <t>ocp032vj21</t>
        </is>
      </c>
      <c r="E13" t="inlineStr">
        <is>
          <t>https://offcampus.dasa.ncsu.edu/housing/property/5-bedroom-5-full-bath-luxury-house-with-1gig-at-and-t-fiber-and-1-free-parking-space-per-bedroom/ocp032vj21</t>
        </is>
      </c>
      <c r="F13" s="5" t="inlineStr">
        <is>
          <t>Source pricing flag retained; automated consistency checks passed. This is not independent landlord verification.</t>
        </is>
      </c>
    </row>
    <row r="14">
      <c r="A14" t="inlineStr">
        <is>
          <t>591 E Cabarrus St (Raleigh, NC)</t>
        </is>
      </c>
      <c r="B14" t="inlineStr">
        <is>
          <t>Whole unit</t>
        </is>
      </c>
      <c r="C14" s="5" t="inlineStr">
        <is>
          <t>Whole-unit offer, outside room-only scope.</t>
        </is>
      </c>
      <c r="D14" t="inlineStr">
        <is>
          <t>gc0phpz</t>
        </is>
      </c>
      <c r="E14" t="inlineStr">
        <is>
          <t>https://offcampus.dasa.ncsu.edu/housing/property/591-e-cabarrus-st-raleigh-nc/gc0phpz</t>
        </is>
      </c>
      <c r="F14" s="5" t="inlineStr">
        <is>
          <t>Source pricing flag retained; automated consistency checks passed. This is not independent landlord verification.</t>
        </is>
      </c>
    </row>
    <row r="15">
      <c r="A15" t="inlineStr">
        <is>
          <t>616 at the Village</t>
        </is>
      </c>
      <c r="B15" t="inlineStr">
        <is>
          <t>Whole unit</t>
        </is>
      </c>
      <c r="C15" s="5" t="inlineStr">
        <is>
          <t>Search/detail price mismatch. Whole-unit offer, outside room-only scope.</t>
        </is>
      </c>
      <c r="D15" t="inlineStr">
        <is>
          <t>0zm5l03</t>
        </is>
      </c>
      <c r="E15" t="inlineStr">
        <is>
          <t>https://offcampus.dasa.ncsu.edu/housing/property/616-at-the-village/0zm5l03</t>
        </is>
      </c>
      <c r="F15" s="5" t="inlineStr">
        <is>
          <t>Source pricing flag retained; automated consistency checks passed. This is not independent landlord verification. Search summary: $1620–$3430; saved floor-plan envelope: $1600–$3430. Difference may reflect fees, timing or scope; unresolved snapshot price excluded.</t>
        </is>
      </c>
    </row>
    <row r="16">
      <c r="A16" t="inlineStr">
        <is>
          <t>644 Coleman St (Raleigh, NC)</t>
        </is>
      </c>
      <c r="B16" t="inlineStr">
        <is>
          <t>Whole unit</t>
        </is>
      </c>
      <c r="C16" s="5" t="inlineStr">
        <is>
          <t>Whole-unit offer, outside room-only scope.</t>
        </is>
      </c>
      <c r="D16" t="inlineStr">
        <is>
          <t>35cz5ed</t>
        </is>
      </c>
      <c r="E16" t="inlineStr">
        <is>
          <t>https://offcampus.dasa.ncsu.edu/housing/property/644-coleman-st-raleigh-nc/35cz5ed</t>
        </is>
      </c>
      <c r="F16" s="5" t="inlineStr">
        <is>
          <t>Source pricing flag retained; automated consistency checks passed. This is not independent landlord verification.</t>
        </is>
      </c>
    </row>
    <row r="17">
      <c r="A17" t="inlineStr">
        <is>
          <t>707 E Martin St (Raleigh, NC)</t>
        </is>
      </c>
      <c r="B17" t="inlineStr">
        <is>
          <t>Whole unit</t>
        </is>
      </c>
      <c r="C17" s="5" t="inlineStr">
        <is>
          <t>Whole-unit offer, outside room-only scope.</t>
        </is>
      </c>
      <c r="D17" t="inlineStr">
        <is>
          <t>l1e6hxd</t>
        </is>
      </c>
      <c r="E17" t="inlineStr">
        <is>
          <t>https://offcampus.dasa.ncsu.edu/housing/property/707-e-martin-st-raleigh-nc/l1e6hxd</t>
        </is>
      </c>
      <c r="F17" s="5" t="inlineStr">
        <is>
          <t>Source pricing flag retained; automated consistency checks passed. This is not independent landlord verification.</t>
        </is>
      </c>
    </row>
    <row r="18">
      <c r="A18" t="inlineStr">
        <is>
          <t>912 Chaney Rd. #100</t>
        </is>
      </c>
      <c r="B18" t="inlineStr">
        <is>
          <t>Whole unit</t>
        </is>
      </c>
      <c r="C18" s="5" t="inlineStr">
        <is>
          <t>Whole-unit offer, outside room-only scope.</t>
        </is>
      </c>
      <c r="D18" t="inlineStr">
        <is>
          <t>ocpbnn75s8</t>
        </is>
      </c>
      <c r="E18" t="inlineStr">
        <is>
          <t>https://offcampus.dasa.ncsu.edu/housing/property/912-chaney-rd-100/ocpbnn75s8</t>
        </is>
      </c>
      <c r="F18" s="5" t="inlineStr">
        <is>
          <t>Source pricing flag retained; automated consistency checks passed. This is not independent landlord verification.</t>
        </is>
      </c>
    </row>
    <row r="19">
      <c r="A19" t="inlineStr">
        <is>
          <t>912 Chaney Rd. #102</t>
        </is>
      </c>
      <c r="B19" t="inlineStr">
        <is>
          <t>Whole unit</t>
        </is>
      </c>
      <c r="C19" s="5" t="inlineStr">
        <is>
          <t>Whole-unit offer, outside room-only scope.</t>
        </is>
      </c>
      <c r="D19" t="inlineStr">
        <is>
          <t>ocpvv9069d</t>
        </is>
      </c>
      <c r="E19" t="inlineStr">
        <is>
          <t>https://offcampus.dasa.ncsu.edu/housing/property/912-chaney-rd-102/ocpvv9069d</t>
        </is>
      </c>
      <c r="F19" s="5" t="inlineStr">
        <is>
          <t>Source pricing flag retained; automated consistency checks passed. This is not independent landlord verification.</t>
        </is>
      </c>
    </row>
    <row r="20">
      <c r="A20" t="inlineStr">
        <is>
          <t>Apartment close to campus</t>
        </is>
      </c>
      <c r="B20" t="inlineStr">
        <is>
          <t>Whole unit</t>
        </is>
      </c>
      <c r="C20" s="5" t="inlineStr">
        <is>
          <t>Whole-unit offer, outside room-only scope.</t>
        </is>
      </c>
      <c r="D20" t="inlineStr">
        <is>
          <t>ocphe602k0</t>
        </is>
      </c>
      <c r="E20" t="inlineStr">
        <is>
          <t>https://offcampus.dasa.ncsu.edu/housing/property/apartment-close-to-campus/ocphe602k0</t>
        </is>
      </c>
      <c r="F20" s="5" t="inlineStr">
        <is>
          <t>Source pricing flag retained; automated consistency checks passed. This is not independent landlord verification.</t>
        </is>
      </c>
    </row>
    <row r="21">
      <c r="A21" t="inlineStr">
        <is>
          <t>Aventura RTP</t>
        </is>
      </c>
      <c r="B21" t="inlineStr">
        <is>
          <t>Whole unit</t>
        </is>
      </c>
      <c r="C21" s="5" t="inlineStr">
        <is>
          <t>Outside all three five-mile areas. Whole-unit offer, outside room-only scope.</t>
        </is>
      </c>
      <c r="D21" t="inlineStr">
        <is>
          <t>59xvx3n</t>
        </is>
      </c>
      <c r="E21" t="inlineStr">
        <is>
          <t>https://offcampus.dasa.ncsu.edu/housing/property/aventura-rtp/59xvx3n</t>
        </is>
      </c>
      <c r="F21" s="5" t="inlineStr">
        <is>
          <t>Source pricing flag retained; automated consistency checks passed. This is not independent landlord verification.</t>
        </is>
      </c>
    </row>
    <row r="22">
      <c r="A22" t="inlineStr">
        <is>
          <t>Avery Close</t>
        </is>
      </c>
      <c r="B22" t="inlineStr">
        <is>
          <t>Whole unit</t>
        </is>
      </c>
      <c r="C22" s="5" t="inlineStr">
        <is>
          <t>Whole-unit offer, outside room-only scope.</t>
        </is>
      </c>
      <c r="D22" t="inlineStr">
        <is>
          <t>ocpeg5yhcm</t>
        </is>
      </c>
      <c r="E22" t="inlineStr">
        <is>
          <t>https://offcampus.dasa.ncsu.edu/housing/property/avery-close/ocpeg5yhcm</t>
        </is>
      </c>
      <c r="F22" s="5" t="inlineStr">
        <is>
          <t>Source pricing flag retained; automated consistency checks passed. This is not independent landlord verification.</t>
        </is>
      </c>
    </row>
    <row r="23">
      <c r="A23" t="inlineStr">
        <is>
          <t>Brand-New 4BR Townhomes - Eight at State</t>
        </is>
      </c>
      <c r="B23" t="inlineStr">
        <is>
          <t>Whole unit</t>
        </is>
      </c>
      <c r="C23" s="5" t="inlineStr">
        <is>
          <t>Whole-unit offer, outside room-only scope.</t>
        </is>
      </c>
      <c r="D23" t="inlineStr">
        <is>
          <t>ocp85fz0j3</t>
        </is>
      </c>
      <c r="E23" t="inlineStr">
        <is>
          <t>https://offcampus.dasa.ncsu.edu/housing/property/brand-new-4br-townhomes-eight-at-state/ocp85fz0j3</t>
        </is>
      </c>
      <c r="F23" s="5" t="inlineStr">
        <is>
          <t>Source pricing flag retained; automated consistency checks passed. This is not independent landlord verification.</t>
        </is>
      </c>
    </row>
    <row r="24">
      <c r="A24" t="inlineStr">
        <is>
          <t>Bright 2 BR, 2 BA unit in vibrant Person St district</t>
        </is>
      </c>
      <c r="B24" t="inlineStr">
        <is>
          <t>Whole unit</t>
        </is>
      </c>
      <c r="C24" s="5" t="inlineStr">
        <is>
          <t>Whole-unit offer, outside room-only scope.</t>
        </is>
      </c>
      <c r="D24" t="inlineStr">
        <is>
          <t>ocp8d9cwv0</t>
        </is>
      </c>
      <c r="E24" t="inlineStr">
        <is>
          <t>https://offcampus.dasa.ncsu.edu/housing/property/bright-2-br-2-ba-unit-in-vibrant-person-st-district/ocp8d9cwv0</t>
        </is>
      </c>
      <c r="F24" s="5" t="inlineStr">
        <is>
          <t>Source pricing flag retained; automated consistency checks passed. This is not independent landlord verification.</t>
        </is>
      </c>
    </row>
    <row r="25">
      <c r="A25" t="inlineStr">
        <is>
          <t>Brook Hill Townhouse - Students Save Up to 10%</t>
        </is>
      </c>
      <c r="B25" t="inlineStr">
        <is>
          <t>Whole unit</t>
        </is>
      </c>
      <c r="C25" s="5" t="inlineStr">
        <is>
          <t>Whole-unit offer, outside room-only scope.</t>
        </is>
      </c>
      <c r="D25" t="inlineStr">
        <is>
          <t>70rqkwy</t>
        </is>
      </c>
      <c r="E25" t="inlineStr">
        <is>
          <t>https://offcampus.dasa.ncsu.edu/housing/property/brook-hill-townhouse-students-save-up-to-10/70rqkwy</t>
        </is>
      </c>
      <c r="F25" s="5" t="inlineStr">
        <is>
          <t>Source pricing flag retained; automated consistency checks passed. This is not independent landlord verification.</t>
        </is>
      </c>
    </row>
    <row r="26">
      <c r="A26" t="inlineStr">
        <is>
          <t>Campus Edge</t>
        </is>
      </c>
      <c r="B26" t="inlineStr">
        <is>
          <t>Review</t>
        </is>
      </c>
      <c r="C26" s="5" t="inlineStr">
        <is>
          <t>Unresolved pricing basis; Search/detail price mismatch. Not a resolved room/per-bedroom offer.</t>
        </is>
      </c>
      <c r="D26" t="inlineStr">
        <is>
          <t>dw0f7sh</t>
        </is>
      </c>
      <c r="E26" t="inlineStr">
        <is>
          <t>https://offcampus.dasa.ncsu.edu/housing/property/campus-edge/dw0f7sh</t>
        </is>
      </c>
      <c r="F26" s="5" t="inlineStr">
        <is>
          <t>Saved floor plans contain both per-bedroom and whole-unit flags. A single property range cannot be assigned a reliable common pricing basis; no division by bedroom count or price substitution. Search summary: $955–$980; saved floor-plan envelope: $905–$1895. Difference may reflect fees, timing or scope; unresolved snapshot price excluded.</t>
        </is>
      </c>
    </row>
    <row r="27">
      <c r="A27" t="inlineStr">
        <is>
          <t>Champion Court Condo</t>
        </is>
      </c>
      <c r="B27" t="inlineStr">
        <is>
          <t>Whole unit</t>
        </is>
      </c>
      <c r="C27" s="5" t="inlineStr">
        <is>
          <t>Whole-unit offer, outside room-only scope.</t>
        </is>
      </c>
      <c r="D27" t="inlineStr">
        <is>
          <t>ocpf3gzfct</t>
        </is>
      </c>
      <c r="E27" t="inlineStr">
        <is>
          <t>https://offcampus.dasa.ncsu.edu/housing/property/champion-court-condo/ocpf3gzfct</t>
        </is>
      </c>
      <c r="F27" s="5" t="inlineStr">
        <is>
          <t>Source pricing flag retained; automated consistency checks passed. This is not independent landlord verification.</t>
        </is>
      </c>
    </row>
    <row r="28">
      <c r="A28" t="inlineStr">
        <is>
          <t>Collegeview Apartments</t>
        </is>
      </c>
      <c r="B28" t="inlineStr">
        <is>
          <t>Whole unit</t>
        </is>
      </c>
      <c r="C28" s="5" t="inlineStr">
        <is>
          <t>Whole-unit offer, outside room-only scope.</t>
        </is>
      </c>
      <c r="D28" t="inlineStr">
        <is>
          <t>ocplp7c98d</t>
        </is>
      </c>
      <c r="E28" t="inlineStr">
        <is>
          <t>https://offcampus.dasa.ncsu.edu/housing/property/collegeview-apartments/ocplp7c98d</t>
        </is>
      </c>
      <c r="F28" s="5" t="inlineStr">
        <is>
          <t>Source pricing flag retained; automated consistency checks passed. This is not independent landlord verification.</t>
        </is>
      </c>
    </row>
    <row r="29">
      <c r="A29" t="inlineStr">
        <is>
          <t>Cozy private apt</t>
        </is>
      </c>
      <c r="B29" t="inlineStr">
        <is>
          <t>Whole unit</t>
        </is>
      </c>
      <c r="C29" s="5" t="inlineStr">
        <is>
          <t>Whole-unit offer, outside room-only scope.</t>
        </is>
      </c>
      <c r="D29" t="inlineStr">
        <is>
          <t>ocpsqjgls7</t>
        </is>
      </c>
      <c r="E29" t="inlineStr">
        <is>
          <t>https://offcampus.dasa.ncsu.edu/housing/property/cozy-private-apt/ocpsqjgls7</t>
        </is>
      </c>
      <c r="F29" s="5" t="inlineStr">
        <is>
          <t>Source pricing flag retained; automated consistency checks passed. This is not independent landlord verification.</t>
        </is>
      </c>
    </row>
    <row r="30">
      <c r="A30" t="inlineStr">
        <is>
          <t>Crabtree Woods Townhome West Raleigh</t>
        </is>
      </c>
      <c r="B30" t="inlineStr">
        <is>
          <t>Whole unit</t>
        </is>
      </c>
      <c r="C30" s="5" t="inlineStr">
        <is>
          <t>Whole-unit offer, outside room-only scope.</t>
        </is>
      </c>
      <c r="D30" t="inlineStr">
        <is>
          <t>ocp74dcp6w</t>
        </is>
      </c>
      <c r="E30" t="inlineStr">
        <is>
          <t>https://offcampus.dasa.ncsu.edu/housing/property/crabtree-woods-townhome-west-raleigh/ocp74dcp6w</t>
        </is>
      </c>
      <c r="F30" s="5" t="inlineStr">
        <is>
          <t>Source pricing flag retained; automated consistency checks passed. This is not independent landlord verification.</t>
        </is>
      </c>
    </row>
    <row r="31">
      <c r="A31" t="inlineStr">
        <is>
          <t>Falcon Ridge subdivision</t>
        </is>
      </c>
      <c r="B31" t="inlineStr">
        <is>
          <t>Per bedroom</t>
        </is>
      </c>
      <c r="C31" s="5" t="inlineStr">
        <is>
          <t>Bedroom occupancy review: Unclear.</t>
        </is>
      </c>
      <c r="D31" t="inlineStr">
        <is>
          <t>ocpqh8kxbz</t>
        </is>
      </c>
      <c r="E31" t="inlineStr">
        <is>
          <t>https://offcampus.dasa.ncsu.edu/housing/property/falcon-ridge-subdivision/ocpqh8kxbz</t>
        </is>
      </c>
      <c r="F31" s="5" t="inlineStr">
        <is>
          <t>September 20 manual bedroom review could not determine bedroom exclusivity from the saved photos and description. Preserved in the 76-listing bedroom audit but excluded from article rent means.</t>
        </is>
      </c>
    </row>
    <row r="32">
      <c r="A32" t="inlineStr">
        <is>
          <t>Family Neighborhood with Greenway Access</t>
        </is>
      </c>
      <c r="B32" t="inlineStr">
        <is>
          <t>Whole unit</t>
        </is>
      </c>
      <c r="C32" s="5" t="inlineStr">
        <is>
          <t>Whole-unit offer, outside room-only scope.</t>
        </is>
      </c>
      <c r="D32" t="inlineStr">
        <is>
          <t>ocpsgy1zk5</t>
        </is>
      </c>
      <c r="E32" t="inlineStr">
        <is>
          <t>https://offcampus.dasa.ncsu.edu/housing/property/family-neighborhood-with-greenway-access/ocpsgy1zk5</t>
        </is>
      </c>
      <c r="F32" s="5" t="inlineStr">
        <is>
          <t>Source pricing flag retained; automated consistency checks passed. This is not independent landlord verification.</t>
        </is>
      </c>
    </row>
    <row r="33">
      <c r="A33" t="inlineStr">
        <is>
          <t>Flex Stay | Lux Furnished | 3 Bed |  Pets OK | Utilities Incl. | International OK</t>
        </is>
      </c>
      <c r="B33" t="inlineStr">
        <is>
          <t>Whole unit</t>
        </is>
      </c>
      <c r="C33" s="5" t="inlineStr">
        <is>
          <t>Whole-unit offer, outside room-only scope.</t>
        </is>
      </c>
      <c r="D33" t="inlineStr">
        <is>
          <t>ocpg8zsjmz</t>
        </is>
      </c>
      <c r="E33" t="inlineStr">
        <is>
          <t>https://offcampus.dasa.ncsu.edu/housing/property/flex-stay-lux-furnished-3-bed-pets-ok-utilities-incl-international-ok/ocpg8zsjmz</t>
        </is>
      </c>
      <c r="F33" s="5" t="inlineStr">
        <is>
          <t>Source pricing flag retained; automated consistency checks passed. This is not independent landlord verification.</t>
        </is>
      </c>
    </row>
    <row r="34">
      <c r="A34" t="inlineStr">
        <is>
          <t>Fully Furnished 3BR Townhome Steps from Lake Johnson</t>
        </is>
      </c>
      <c r="B34" t="inlineStr">
        <is>
          <t>Whole unit</t>
        </is>
      </c>
      <c r="C34" s="5" t="inlineStr">
        <is>
          <t>Whole-unit offer, outside room-only scope.</t>
        </is>
      </c>
      <c r="D34" t="inlineStr">
        <is>
          <t>ocp8c26c92</t>
        </is>
      </c>
      <c r="E34" t="inlineStr">
        <is>
          <t>https://offcampus.dasa.ncsu.edu/housing/property/fully-furnished-3br-townhome-steps-from-lake-johnson/ocp8c26c92</t>
        </is>
      </c>
      <c r="F34" s="5" t="inlineStr">
        <is>
          <t>Source pricing flag retained; automated consistency checks passed. This is not independent landlord verification.</t>
        </is>
      </c>
    </row>
    <row r="35">
      <c r="A35" t="inlineStr">
        <is>
          <t>Furnished 4 bed 3 baths Ranch House, walk to NCSU, free parking</t>
        </is>
      </c>
      <c r="B35" t="inlineStr">
        <is>
          <t>Whole unit</t>
        </is>
      </c>
      <c r="C35" s="5" t="inlineStr">
        <is>
          <t>Whole-unit offer, outside room-only scope.</t>
        </is>
      </c>
      <c r="D35" t="inlineStr">
        <is>
          <t>ocpvee4m9g</t>
        </is>
      </c>
      <c r="E35" t="inlineStr">
        <is>
          <t>https://offcampus.dasa.ncsu.edu/housing/property/furnished-4-bed-3-baths-ranch-house-walk-to-ncsu-free-parking/ocpvee4m9g</t>
        </is>
      </c>
      <c r="F35" s="5" t="inlineStr">
        <is>
          <t>Source pricing flag retained; automated consistency checks passed. This is not independent landlord verification.</t>
        </is>
      </c>
    </row>
    <row r="36">
      <c r="A36" t="inlineStr">
        <is>
          <t>Furnished Room for Rent (Between Central and Centennial Campus)</t>
        </is>
      </c>
      <c r="B36" t="inlineStr">
        <is>
          <t>Per bedroom</t>
        </is>
      </c>
      <c r="C36" s="5" t="inlineStr">
        <is>
          <t>Bedroom occupancy review: Shared bedroom.</t>
        </is>
      </c>
      <c r="D36" t="inlineStr">
        <is>
          <t>ocp2k6k5g8</t>
        </is>
      </c>
      <c r="E36" t="inlineStr">
        <is>
          <t>https://offcampus.dasa.ncsu.edu/housing/property/furnished-room-for-rent-between-central-and-centennial-campus/ocp2k6k5g8</t>
        </is>
      </c>
      <c r="F36" s="5" t="inlineStr">
        <is>
          <t>September 20 manual bedroom review found the listing explicitly offered one of two beds in a shared furnished master bedroom. Preserved in the 76-listing bedroom audit but excluded from article rent means.</t>
        </is>
      </c>
    </row>
    <row r="37">
      <c r="A37" t="inlineStr">
        <is>
          <t>Furnished Studio/ADU | Olde Raleigh | Parking | Fast Wi-Fi</t>
        </is>
      </c>
      <c r="B37" t="inlineStr">
        <is>
          <t>Whole unit</t>
        </is>
      </c>
      <c r="C37" s="5" t="inlineStr">
        <is>
          <t>Outside all three five-mile areas. Whole-unit offer, outside room-only scope.</t>
        </is>
      </c>
      <c r="D37" t="inlineStr">
        <is>
          <t>ocp5ey2bmq</t>
        </is>
      </c>
      <c r="E37" t="inlineStr">
        <is>
          <t>https://offcampus.dasa.ncsu.edu/housing/property/furnished-studio-adu-olde-raleigh-parking-fast-wi-fi/ocp5ey2bmq</t>
        </is>
      </c>
      <c r="F37" s="5" t="inlineStr">
        <is>
          <t>Source pricing flag retained; automated consistency checks passed. This is not independent landlord verification.</t>
        </is>
      </c>
    </row>
    <row r="38">
      <c r="A38" t="inlineStr">
        <is>
          <t>Gorman Crossings</t>
        </is>
      </c>
      <c r="B38" t="inlineStr">
        <is>
          <t>Whole unit</t>
        </is>
      </c>
      <c r="C38" s="5" t="inlineStr">
        <is>
          <t>Whole-unit offer, outside room-only scope.</t>
        </is>
      </c>
      <c r="D38" t="inlineStr">
        <is>
          <t>tv2h1cb</t>
        </is>
      </c>
      <c r="E38" t="inlineStr">
        <is>
          <t>https://offcampus.dasa.ncsu.edu/housing/property/gorman-crossings/tv2h1cb</t>
        </is>
      </c>
      <c r="F38" s="5" t="inlineStr">
        <is>
          <t>Source pricing flag retained; automated consistency checks passed. This is not independent landlord verification.</t>
        </is>
      </c>
    </row>
    <row r="39">
      <c r="A39" t="inlineStr">
        <is>
          <t>Gorman Street Village PRE-LEASING for 2026! 3Bed 3Bath w/ Utilities! Upgraded Units Available!</t>
        </is>
      </c>
      <c r="B39" t="inlineStr">
        <is>
          <t>Whole unit</t>
        </is>
      </c>
      <c r="C39" s="5" t="inlineStr">
        <is>
          <t>Whole-unit offer, outside room-only scope.</t>
        </is>
      </c>
      <c r="D39" t="inlineStr">
        <is>
          <t>ocpjpg1817</t>
        </is>
      </c>
      <c r="E39" t="inlineStr">
        <is>
          <t>https://offcampus.dasa.ncsu.edu/housing/property/gorman-street-village-pre-leasing-for-2026-3bed-3bath-w-utilities-upgraded-units-available/ocpjpg1817</t>
        </is>
      </c>
      <c r="F39" s="5" t="inlineStr">
        <is>
          <t>Source pricing flag retained; automated consistency checks passed. This is not independent landlord verification.</t>
        </is>
      </c>
    </row>
    <row r="40">
      <c r="A40" t="inlineStr">
        <is>
          <t>Great Location - Connected to Centennial Campus</t>
        </is>
      </c>
      <c r="B40" t="inlineStr">
        <is>
          <t>Whole unit</t>
        </is>
      </c>
      <c r="C40" s="5" t="inlineStr">
        <is>
          <t>Whole-unit offer, outside room-only scope.</t>
        </is>
      </c>
      <c r="D40" t="inlineStr">
        <is>
          <t>ocpkb0kbhb</t>
        </is>
      </c>
      <c r="E40" t="inlineStr">
        <is>
          <t>https://offcampus.dasa.ncsu.edu/housing/property/great-location-connected-to-centennial-campus/ocpkb0kbhb</t>
        </is>
      </c>
      <c r="F40" s="5" t="inlineStr">
        <is>
          <t>Source pricing flag retained; automated consistency checks passed. This is not independent landlord verification.</t>
        </is>
      </c>
    </row>
    <row r="41">
      <c r="A41" t="inlineStr">
        <is>
          <t>HeyDay Raleigh</t>
        </is>
      </c>
      <c r="B41" t="inlineStr">
        <is>
          <t>Whole unit</t>
        </is>
      </c>
      <c r="C41" s="5" t="inlineStr">
        <is>
          <t>Whole-unit offer, outside room-only scope.</t>
        </is>
      </c>
      <c r="D41" t="inlineStr">
        <is>
          <t>86fjg60</t>
        </is>
      </c>
      <c r="E41" t="inlineStr">
        <is>
          <t>https://offcampus.dasa.ncsu.edu/housing/property/heyday-raleigh/86fjg60</t>
        </is>
      </c>
      <c r="F41" s="5" t="inlineStr">
        <is>
          <t>Source pricing flag retained; automated consistency checks passed. This is not independent landlord verification.</t>
        </is>
      </c>
    </row>
    <row r="42">
      <c r="A42" t="inlineStr">
        <is>
          <t>Hub Raleigh</t>
        </is>
      </c>
      <c r="B42" t="inlineStr">
        <is>
          <t>Review</t>
        </is>
      </c>
      <c r="C42" s="5" t="inlineStr">
        <is>
          <t>Unresolved pricing basis. Not a resolved room/per-bedroom offer.</t>
        </is>
      </c>
      <c r="D42" t="inlineStr">
        <is>
          <t>61y0ywr</t>
        </is>
      </c>
      <c r="E42" t="inlineStr">
        <is>
          <t>https://offcampus.dasa.ncsu.edu/housing/property/hub-raleigh/61y0ywr</t>
        </is>
      </c>
      <c r="F42" s="5" t="inlineStr">
        <is>
          <t>Hub Raleigh advertises individual leases, studios and multi-bedroom plans, but saved flags mark every plan as whole-unit. Cannot reliably allocate the single $799–$1,599 property range between personal and dwelling prices. Excluded pending plan-level pricing confirmation.</t>
        </is>
      </c>
    </row>
    <row r="43">
      <c r="A43" t="inlineStr">
        <is>
          <t>Inona Place</t>
        </is>
      </c>
      <c r="B43" t="inlineStr">
        <is>
          <t>Whole unit</t>
        </is>
      </c>
      <c r="C43" s="5" t="inlineStr">
        <is>
          <t>Whole-unit offer, outside room-only scope.</t>
        </is>
      </c>
      <c r="D43" t="inlineStr">
        <is>
          <t>ocpssgbbl7</t>
        </is>
      </c>
      <c r="E43" t="inlineStr">
        <is>
          <t>https://offcampus.dasa.ncsu.edu/housing/property/inona-place/ocpssgbbl7</t>
        </is>
      </c>
      <c r="F43" s="5" t="inlineStr">
        <is>
          <t>Source pricing flag retained; automated consistency checks passed. This is not independent landlord verification.</t>
        </is>
      </c>
    </row>
    <row r="44">
      <c r="A44" t="inlineStr">
        <is>
          <t>Kensington Park</t>
        </is>
      </c>
      <c r="B44" t="inlineStr">
        <is>
          <t>Whole unit</t>
        </is>
      </c>
      <c r="C44" s="5" t="inlineStr">
        <is>
          <t>Whole-unit offer, outside room-only scope.</t>
        </is>
      </c>
      <c r="D44" t="inlineStr">
        <is>
          <t>v534e5d</t>
        </is>
      </c>
      <c r="E44" t="inlineStr">
        <is>
          <t>https://offcampus.dasa.ncsu.edu/housing/property/kensington-park/v534e5d</t>
        </is>
      </c>
      <c r="F44" s="5" t="inlineStr">
        <is>
          <t>Source pricing flag retained; automated consistency checks passed. This is not independent landlord verification.</t>
        </is>
      </c>
    </row>
    <row r="45">
      <c r="A45" t="inlineStr">
        <is>
          <t>Lantower Bullhouse</t>
        </is>
      </c>
      <c r="B45" t="inlineStr">
        <is>
          <t>Whole unit</t>
        </is>
      </c>
      <c r="C45" s="5" t="inlineStr">
        <is>
          <t>Outside all three five-mile areas. Whole-unit offer, outside room-only scope.</t>
        </is>
      </c>
      <c r="D45" t="inlineStr">
        <is>
          <t>hgdd8s0</t>
        </is>
      </c>
      <c r="E45" t="inlineStr">
        <is>
          <t>https://offcampus.dasa.ncsu.edu/housing/property/lantower-bullhouse/hgdd8s0</t>
        </is>
      </c>
      <c r="F45" s="5" t="inlineStr">
        <is>
          <t>Source pricing flag retained; automated consistency checks passed. This is not independent landlord verification.</t>
        </is>
      </c>
    </row>
    <row r="46">
      <c r="A46" t="inlineStr">
        <is>
          <t>Live on Hillsborough</t>
        </is>
      </c>
      <c r="B46" t="inlineStr">
        <is>
          <t>Review</t>
        </is>
      </c>
      <c r="C46" s="5" t="inlineStr">
        <is>
          <t>Unresolved pricing basis. Not a resolved room/per-bedroom offer.</t>
        </is>
      </c>
      <c r="D46" t="inlineStr">
        <is>
          <t>6mnn0qr</t>
        </is>
      </c>
      <c r="E46" t="inlineStr">
        <is>
          <t>https://offcampus.dasa.ncsu.edu/housing/property/live-on-hillsborough/6mnn0qr</t>
        </is>
      </c>
      <c r="F46" s="5" t="inlineStr">
        <is>
          <t>September 13 portal shows one-bedroom whole-unit prices and two/three-bedroom per-bedroom prices. The saved property range mixes these bases. Excluded rather than treating all floor plans as independent listings or assigning the whole range to one group.</t>
        </is>
      </c>
    </row>
    <row r="47">
      <c r="A47" t="inlineStr">
        <is>
          <t>Lofts at Lakeview</t>
        </is>
      </c>
      <c r="B47" t="inlineStr">
        <is>
          <t>Whole unit</t>
        </is>
      </c>
      <c r="C47" s="5" t="inlineStr">
        <is>
          <t>Outside all three five-mile areas. Whole-unit offer, outside room-only scope.</t>
        </is>
      </c>
      <c r="D47" t="inlineStr">
        <is>
          <t>kele8mc</t>
        </is>
      </c>
      <c r="E47" t="inlineStr">
        <is>
          <t>https://offcampus.dasa.ncsu.edu/housing/property/lofts-at-lakeview/kele8mc</t>
        </is>
      </c>
      <c r="F47" s="5" t="inlineStr">
        <is>
          <t>Source pricing flag retained; automated consistency checks passed. This is not independent landlord verification.</t>
        </is>
      </c>
    </row>
    <row r="48">
      <c r="A48" t="inlineStr">
        <is>
          <t>Lofts at Lineberry</t>
        </is>
      </c>
      <c r="B48" t="inlineStr">
        <is>
          <t>Whole unit</t>
        </is>
      </c>
      <c r="C48" s="5" t="inlineStr">
        <is>
          <t>Missing or invalid price pair. Whole-unit offer, outside room-only scope.</t>
        </is>
      </c>
      <c r="D48" t="inlineStr">
        <is>
          <t>z44390w</t>
        </is>
      </c>
      <c r="E48" t="inlineStr">
        <is>
          <t>https://offcampus.dasa.ncsu.edu/housing/property/lofts-at-lineberry/z44390w</t>
        </is>
      </c>
      <c r="F48" s="5" t="inlineStr">
        <is>
          <t>Source pricing flag retained; automated consistency checks passed. This is not independent landlord verification.</t>
        </is>
      </c>
    </row>
    <row r="49">
      <c r="A49" t="inlineStr">
        <is>
          <t>Lupton Flats- 2 Bedroom 1 Bathroom Flat Available Now! Pre Leasing for August 2026!</t>
        </is>
      </c>
      <c r="B49" t="inlineStr">
        <is>
          <t>Whole unit</t>
        </is>
      </c>
      <c r="C49" s="5" t="inlineStr">
        <is>
          <t>Whole-unit offer, outside room-only scope.</t>
        </is>
      </c>
      <c r="D49" t="inlineStr">
        <is>
          <t>ocpsq5c5s4</t>
        </is>
      </c>
      <c r="E49" t="inlineStr">
        <is>
          <t>https://offcampus.dasa.ncsu.edu/housing/property/lupton-flats-2-bedroom-1-bathroom-flat-available-now-pre-leasing-for-august-2026/ocpsq5c5s4</t>
        </is>
      </c>
      <c r="F49" s="5" t="inlineStr">
        <is>
          <t>Source pricing flag retained; automated consistency checks passed. This is not independent landlord verification.</t>
        </is>
      </c>
    </row>
    <row r="50">
      <c r="A50" t="inlineStr">
        <is>
          <t>Luxury 4 Bedroom 4 Full Bath w free parking, 1 gig internet included. 2027-2028 School yea</t>
        </is>
      </c>
      <c r="B50" t="inlineStr">
        <is>
          <t>Whole unit</t>
        </is>
      </c>
      <c r="C50" s="5" t="inlineStr">
        <is>
          <t>Whole-unit offer, outside room-only scope.</t>
        </is>
      </c>
      <c r="D50" t="inlineStr">
        <is>
          <t>ocpthnbmc9</t>
        </is>
      </c>
      <c r="E50" t="inlineStr">
        <is>
          <t>https://offcampus.dasa.ncsu.edu/housing/property/luxury-4-bedroom-4-full-bath-w-free-parking-1-gig-internet-included-2027-2028-school-yea/ocpthnbmc9</t>
        </is>
      </c>
      <c r="F50" s="5" t="inlineStr">
        <is>
          <t>Source pricing flag retained; automated consistency checks passed. This is not independent landlord verification.</t>
        </is>
      </c>
    </row>
    <row r="51">
      <c r="A51" t="inlineStr">
        <is>
          <t>LYV Woodcroft at Southpoint</t>
        </is>
      </c>
      <c r="B51" t="inlineStr">
        <is>
          <t>Whole unit</t>
        </is>
      </c>
      <c r="C51" s="5" t="inlineStr">
        <is>
          <t>Outside all three five-mile areas. Whole-unit offer, outside room-only scope.</t>
        </is>
      </c>
      <c r="D51" t="inlineStr">
        <is>
          <t>9de4we5</t>
        </is>
      </c>
      <c r="E51" t="inlineStr">
        <is>
          <t>https://offcampus.dasa.ncsu.edu/housing/property/lyv-woodcroft-at-southpoint/9de4we5</t>
        </is>
      </c>
      <c r="F51" s="5" t="inlineStr">
        <is>
          <t>Source pricing flag retained; automated consistency checks passed. This is not independent landlord verification.</t>
        </is>
      </c>
    </row>
    <row r="52">
      <c r="A52" t="inlineStr">
        <is>
          <t>Madison Hunters Glen</t>
        </is>
      </c>
      <c r="B52" t="inlineStr">
        <is>
          <t>Whole unit</t>
        </is>
      </c>
      <c r="C52" s="5" t="inlineStr">
        <is>
          <t>Whole-unit offer, outside room-only scope.</t>
        </is>
      </c>
      <c r="D52" t="inlineStr">
        <is>
          <t>rf696l2</t>
        </is>
      </c>
      <c r="E52" t="inlineStr">
        <is>
          <t>https://offcampus.dasa.ncsu.edu/housing/property/madison-hunters-glen/rf696l2</t>
        </is>
      </c>
      <c r="F52" s="5" t="inlineStr">
        <is>
          <t>Source pricing flag retained; automated consistency checks passed. This is not independent landlord verification.</t>
        </is>
      </c>
    </row>
    <row r="53">
      <c r="A53" t="inlineStr">
        <is>
          <t>Maxwell Raleigh</t>
        </is>
      </c>
      <c r="B53" t="inlineStr">
        <is>
          <t>Review</t>
        </is>
      </c>
      <c r="C53" s="5" t="inlineStr">
        <is>
          <t>Unresolved pricing basis. Not a resolved room/per-bedroom offer.</t>
        </is>
      </c>
      <c r="D53" t="inlineStr">
        <is>
          <t>es0855q</t>
        </is>
      </c>
      <c r="E53" t="inlineStr">
        <is>
          <t>https://offcampus.dasa.ncsu.edu/housing/property/maxwell-raleigh/es0855q</t>
        </is>
      </c>
      <c r="F53" s="5" t="inlineStr">
        <is>
          <t>Saved floor plans contain both per-bedroom and whole-unit flags. A single property range cannot be assigned a reliable common pricing basis; no division by bedroom count or price substitution.</t>
        </is>
      </c>
    </row>
    <row r="54">
      <c r="A54" t="inlineStr">
        <is>
          <t>New Construction: 4 Bed 4.5 Bath Townhomes</t>
        </is>
      </c>
      <c r="B54" t="inlineStr">
        <is>
          <t>Whole unit</t>
        </is>
      </c>
      <c r="C54" s="5" t="inlineStr">
        <is>
          <t>Whole-unit offer, outside room-only scope.</t>
        </is>
      </c>
      <c r="D54" t="inlineStr">
        <is>
          <t>ocpd8x87kh</t>
        </is>
      </c>
      <c r="E54" t="inlineStr">
        <is>
          <t>https://offcampus.dasa.ncsu.edu/housing/property/new-construction-4-bed-4-5-bath-townhomes/ocpd8x87kh</t>
        </is>
      </c>
      <c r="F54" s="5" t="inlineStr">
        <is>
          <t>Source pricing flag retained; automated consistency checks passed. This is not independent landlord verification.</t>
        </is>
      </c>
    </row>
    <row r="55">
      <c r="A55" t="inlineStr">
        <is>
          <t>Now Pre-Leasing for August 2026! 1 and 3 Bedrooms with Utilities! Marcom St Apartments!</t>
        </is>
      </c>
      <c r="B55" t="inlineStr">
        <is>
          <t>Whole unit</t>
        </is>
      </c>
      <c r="C55" s="5" t="inlineStr">
        <is>
          <t>Whole-unit offer, outside room-only scope.</t>
        </is>
      </c>
      <c r="D55" t="inlineStr">
        <is>
          <t>ocpb48f058</t>
        </is>
      </c>
      <c r="E55" t="inlineStr">
        <is>
          <t>https://offcampus.dasa.ncsu.edu/housing/property/now-pre-leasing-for-august-2026-1-and-3-bedrooms-with-utilities-marcom-st-apartments/ocpb48f058</t>
        </is>
      </c>
      <c r="F55" s="5" t="inlineStr">
        <is>
          <t>Source pricing flag retained; automated consistency checks passed. This is not independent landlord verification.</t>
        </is>
      </c>
    </row>
    <row r="56">
      <c r="A56" t="inlineStr">
        <is>
          <t>Pine Knoll Apartments</t>
        </is>
      </c>
      <c r="B56" t="inlineStr">
        <is>
          <t>Whole unit</t>
        </is>
      </c>
      <c r="C56" s="5" t="inlineStr">
        <is>
          <t>Whole-unit offer, outside room-only scope.</t>
        </is>
      </c>
      <c r="D56" t="inlineStr">
        <is>
          <t>xr4rsmq</t>
        </is>
      </c>
      <c r="E56" t="inlineStr">
        <is>
          <t>https://offcampus.dasa.ncsu.edu/housing/property/pine-knoll-apartments/xr4rsmq</t>
        </is>
      </c>
      <c r="F56" s="5" t="inlineStr">
        <is>
          <t>Source pricing flag retained; automated consistency checks passed. This is not independent landlord verification.</t>
        </is>
      </c>
    </row>
    <row r="57">
      <c r="A57" t="inlineStr">
        <is>
          <t>Prime ITB location one block off Ridge Road</t>
        </is>
      </c>
      <c r="B57" t="inlineStr">
        <is>
          <t>Whole unit</t>
        </is>
      </c>
      <c r="C57" s="5" t="inlineStr">
        <is>
          <t>Whole-unit offer, outside room-only scope.</t>
        </is>
      </c>
      <c r="D57" t="inlineStr">
        <is>
          <t>ocpbp1v5c9</t>
        </is>
      </c>
      <c r="E57" t="inlineStr">
        <is>
          <t>https://offcampus.dasa.ncsu.edu/housing/property/prime-itb-location-one-block-off-ridge-road/ocpbp1v5c9</t>
        </is>
      </c>
      <c r="F57" s="5" t="inlineStr">
        <is>
          <t>Source pricing flag retained; automated consistency checks passed. This is not independent landlord verification.</t>
        </is>
      </c>
    </row>
    <row r="58">
      <c r="A58" t="inlineStr">
        <is>
          <t>Private House room listing</t>
        </is>
      </c>
      <c r="B58" t="inlineStr">
        <is>
          <t>Per bedroom</t>
        </is>
      </c>
      <c r="C58" s="5" t="inlineStr">
        <is>
          <t>Outside all three five-mile areas.</t>
        </is>
      </c>
      <c r="D58" t="inlineStr">
        <is>
          <t>ocpjxe9lb5</t>
        </is>
      </c>
      <c r="E58" t="inlineStr">
        <is>
          <t>https://offcampus.dasa.ncsu.edu/housing/property/private-house-room-listing/ocpjxe9lb5</t>
        </is>
      </c>
      <c r="F58" s="5" t="inlineStr">
        <is>
          <t>Source pricing flag retained; automated consistency checks passed. This is not independent landlord verification.</t>
        </is>
      </c>
    </row>
    <row r="59">
      <c r="A59" t="inlineStr">
        <is>
          <t>Private Townhome in North Raleigh</t>
        </is>
      </c>
      <c r="B59" t="inlineStr">
        <is>
          <t>Whole unit</t>
        </is>
      </c>
      <c r="C59" s="5" t="inlineStr">
        <is>
          <t>Whole-unit offer, outside room-only scope.</t>
        </is>
      </c>
      <c r="D59" t="inlineStr">
        <is>
          <t>ocp5km4x4p</t>
        </is>
      </c>
      <c r="E59" t="inlineStr">
        <is>
          <t>https://offcampus.dasa.ncsu.edu/housing/property/private-townhome-in-north-raleigh/ocp5km4x4p</t>
        </is>
      </c>
      <c r="F59" s="5" t="inlineStr">
        <is>
          <t>Source pricing flag retained; automated consistency checks passed. This is not independent landlord verification.</t>
        </is>
      </c>
    </row>
    <row r="60">
      <c r="A60" t="inlineStr">
        <is>
          <t>Rare 4 bedroom 4 full bath only $2200. per month</t>
        </is>
      </c>
      <c r="B60" t="inlineStr">
        <is>
          <t>Whole unit</t>
        </is>
      </c>
      <c r="C60" s="5" t="inlineStr">
        <is>
          <t>Whole-unit offer, outside room-only scope.</t>
        </is>
      </c>
      <c r="D60" t="inlineStr">
        <is>
          <t>ocpvcjy8we</t>
        </is>
      </c>
      <c r="E60" t="inlineStr">
        <is>
          <t>https://offcampus.dasa.ncsu.edu/housing/property/rare-4-bedroom-4-full-bath-only-2200-per-month/ocpvcjy8we</t>
        </is>
      </c>
      <c r="F60" s="5" t="inlineStr">
        <is>
          <t>Source pricing flag retained; automated consistency checks passed. This is not independent landlord verification.</t>
        </is>
      </c>
    </row>
    <row r="61">
      <c r="A61" t="inlineStr">
        <is>
          <t>Rent a WHOLE unit with water, electric, washer and dryer! 4 Bed 4 Bath! Lake Park Condos!</t>
        </is>
      </c>
      <c r="B61" t="inlineStr">
        <is>
          <t>Whole unit</t>
        </is>
      </c>
      <c r="C61" s="5" t="inlineStr">
        <is>
          <t>Whole-unit offer, outside room-only scope.</t>
        </is>
      </c>
      <c r="D61" t="inlineStr">
        <is>
          <t>ocp1kxjde4</t>
        </is>
      </c>
      <c r="E61" t="inlineStr">
        <is>
          <t>https://offcampus.dasa.ncsu.edu/housing/property/rent-a-whole-unit-with-water-electric-washer-and-dryer-4-bed-4-bath-lake-park-condos/ocp1kxjde4</t>
        </is>
      </c>
      <c r="F61" s="5" t="inlineStr">
        <is>
          <t>Source pricing flag retained; automated consistency checks passed. This is not independent landlord verification.</t>
        </is>
      </c>
    </row>
    <row r="62">
      <c r="A62" t="inlineStr">
        <is>
          <t>Rhyne's Gate Apartments</t>
        </is>
      </c>
      <c r="B62" t="inlineStr">
        <is>
          <t>Whole unit</t>
        </is>
      </c>
      <c r="C62" s="5" t="inlineStr">
        <is>
          <t>Whole-unit offer, outside room-only scope.</t>
        </is>
      </c>
      <c r="D62" t="inlineStr">
        <is>
          <t>ll5gb9f</t>
        </is>
      </c>
      <c r="E62" t="inlineStr">
        <is>
          <t>https://offcampus.dasa.ncsu.edu/housing/property/rhynes-gate-apartments/ll5gb9f</t>
        </is>
      </c>
      <c r="F62" s="5" t="inlineStr">
        <is>
          <t>Source pricing flag retained; automated consistency checks passed. This is not independent landlord verification.</t>
        </is>
      </c>
    </row>
    <row r="63">
      <c r="A63" t="inlineStr">
        <is>
          <t>Room in Condo on Carlton Ave</t>
        </is>
      </c>
      <c r="B63" t="inlineStr">
        <is>
          <t>Per bedroom</t>
        </is>
      </c>
      <c r="C63" s="5" t="inlineStr">
        <is>
          <t>Search/detail price mismatch.</t>
        </is>
      </c>
      <c r="D63" t="inlineStr">
        <is>
          <t>0nhgh82</t>
        </is>
      </c>
      <c r="E63" t="inlineStr">
        <is>
          <t>https://offcampus.dasa.ncsu.edu/housing/property/room-in-condo-on-carlton-ave/0nhgh82</t>
        </is>
      </c>
      <c r="F63" s="5" t="inlineStr">
        <is>
          <t>Saved September 9 title explicitly offers a room. Reclassified from whole unit to room/per-bedroom; snapshot price unchanged. Search summary: $635–$635; saved floor-plan envelope: $600–$600. Difference may reflect fees, timing or scope; unresolved snapshot price excluded.</t>
        </is>
      </c>
    </row>
    <row r="64">
      <c r="A64" t="inlineStr">
        <is>
          <t>Room in Condo on Trailwood Heights Ln</t>
        </is>
      </c>
      <c r="B64" t="inlineStr">
        <is>
          <t>Per bedroom</t>
        </is>
      </c>
      <c r="C64" s="5" t="inlineStr">
        <is>
          <t>Search/detail price mismatch.</t>
        </is>
      </c>
      <c r="D64" t="inlineStr">
        <is>
          <t>y6ff3gt</t>
        </is>
      </c>
      <c r="E64" t="inlineStr">
        <is>
          <t>https://offcampus.dasa.ncsu.edu/housing/property/room-in-condo-on-trailwood-heights-ln/y6ff3gt</t>
        </is>
      </c>
      <c r="F64" s="5" t="inlineStr">
        <is>
          <t>Saved September 9 title explicitly offers a room. Reclassified from whole unit to room/per-bedroom; snapshot price unchanged. Search summary: $875–$875; saved floor-plan envelope: $850–$850. Difference may reflect fees, timing or scope; unresolved snapshot price excluded.</t>
        </is>
      </c>
    </row>
    <row r="65">
      <c r="A65" t="inlineStr">
        <is>
          <t>Room in Condo on University Ct</t>
        </is>
      </c>
      <c r="B65" t="inlineStr">
        <is>
          <t>Per bedroom</t>
        </is>
      </c>
      <c r="C65" s="5" t="inlineStr">
        <is>
          <t>Search/detail price mismatch.</t>
        </is>
      </c>
      <c r="D65" t="inlineStr">
        <is>
          <t>wjt9dqk</t>
        </is>
      </c>
      <c r="E65" t="inlineStr">
        <is>
          <t>https://offcampus.dasa.ncsu.edu/housing/property/room-in-condo-on-university-ct/wjt9dqk</t>
        </is>
      </c>
      <c r="F65" s="5" t="inlineStr">
        <is>
          <t>Saved September 9 title explicitly offers a room. Reclassified from whole unit to room/per-bedroom; snapshot price unchanged. Search summary: $650–$650; saved floor-plan envelope: $625–$625. Difference may reflect fees, timing or scope; unresolved snapshot price excluded.</t>
        </is>
      </c>
    </row>
    <row r="66">
      <c r="A66" t="inlineStr">
        <is>
          <t>Room in Condo on University Ct</t>
        </is>
      </c>
      <c r="B66" t="inlineStr">
        <is>
          <t>Per bedroom</t>
        </is>
      </c>
      <c r="C66" s="5" t="inlineStr">
        <is>
          <t>Search/detail price mismatch.</t>
        </is>
      </c>
      <c r="D66" t="inlineStr">
        <is>
          <t>w6v7z0h</t>
        </is>
      </c>
      <c r="E66" t="inlineStr">
        <is>
          <t>https://offcampus.dasa.ncsu.edu/housing/property/room-in-condo-on-university-ct/w6v7z0h</t>
        </is>
      </c>
      <c r="F66" s="5" t="inlineStr">
        <is>
          <t>Saved September 9 title explicitly offers a room. Reclassified from whole unit to room/per-bedroom; snapshot price unchanged. Search summary: $650–$650; saved floor-plan envelope: $575–$575. Difference may reflect fees, timing or scope; unresolved snapshot price excluded.</t>
        </is>
      </c>
    </row>
    <row r="67">
      <c r="A67" t="inlineStr">
        <is>
          <t>Room in Duplex on Bragg St</t>
        </is>
      </c>
      <c r="B67" t="inlineStr">
        <is>
          <t>Per bedroom</t>
        </is>
      </c>
      <c r="C67" s="5" t="inlineStr">
        <is>
          <t>Search/detail price mismatch.</t>
        </is>
      </c>
      <c r="D67" t="inlineStr">
        <is>
          <t>r66ecw0</t>
        </is>
      </c>
      <c r="E67" t="inlineStr">
        <is>
          <t>https://offcampus.dasa.ncsu.edu/housing/property/room-in-duplex-on-bragg-st/r66ecw0</t>
        </is>
      </c>
      <c r="F67" s="5" t="inlineStr">
        <is>
          <t>Saved September 9 title explicitly offers a room. Reclassified from whole unit to room/per-bedroom; snapshot price unchanged. Search summary: $640–$640; saved floor-plan envelope: $630–$630. Difference may reflect fees, timing or scope; unresolved snapshot price excluded.</t>
        </is>
      </c>
    </row>
    <row r="68">
      <c r="A68" t="inlineStr">
        <is>
          <t>Room in House on Henslowe Dr</t>
        </is>
      </c>
      <c r="B68" t="inlineStr">
        <is>
          <t>Per bedroom</t>
        </is>
      </c>
      <c r="C68" s="5" t="inlineStr">
        <is>
          <t>Search/detail price mismatch.</t>
        </is>
      </c>
      <c r="D68" t="inlineStr">
        <is>
          <t>c1v4mzd</t>
        </is>
      </c>
      <c r="E68" t="inlineStr">
        <is>
          <t>https://offcampus.dasa.ncsu.edu/housing/property/room-in-house-on-henslowe-dr/c1v4mzd</t>
        </is>
      </c>
      <c r="F68" s="5" t="inlineStr">
        <is>
          <t>Saved September 9 title explicitly offers a room. Reclassified from whole unit to room/per-bedroom; snapshot price unchanged. Search summary: $650–$650; saved floor-plan envelope: $670–$670. Difference may reflect fees, timing or scope; unresolved snapshot price excluded.</t>
        </is>
      </c>
    </row>
    <row r="69">
      <c r="A69" t="inlineStr">
        <is>
          <t>Room in House on Okelly St</t>
        </is>
      </c>
      <c r="B69" t="inlineStr">
        <is>
          <t>Per bedroom</t>
        </is>
      </c>
      <c r="C69" s="5" t="inlineStr">
        <is>
          <t>Search/detail price mismatch.</t>
        </is>
      </c>
      <c r="D69" t="inlineStr">
        <is>
          <t>tqbb2mb</t>
        </is>
      </c>
      <c r="E69" t="inlineStr">
        <is>
          <t>https://offcampus.dasa.ncsu.edu/housing/property/room-in-house-on-okelly-st/tqbb2mb</t>
        </is>
      </c>
      <c r="F69" s="5" t="inlineStr">
        <is>
          <t>Saved September 9 title explicitly offers a room. Reclassified from whole unit to room/per-bedroom; snapshot price unchanged. Search summary: $725–$725; saved floor-plan envelope: $700–$700. Difference may reflect fees, timing or scope; unresolved snapshot price excluded.</t>
        </is>
      </c>
    </row>
    <row r="70">
      <c r="A70" t="inlineStr">
        <is>
          <t>Room in House on Old Farm Rd</t>
        </is>
      </c>
      <c r="B70" t="inlineStr">
        <is>
          <t>Per bedroom</t>
        </is>
      </c>
      <c r="C70" s="5" t="inlineStr">
        <is>
          <t>Search/detail price mismatch.</t>
        </is>
      </c>
      <c r="D70" t="inlineStr">
        <is>
          <t>k8k3t7b</t>
        </is>
      </c>
      <c r="E70" t="inlineStr">
        <is>
          <t>https://offcampus.dasa.ncsu.edu/housing/property/room-in-house-on-old-farm-rd/k8k3t7b</t>
        </is>
      </c>
      <c r="F70" s="5" t="inlineStr">
        <is>
          <t>Saved September 9 title explicitly offers a room. Reclassified from whole unit to room/per-bedroom; snapshot price unchanged. Search summary: $650–$650; saved floor-plan envelope: $630–$630. Difference may reflect fees, timing or scope; unresolved snapshot price excluded.</t>
        </is>
      </c>
    </row>
    <row r="71">
      <c r="A71" t="inlineStr">
        <is>
          <t>Room in House on Ravel St</t>
        </is>
      </c>
      <c r="B71" t="inlineStr">
        <is>
          <t>Per bedroom</t>
        </is>
      </c>
      <c r="C71" s="5" t="inlineStr">
        <is>
          <t>Search/detail price mismatch.</t>
        </is>
      </c>
      <c r="D71" t="inlineStr">
        <is>
          <t>hp3tns3</t>
        </is>
      </c>
      <c r="E71" t="inlineStr">
        <is>
          <t>https://offcampus.dasa.ncsu.edu/housing/property/room-in-house-on-ravel-st/hp3tns3</t>
        </is>
      </c>
      <c r="F71" s="5" t="inlineStr">
        <is>
          <t>Saved September 9 title explicitly offers a room. Reclassified from whole unit to room/per-bedroom; snapshot price unchanged. Search summary: $600–$600; saved floor-plan envelope: $550–$550. Difference may reflect fees, timing or scope; unresolved snapshot price excluded.</t>
        </is>
      </c>
    </row>
    <row r="72">
      <c r="A72" t="inlineStr">
        <is>
          <t>Room in House on Tall Rock Ct</t>
        </is>
      </c>
      <c r="B72" t="inlineStr">
        <is>
          <t>Per bedroom</t>
        </is>
      </c>
      <c r="C72" s="5" t="inlineStr">
        <is>
          <t>Search/detail price mismatch.</t>
        </is>
      </c>
      <c r="D72" t="inlineStr">
        <is>
          <t>r2tht53</t>
        </is>
      </c>
      <c r="E72" t="inlineStr">
        <is>
          <t>https://offcampus.dasa.ncsu.edu/housing/property/room-in-house-on-tall-rock-ct/r2tht53</t>
        </is>
      </c>
      <c r="F72" s="5" t="inlineStr">
        <is>
          <t>Saved September 9 title explicitly offers a room. Reclassified from whole unit to room/per-bedroom; snapshot price unchanged. Search summary: $900–$900; saved floor-plan envelope: $825–$825. Difference may reflect fees, timing or scope; unresolved snapshot price excluded.</t>
        </is>
      </c>
    </row>
    <row r="73">
      <c r="A73" t="inlineStr">
        <is>
          <t>Signature at Varsity</t>
        </is>
      </c>
      <c r="B73" t="inlineStr">
        <is>
          <t>Review</t>
        </is>
      </c>
      <c r="C73" s="5" t="inlineStr">
        <is>
          <t>Unresolved pricing basis. Not a resolved room/per-bedroom offer.</t>
        </is>
      </c>
      <c r="D73" t="inlineStr">
        <is>
          <t>vw4rv9e</t>
        </is>
      </c>
      <c r="E73" t="inlineStr">
        <is>
          <t>https://offcampus.dasa.ncsu.edu/housing/property/signature-at-varsity/vw4rv9e</t>
        </is>
      </c>
      <c r="F73" s="5" t="inlineStr">
        <is>
          <t>Signature at Varsity's saved studio/one-bedroom prices exceed its four/five-bedroom prices; all flags nevertheless say whole-unit. This is a pricing-basis review flag, not proof of an error. Excluded pending confirmation of plan-level basis; no inferred correction.</t>
        </is>
      </c>
    </row>
    <row r="74">
      <c r="A74" t="inlineStr">
        <is>
          <t>Six Forks townhome</t>
        </is>
      </c>
      <c r="B74" t="inlineStr">
        <is>
          <t>Per bedroom</t>
        </is>
      </c>
      <c r="C74" s="5" t="inlineStr">
        <is>
          <t>Outside all three five-mile areas.</t>
        </is>
      </c>
      <c r="D74" t="inlineStr">
        <is>
          <t>ocp706k96x</t>
        </is>
      </c>
      <c r="E74" t="inlineStr">
        <is>
          <t>https://offcampus.dasa.ncsu.edu/housing/property/six-forks-townhome/ocp706k96x</t>
        </is>
      </c>
      <c r="F74" s="5" t="inlineStr">
        <is>
          <t>Source pricing flag retained; automated consistency checks passed. This is not independent landlord verification.</t>
        </is>
      </c>
    </row>
    <row r="75">
      <c r="A75" t="inlineStr">
        <is>
          <t>Spacious 2BD/1BA apartment available 08/01/26- 1 block from the NCSU McKimmon Center!</t>
        </is>
      </c>
      <c r="B75" t="inlineStr">
        <is>
          <t>Whole unit</t>
        </is>
      </c>
      <c r="C75" s="5" t="inlineStr">
        <is>
          <t>Whole-unit offer, outside room-only scope.</t>
        </is>
      </c>
      <c r="D75" t="inlineStr">
        <is>
          <t>ocptf3fhqb</t>
        </is>
      </c>
      <c r="E75" t="inlineStr">
        <is>
          <t>https://offcampus.dasa.ncsu.edu/housing/property/spacious-2bd-1ba-apartment-available-08-01-26-1-block-from-the-ncsu-mckimmon-center/ocptf3fhqb</t>
        </is>
      </c>
      <c r="F75" s="5" t="inlineStr">
        <is>
          <t>Source pricing flag retained; automated consistency checks passed. This is not independent landlord verification.</t>
        </is>
      </c>
    </row>
    <row r="76">
      <c r="A76" t="inlineStr">
        <is>
          <t>St. Albans Lofts in North Hills</t>
        </is>
      </c>
      <c r="B76" t="inlineStr">
        <is>
          <t>Whole unit</t>
        </is>
      </c>
      <c r="C76" s="5" t="inlineStr">
        <is>
          <t>Whole-unit offer, outside room-only scope.</t>
        </is>
      </c>
      <c r="D76" t="inlineStr">
        <is>
          <t>ocpmf8tflk</t>
        </is>
      </c>
      <c r="E76" t="inlineStr">
        <is>
          <t>https://offcampus.dasa.ncsu.edu/housing/property/st-albans-lofts-in-north-hills/ocpmf8tflk</t>
        </is>
      </c>
      <c r="F76" s="5" t="inlineStr">
        <is>
          <t>Source pricing flag retained; automated consistency checks passed. This is not independent landlord verification.</t>
        </is>
      </c>
    </row>
    <row r="77">
      <c r="A77" t="inlineStr">
        <is>
          <t>Stanhope</t>
        </is>
      </c>
      <c r="B77" t="inlineStr">
        <is>
          <t>Review</t>
        </is>
      </c>
      <c r="C77" s="5" t="inlineStr">
        <is>
          <t>Unresolved pricing basis. Not a resolved room/per-bedroom offer.</t>
        </is>
      </c>
      <c r="D77" t="inlineStr">
        <is>
          <t>fgrbwjv</t>
        </is>
      </c>
      <c r="E77" t="inlineStr">
        <is>
          <t>https://offcampus.dasa.ncsu.edu/housing/property/stanhope/fgrbwjv</t>
        </is>
      </c>
      <c r="F77" s="5" t="inlineStr">
        <is>
          <t>Saved floor plans contain both per-bedroom and whole-unit flags. A single property range cannot be assigned a reliable common pricing basis; no division by bedroom count or price substitution.</t>
        </is>
      </c>
    </row>
    <row r="78">
      <c r="A78" t="inlineStr">
        <is>
          <t>Studio, One and Two Bedrooms at Westgrove Towers</t>
        </is>
      </c>
      <c r="B78" t="inlineStr">
        <is>
          <t>Whole unit</t>
        </is>
      </c>
      <c r="C78" s="5" t="inlineStr">
        <is>
          <t>Whole-unit offer, outside room-only scope.</t>
        </is>
      </c>
      <c r="D78" t="inlineStr">
        <is>
          <t>ocp9blcpd7</t>
        </is>
      </c>
      <c r="E78" t="inlineStr">
        <is>
          <t>https://offcampus.dasa.ncsu.edu/housing/property/studio-one-and-two-bedrooms-at-westgrove-towers/ocp9blcpd7</t>
        </is>
      </c>
      <c r="F78" s="5" t="inlineStr">
        <is>
          <t>Source pricing flag retained; automated consistency checks passed. This is not independent landlord verification.</t>
        </is>
      </c>
    </row>
    <row r="79">
      <c r="A79" t="inlineStr">
        <is>
          <t>Stylish Studio Condo on NC State University Campus</t>
        </is>
      </c>
      <c r="B79" t="inlineStr">
        <is>
          <t>Whole unit</t>
        </is>
      </c>
      <c r="C79" s="5" t="inlineStr">
        <is>
          <t>Whole-unit offer, outside room-only scope.</t>
        </is>
      </c>
      <c r="D79" t="inlineStr">
        <is>
          <t>ocp9g1mkz6</t>
        </is>
      </c>
      <c r="E79" t="inlineStr">
        <is>
          <t>https://offcampus.dasa.ncsu.edu/housing/property/stylish-studio-condo-on-nc-state-university-campus/ocp9g1mkz6</t>
        </is>
      </c>
      <c r="F79" s="5" t="inlineStr">
        <is>
          <t>Source pricing flag retained; automated consistency checks passed. This is not independent landlord verification.</t>
        </is>
      </c>
    </row>
    <row r="80">
      <c r="A80" t="inlineStr">
        <is>
          <t>The Dakota</t>
        </is>
      </c>
      <c r="B80" t="inlineStr">
        <is>
          <t>Whole unit</t>
        </is>
      </c>
      <c r="C80" s="5" t="inlineStr">
        <is>
          <t>Search/detail price mismatch. Whole-unit offer, outside room-only scope.</t>
        </is>
      </c>
      <c r="D80" t="inlineStr">
        <is>
          <t>9rxe6j6</t>
        </is>
      </c>
      <c r="E80" t="inlineStr">
        <is>
          <t>https://offcampus.dasa.ncsu.edu/housing/property/the-dakota/9rxe6j6</t>
        </is>
      </c>
      <c r="F80" s="5" t="inlineStr">
        <is>
          <t>Source pricing flag retained; automated consistency checks passed. This is not independent landlord verification. Search summary: $1316–$2017; saved floor-plan envelope: $1330–$2017. Difference may reflect fees, timing or scope; unresolved snapshot price excluded.</t>
        </is>
      </c>
    </row>
    <row r="81">
      <c r="A81" t="inlineStr">
        <is>
          <t>The Hillsborough</t>
        </is>
      </c>
      <c r="B81" t="inlineStr">
        <is>
          <t>Per bedroom</t>
        </is>
      </c>
      <c r="C81" s="5" t="inlineStr">
        <is>
          <t>Search/detail price mismatch.</t>
        </is>
      </c>
      <c r="D81" t="inlineStr">
        <is>
          <t>8gchf40</t>
        </is>
      </c>
      <c r="E81" t="inlineStr">
        <is>
          <t>https://offcampus.dasa.ncsu.edu/housing/property/the-hillsborough/8gchf40</t>
        </is>
      </c>
      <c r="F81" s="5" t="inlineStr">
        <is>
          <t>Source pricing flag retained; automated consistency checks passed. This is not independent landlord verification. Search summary: $1000–$1350; saved floor-plan envelope: $1100–$1350. Difference may reflect fees, timing or scope; unresolved snapshot price excluded.</t>
        </is>
      </c>
    </row>
    <row r="82">
      <c r="A82" t="inlineStr">
        <is>
          <t>The Hub Raleigh</t>
        </is>
      </c>
      <c r="B82" t="inlineStr">
        <is>
          <t>Whole unit</t>
        </is>
      </c>
      <c r="C82" s="5" t="inlineStr">
        <is>
          <t>Whole-unit offer, outside room-only scope.</t>
        </is>
      </c>
      <c r="D82" t="inlineStr">
        <is>
          <t>ocpkrnvkk8</t>
        </is>
      </c>
      <c r="E82" t="inlineStr">
        <is>
          <t>https://offcampus.dasa.ncsu.edu/housing/property/the-hub-raleigh/ocpkrnvkk8</t>
        </is>
      </c>
      <c r="F82" s="5" t="inlineStr">
        <is>
          <t>Source pricing flag retained; automated consistency checks passed. This is not independent landlord verification.</t>
        </is>
      </c>
    </row>
    <row r="83">
      <c r="A83" t="inlineStr">
        <is>
          <t>The Reserve at Patterson Place</t>
        </is>
      </c>
      <c r="B83" t="inlineStr">
        <is>
          <t>Whole unit</t>
        </is>
      </c>
      <c r="C83" s="5" t="inlineStr">
        <is>
          <t>Outside all three five-mile areas. Search/detail price mismatch. Whole-unit offer, outside room-only scope.</t>
        </is>
      </c>
      <c r="D83" t="inlineStr">
        <is>
          <t>mc0h4yh</t>
        </is>
      </c>
      <c r="E83" t="inlineStr">
        <is>
          <t>https://offcampus.dasa.ncsu.edu/housing/property/the-reserve-at-patterson-place/mc0h4yh</t>
        </is>
      </c>
      <c r="F83" s="5" t="inlineStr">
        <is>
          <t>Source pricing flag retained; automated consistency checks passed. This is not independent landlord verification. Search summary: $1288–$2422; saved floor-plan envelope: $1238–$2422. Difference may reflect fees, timing or scope; unresolved snapshot price excluded.</t>
        </is>
      </c>
    </row>
    <row r="84">
      <c r="A84" t="inlineStr">
        <is>
          <t>Townhome at Hampton Place, Morrisville, 20 to 25 minutes from NCSU.</t>
        </is>
      </c>
      <c r="B84" t="inlineStr">
        <is>
          <t>Per bedroom</t>
        </is>
      </c>
      <c r="C84" s="5" t="inlineStr">
        <is>
          <t>Outside all three five-mile areas.</t>
        </is>
      </c>
      <c r="D84" t="inlineStr">
        <is>
          <t>ocp2bnnl9c</t>
        </is>
      </c>
      <c r="E84" t="inlineStr">
        <is>
          <t>https://offcampus.dasa.ncsu.edu/housing/property/townhome-at-hampton-place-morrisville-20-to-25-minutes-from-ncsu/ocp2bnnl9c</t>
        </is>
      </c>
      <c r="F84" s="5" t="inlineStr">
        <is>
          <t>Source pricing flag retained; automated consistency checks passed. This is not independent landlord verification.</t>
        </is>
      </c>
    </row>
    <row r="85">
      <c r="A85" t="inlineStr">
        <is>
          <t>Trellis-University Hill</t>
        </is>
      </c>
      <c r="B85" t="inlineStr">
        <is>
          <t>Whole unit</t>
        </is>
      </c>
      <c r="C85" s="5" t="inlineStr">
        <is>
          <t>Outside all three five-mile areas. Whole-unit offer, outside room-only scope.</t>
        </is>
      </c>
      <c r="D85" t="inlineStr">
        <is>
          <t>lvqgnje</t>
        </is>
      </c>
      <c r="E85" t="inlineStr">
        <is>
          <t>https://offcampus.dasa.ncsu.edu/housing/property/trellis-university-hill/lvqgnje</t>
        </is>
      </c>
      <c r="F85" s="5" t="inlineStr">
        <is>
          <t>Source pricing flag retained; automated consistency checks passed. This is not independent landlord verification.</t>
        </is>
      </c>
    </row>
    <row r="86">
      <c r="A86" t="inlineStr">
        <is>
          <t>TWO BEDROOM TOWNHOUSE IN EXCELLENT CONDITION</t>
        </is>
      </c>
      <c r="B86" t="inlineStr">
        <is>
          <t>Whole unit</t>
        </is>
      </c>
      <c r="C86" s="5" t="inlineStr">
        <is>
          <t>Whole-unit offer, outside room-only scope.</t>
        </is>
      </c>
      <c r="D86" t="inlineStr">
        <is>
          <t>ocpqsb7fkz</t>
        </is>
      </c>
      <c r="E86" t="inlineStr">
        <is>
          <t>https://offcampus.dasa.ncsu.edu/housing/property/two-bedroom-townhouse-in-excellent-condition/ocpqsb7fkz</t>
        </is>
      </c>
      <c r="F86" s="5" t="inlineStr">
        <is>
          <t>Source pricing flag retained; automated consistency checks passed. This is not independent landlord verification.</t>
        </is>
      </c>
    </row>
    <row r="87">
      <c r="A87" t="inlineStr">
        <is>
          <t>University Commons PRELEASING FOR 2026-2027</t>
        </is>
      </c>
      <c r="B87" t="inlineStr">
        <is>
          <t>Whole unit</t>
        </is>
      </c>
      <c r="C87" s="5" t="inlineStr">
        <is>
          <t>Whole-unit offer, outside room-only scope.</t>
        </is>
      </c>
      <c r="D87" t="inlineStr">
        <is>
          <t>ocpqfg7r3z</t>
        </is>
      </c>
      <c r="E87" t="inlineStr">
        <is>
          <t>https://offcampus.dasa.ncsu.edu/housing/property/university-commons-preleasing-for-2026-2027/ocpqfg7r3z</t>
        </is>
      </c>
      <c r="F87" s="5" t="inlineStr">
        <is>
          <t>Source pricing flag retained; automated consistency checks passed. This is not independent landlord verification.</t>
        </is>
      </c>
    </row>
    <row r="88">
      <c r="A88" t="inlineStr">
        <is>
          <t>University Commons, close to Wolfline Stops</t>
        </is>
      </c>
      <c r="B88" t="inlineStr">
        <is>
          <t>Whole unit</t>
        </is>
      </c>
      <c r="C88" s="5" t="inlineStr">
        <is>
          <t>Whole-unit offer, outside room-only scope.</t>
        </is>
      </c>
      <c r="D88" t="inlineStr">
        <is>
          <t>ocpqe84m5z</t>
        </is>
      </c>
      <c r="E88" t="inlineStr">
        <is>
          <t>https://offcampus.dasa.ncsu.edu/housing/property/university-commons-close-to-wolfline-stops/ocpqe84m5z</t>
        </is>
      </c>
      <c r="F88" s="5" t="inlineStr">
        <is>
          <t>Source pricing flag retained; automated consistency checks passed. This is not independent landlord verification.</t>
        </is>
      </c>
    </row>
    <row r="89">
      <c r="A89" t="inlineStr">
        <is>
          <t>Valentine Commons</t>
        </is>
      </c>
      <c r="B89" t="inlineStr">
        <is>
          <t>Review</t>
        </is>
      </c>
      <c r="C89" s="5" t="inlineStr">
        <is>
          <t>Unresolved pricing basis. Not a resolved room/per-bedroom offer.</t>
        </is>
      </c>
      <c r="D89" t="inlineStr">
        <is>
          <t>p8mlexs</t>
        </is>
      </c>
      <c r="E89" t="inlineStr">
        <is>
          <t>https://offcampus.dasa.ncsu.edu/housing/property/valentine-commons/p8mlexs</t>
        </is>
      </c>
      <c r="F89" s="5" t="inlineStr">
        <is>
          <t>Saved floor plans contain both per-bedroom and whole-unit flags. A single property range cannot be assigned a reliable common pricing basis; no division by bedroom count or price substitution.</t>
        </is>
      </c>
    </row>
    <row r="90">
      <c r="A90" t="inlineStr">
        <is>
          <t>Viceroy Apartments</t>
        </is>
      </c>
      <c r="B90" t="inlineStr">
        <is>
          <t>Whole unit</t>
        </is>
      </c>
      <c r="C90" s="5" t="inlineStr">
        <is>
          <t>Outside all three five-mile areas. Whole-unit offer, outside room-only scope.</t>
        </is>
      </c>
      <c r="D90" t="inlineStr">
        <is>
          <t>nhblm0q</t>
        </is>
      </c>
      <c r="E90" t="inlineStr">
        <is>
          <t>https://offcampus.dasa.ncsu.edu/housing/property/viceroy-apartments/nhblm0q</t>
        </is>
      </c>
      <c r="F90" s="5" t="inlineStr">
        <is>
          <t>Source pricing flag retained; automated consistency checks passed. This is not independent landlord verification.</t>
        </is>
      </c>
    </row>
    <row r="91">
      <c r="A91" t="inlineStr">
        <is>
          <t>Wesley</t>
        </is>
      </c>
      <c r="B91" t="inlineStr">
        <is>
          <t>Whole unit</t>
        </is>
      </c>
      <c r="C91" s="5" t="inlineStr">
        <is>
          <t>Whole-unit offer, outside room-only scope.</t>
        </is>
      </c>
      <c r="D91" t="inlineStr">
        <is>
          <t>seyb987</t>
        </is>
      </c>
      <c r="E91" t="inlineStr">
        <is>
          <t>https://offcampus.dasa.ncsu.edu/housing/property/wesley/seyb987</t>
        </is>
      </c>
      <c r="F91" s="5" t="inlineStr">
        <is>
          <t>Source pricing flag retained; automated consistency checks passed. This is not independent landlord verification.</t>
        </is>
      </c>
    </row>
    <row r="92">
      <c r="A92" t="inlineStr">
        <is>
          <t>Willow Bend Apartments</t>
        </is>
      </c>
      <c r="B92" t="inlineStr">
        <is>
          <t>Whole unit</t>
        </is>
      </c>
      <c r="C92" s="5" t="inlineStr">
        <is>
          <t>Outside all three five-mile areas. Whole-unit offer, outside room-only scope.</t>
        </is>
      </c>
      <c r="D92" t="inlineStr">
        <is>
          <t>gky0hgw</t>
        </is>
      </c>
      <c r="E92" t="inlineStr">
        <is>
          <t>https://offcampus.dasa.ncsu.edu/housing/property/willow-bend-apartments/gky0hgw</t>
        </is>
      </c>
      <c r="F92" s="5" t="inlineStr">
        <is>
          <t>Source pricing flag retained; automated consistency checks passed. This is not independent landlord verification.</t>
        </is>
      </c>
    </row>
    <row r="93">
      <c r="A93" t="inlineStr">
        <is>
          <t>Yugo Raleigh Logan</t>
        </is>
      </c>
      <c r="B93" t="inlineStr">
        <is>
          <t>Review</t>
        </is>
      </c>
      <c r="C93" s="5" t="inlineStr">
        <is>
          <t>Unresolved pricing basis. Not a resolved room/per-bedroom offer.</t>
        </is>
      </c>
      <c r="D93" t="inlineStr">
        <is>
          <t>zfcjzqy</t>
        </is>
      </c>
      <c r="E93" t="inlineStr">
        <is>
          <t>https://offcampus.dasa.ncsu.edu/housing/property/yugo-raleigh-logan/zfcjzqy</t>
        </is>
      </c>
      <c r="F93" s="5" t="inlineStr">
        <is>
          <t>Saved floor plans contain both per-bedroom and whole-unit flags. A single property range cannot be assigned a reliable common pricing basis; no division by bedroom count or price substitution.</t>
        </is>
      </c>
    </row>
  </sheetData>
  <autoFilter ref="A1:F9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6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36" customWidth="1" min="2" max="2"/>
    <col width="5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18" customWidth="1" min="12" max="12"/>
    <col width="16" customWidth="1" min="13" max="13"/>
    <col width="18" customWidth="1" min="14" max="14"/>
    <col width="16" customWidth="1" min="15" max="15"/>
    <col width="10" customWidth="1" min="16" max="16"/>
    <col width="12" customWidth="1" min="17" max="17"/>
    <col width="72" customWidth="1" min="18" max="18"/>
  </cols>
  <sheetData>
    <row r="1">
      <c r="A1" s="1" t="inlineStr">
        <is>
          <t>Listing ID</t>
        </is>
      </c>
      <c r="B1" s="1" t="inlineStr">
        <is>
          <t>Listing name</t>
        </is>
      </c>
      <c r="C1" s="1" t="inlineStr">
        <is>
          <t>Source URL</t>
        </is>
      </c>
      <c r="D1" s="1" t="inlineStr">
        <is>
          <t>Reviewed basis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Low ($/mo)</t>
        </is>
      </c>
      <c r="H1" s="1" t="inlineStr">
        <is>
          <t>High ($/mo)</t>
        </is>
      </c>
      <c r="I1" s="1" t="inlineStr">
        <is>
          <t>Midpoint ($/mo)</t>
        </is>
      </c>
      <c r="J1" s="1" t="inlineStr">
        <is>
          <t>Main distance (mi)</t>
        </is>
      </c>
      <c r="K1" s="1" t="inlineStr">
        <is>
          <t>Main band</t>
        </is>
      </c>
      <c r="L1" s="1" t="inlineStr">
        <is>
          <t>Centennial distance (mi)</t>
        </is>
      </c>
      <c r="M1" s="1" t="inlineStr">
        <is>
          <t>Centennial band</t>
        </is>
      </c>
      <c r="N1" s="1" t="inlineStr">
        <is>
          <t>Biomedical distance (mi)</t>
        </is>
      </c>
      <c r="O1" s="1" t="inlineStr">
        <is>
          <t>Biomedical band</t>
        </is>
      </c>
      <c r="P1" s="1" t="inlineStr">
        <is>
          <t>In union</t>
        </is>
      </c>
      <c r="Q1" s="1" t="inlineStr">
        <is>
          <t>Room audit</t>
        </is>
      </c>
      <c r="R1" s="1" t="inlineStr">
        <is>
          <t>Review status / reason</t>
        </is>
      </c>
    </row>
    <row r="2">
      <c r="A2" t="inlineStr">
        <is>
          <t>kele8mc</t>
        </is>
      </c>
      <c r="B2" t="inlineStr">
        <is>
          <t>Lofts at Lakeview</t>
        </is>
      </c>
      <c r="C2" t="inlineStr">
        <is>
          <t>https://offcampus.dasa.ncsu.edu/housing/property/lofts-at-lakeview/kele8mc</t>
        </is>
      </c>
      <c r="D2" t="inlineStr">
        <is>
          <t>Whole unit</t>
        </is>
      </c>
      <c r="E2" s="3" t="n">
        <v>36.009311</v>
      </c>
      <c r="F2" s="3" t="n">
        <v>-78.94637</v>
      </c>
      <c r="G2" s="2" t="n">
        <v>1595</v>
      </c>
      <c r="H2" s="2" t="n">
        <v>2995</v>
      </c>
      <c r="I2" s="2">
        <f>(G2+H2)/2</f>
        <v/>
      </c>
      <c r="J2" s="3" t="n">
        <v>21.71627375014011</v>
      </c>
      <c r="K2" t="inlineStr">
        <is>
          <t>Outside 5 mi</t>
        </is>
      </c>
      <c r="L2" s="3" t="n">
        <v>22.42522403224381</v>
      </c>
      <c r="M2" t="inlineStr">
        <is>
          <t>Outside 5 mi</t>
        </is>
      </c>
      <c r="N2" s="3" t="n">
        <v>19.90201780848207</v>
      </c>
      <c r="O2" t="inlineStr">
        <is>
          <t>Outside 5 mi</t>
        </is>
      </c>
      <c r="P2" t="n">
        <v>0</v>
      </c>
      <c r="Q2" t="n">
        <v>0</v>
      </c>
      <c r="R2" s="5" t="inlineStr">
        <is>
          <t>Included in rent means | Source pricing flag retained; automated consistency checks passed. This is not independent landlord verification.</t>
        </is>
      </c>
    </row>
    <row r="3">
      <c r="A3" t="inlineStr">
        <is>
          <t>ocpet5b7hm</t>
        </is>
      </c>
      <c r="B3" t="inlineStr">
        <is>
          <t>Modern/High Ceilings 2bed/2 bath</t>
        </is>
      </c>
      <c r="C3" t="inlineStr">
        <is>
          <t>https://offcampus.dasa.ncsu.edu/housing/property/modern-high-ceilings-2bed-2-bath/ocpet5b7hm</t>
        </is>
      </c>
      <c r="D3" t="inlineStr">
        <is>
          <t>Per bedroom</t>
        </is>
      </c>
      <c r="E3" s="3" t="n">
        <v>35.787311</v>
      </c>
      <c r="F3" s="3" t="n">
        <v>-78.666093</v>
      </c>
      <c r="G3" s="2" t="n">
        <v>1250</v>
      </c>
      <c r="H3" s="2" t="n">
        <v>1250</v>
      </c>
      <c r="I3" s="2">
        <f>(G3+H3)/2</f>
        <v/>
      </c>
      <c r="J3" s="3" t="n">
        <v>1.026552005179509</v>
      </c>
      <c r="K3" t="inlineStr">
        <is>
          <t>&gt;1–3 mi</t>
        </is>
      </c>
      <c r="L3" s="3" t="n">
        <v>1.436100696139635</v>
      </c>
      <c r="M3" t="inlineStr">
        <is>
          <t>&gt;1–3 mi</t>
        </is>
      </c>
      <c r="N3" s="3" t="n">
        <v>2.26426412281224</v>
      </c>
      <c r="O3" t="inlineStr">
        <is>
          <t>&gt;1–3 mi</t>
        </is>
      </c>
      <c r="P3" t="n">
        <v>1</v>
      </c>
      <c r="Q3" t="n">
        <v>1</v>
      </c>
      <c r="R3" s="5" t="inlineStr">
        <is>
          <t>Included in rent means | Source pricing flag retained; automated consistency checks passed. This is not independent landlord verification.</t>
        </is>
      </c>
    </row>
    <row r="4">
      <c r="A4" t="inlineStr">
        <is>
          <t>59xvx3n</t>
        </is>
      </c>
      <c r="B4" t="inlineStr">
        <is>
          <t>Aventura RTP</t>
        </is>
      </c>
      <c r="C4" t="inlineStr">
        <is>
          <t>https://offcampus.dasa.ncsu.edu/housing/property/aventura-rtp/59xvx3n</t>
        </is>
      </c>
      <c r="D4" t="inlineStr">
        <is>
          <t>Whole unit</t>
        </is>
      </c>
      <c r="E4" s="3" t="n">
        <v>35.894098</v>
      </c>
      <c r="F4" s="3" t="n">
        <v>-78.846917</v>
      </c>
      <c r="G4" s="2" t="n">
        <v>1149</v>
      </c>
      <c r="H4" s="2" t="n">
        <v>1946</v>
      </c>
      <c r="I4" s="2">
        <f>(G4+H4)/2</f>
        <v/>
      </c>
      <c r="J4" s="3" t="n">
        <v>12.17976133557415</v>
      </c>
      <c r="K4" t="inlineStr">
        <is>
          <t>Outside 5 mi</t>
        </is>
      </c>
      <c r="L4" s="3" t="n">
        <v>12.85038495652786</v>
      </c>
      <c r="M4" t="inlineStr">
        <is>
          <t>Outside 5 mi</t>
        </is>
      </c>
      <c r="N4" s="3" t="n">
        <v>10.37558316876015</v>
      </c>
      <c r="O4" t="inlineStr">
        <is>
          <t>Outside 5 mi</t>
        </is>
      </c>
      <c r="P4" t="n">
        <v>0</v>
      </c>
      <c r="Q4" t="n">
        <v>0</v>
      </c>
      <c r="R4" s="5" t="inlineStr">
        <is>
          <t>Included in rent means | Source pricing flag retained; automated consistency checks passed. This is not independent landlord verification.</t>
        </is>
      </c>
    </row>
    <row r="5">
      <c r="A5" t="inlineStr">
        <is>
          <t>ocpvcjy8we</t>
        </is>
      </c>
      <c r="B5" t="inlineStr">
        <is>
          <t>Rare 4 bedroom 4 full bath only $2200. per month</t>
        </is>
      </c>
      <c r="C5" t="inlineStr">
        <is>
          <t>https://offcampus.dasa.ncsu.edu/housing/property/rare-4-bedroom-4-full-bath-only-2200-per-month/ocpvcjy8we</t>
        </is>
      </c>
      <c r="D5" t="inlineStr">
        <is>
          <t>Whole unit</t>
        </is>
      </c>
      <c r="E5" s="3" t="n">
        <v>35.762584</v>
      </c>
      <c r="F5" s="3" t="n">
        <v>-78.703352</v>
      </c>
      <c r="G5" s="2" t="n">
        <v>2200</v>
      </c>
      <c r="H5" s="2" t="n">
        <v>2200</v>
      </c>
      <c r="I5" s="2">
        <f>(G5+H5)/2</f>
        <v/>
      </c>
      <c r="J5" s="3" t="n">
        <v>1.686330666296966</v>
      </c>
      <c r="K5" t="inlineStr">
        <is>
          <t>&gt;1–3 mi</t>
        </is>
      </c>
      <c r="L5" s="3" t="n">
        <v>1.509698038259</v>
      </c>
      <c r="M5" t="inlineStr">
        <is>
          <t>&gt;1–3 mi</t>
        </is>
      </c>
      <c r="N5" s="3" t="n">
        <v>2.479822200584811</v>
      </c>
      <c r="O5" t="inlineStr">
        <is>
          <t>&gt;1–3 mi</t>
        </is>
      </c>
      <c r="P5" t="n">
        <v>1</v>
      </c>
      <c r="Q5" t="n">
        <v>0</v>
      </c>
      <c r="R5" s="5" t="inlineStr">
        <is>
          <t>Included in rent means | Source pricing flag retained; automated consistency checks passed. This is not independent landlord verification.</t>
        </is>
      </c>
    </row>
    <row r="6">
      <c r="A6" t="inlineStr">
        <is>
          <t>7e6kx1w</t>
        </is>
      </c>
      <c r="B6" t="inlineStr">
        <is>
          <t>Centennial Ridge Student Housing</t>
        </is>
      </c>
      <c r="C6" t="inlineStr">
        <is>
          <t>https://offcampus.dasa.ncsu.edu/housing/property/centennial-ridge-student-housing/7e6kx1w</t>
        </is>
      </c>
      <c r="D6" t="inlineStr">
        <is>
          <t>Per bedroom</t>
        </is>
      </c>
      <c r="E6" s="3" t="n">
        <v>35.745958</v>
      </c>
      <c r="F6" s="3" t="n">
        <v>-78.69065000000001</v>
      </c>
      <c r="G6" s="2" t="n">
        <v>599</v>
      </c>
      <c r="H6" s="2" t="n">
        <v>2157</v>
      </c>
      <c r="I6" s="2">
        <f>(G6+H6)/2</f>
        <v/>
      </c>
      <c r="J6" s="3" t="n">
        <v>2.372144719109037</v>
      </c>
      <c r="K6" t="inlineStr">
        <is>
          <t>&gt;1–3 mi</t>
        </is>
      </c>
      <c r="L6" s="3" t="n">
        <v>1.735707809988741</v>
      </c>
      <c r="M6" t="inlineStr">
        <is>
          <t>&gt;1–3 mi</t>
        </is>
      </c>
      <c r="N6" s="3" t="n">
        <v>3.70552171192015</v>
      </c>
      <c r="O6" t="inlineStr">
        <is>
          <t>&gt;3–5 mi</t>
        </is>
      </c>
      <c r="P6" t="n">
        <v>1</v>
      </c>
      <c r="Q6" t="n">
        <v>1</v>
      </c>
      <c r="R6" s="5" t="inlineStr">
        <is>
          <t>Included in rent means | Portal explicitly labels the entire $599–$2,157 range per bedroom (reviewed September 13). Retained as reported, but the high endpoint needs landlord confirmation. Sensitivity results also omit this listing; no assumed division by three.</t>
        </is>
      </c>
    </row>
    <row r="7">
      <c r="A7" t="inlineStr">
        <is>
          <t>ocpw46rjcl</t>
        </is>
      </c>
      <c r="B7" t="inlineStr">
        <is>
          <t>Brand New Luxury Furnished Townhome | 4 Bed /  3.5 Bath | 5 Min to NC State &amp; 3 Mins to Fenton +shop</t>
        </is>
      </c>
      <c r="C7" t="inlineStr">
        <is>
          <t>https://offcampus.dasa.ncsu.edu/housing/property/brand-new-luxury-furnished-townhome-4-bed-3-5-bath-5-min-to-nc-state-and-3-mins-to-fenton-shop/ocpw46rjcl</t>
        </is>
      </c>
      <c r="D7" t="inlineStr">
        <is>
          <t>Per bedroom</t>
        </is>
      </c>
      <c r="E7" s="3" t="n">
        <v>35.774826</v>
      </c>
      <c r="F7" s="3" t="n">
        <v>-78.740894</v>
      </c>
      <c r="G7" s="2" t="n">
        <v>900</v>
      </c>
      <c r="H7" s="2" t="n">
        <v>1050</v>
      </c>
      <c r="I7" s="2">
        <f>(G7+H7)/2</f>
        <v/>
      </c>
      <c r="J7" s="3" t="n">
        <v>3.334997029797161</v>
      </c>
      <c r="K7" t="inlineStr">
        <is>
          <t>&gt;3–5 mi</t>
        </is>
      </c>
      <c r="L7" s="3" t="n">
        <v>3.578926701741286</v>
      </c>
      <c r="M7" t="inlineStr">
        <is>
          <t>&gt;3–5 mi</t>
        </is>
      </c>
      <c r="N7" s="3" t="n">
        <v>2.631786902208467</v>
      </c>
      <c r="O7" t="inlineStr">
        <is>
          <t>&gt;1–3 mi</t>
        </is>
      </c>
      <c r="P7" t="n">
        <v>1</v>
      </c>
      <c r="Q7" t="n">
        <v>1</v>
      </c>
      <c r="R7" s="5" t="inlineStr">
        <is>
          <t>Included in rent means | Source pricing flag retained; automated consistency checks passed. This is not independent landlord verification.</t>
        </is>
      </c>
    </row>
    <row r="8">
      <c r="A8" t="inlineStr">
        <is>
          <t>mc0h4yh</t>
        </is>
      </c>
      <c r="B8" t="inlineStr">
        <is>
          <t>The Reserve at Patterson Place</t>
        </is>
      </c>
      <c r="C8" t="inlineStr">
        <is>
          <t>https://offcampus.dasa.ncsu.edu/housing/property/the-reserve-at-patterson-place/mc0h4yh</t>
        </is>
      </c>
      <c r="D8" t="inlineStr">
        <is>
          <t>Whole unit</t>
        </is>
      </c>
      <c r="E8" s="3" t="n">
        <v>35.950566</v>
      </c>
      <c r="F8" s="3" t="n">
        <v>-78.98330300000001</v>
      </c>
      <c r="G8" s="2" t="n">
        <v>1288</v>
      </c>
      <c r="H8" s="2" t="n">
        <v>2422</v>
      </c>
      <c r="I8" s="2">
        <f>(G8+H8)/2</f>
        <v/>
      </c>
      <c r="J8" s="3" t="n">
        <v>20.61353210511852</v>
      </c>
      <c r="K8" t="inlineStr">
        <is>
          <t>Outside 5 mi</t>
        </is>
      </c>
      <c r="L8" s="3" t="n">
        <v>21.23984356529508</v>
      </c>
      <c r="M8" t="inlineStr">
        <is>
          <t>Outside 5 mi</t>
        </is>
      </c>
      <c r="N8" s="3" t="n">
        <v>18.83659831244911</v>
      </c>
      <c r="O8" t="inlineStr">
        <is>
          <t>Outside 5 mi</t>
        </is>
      </c>
      <c r="P8" t="n">
        <v>0</v>
      </c>
      <c r="Q8" t="n">
        <v>0</v>
      </c>
      <c r="R8" s="5" t="inlineStr">
        <is>
          <t>Excluded from rent means | Search/detail price mismatch | Source pricing flag retained; automated consistency checks passed. This is not independent landlord verification. Search summary: $1288–$2422; saved floor-plan envelope: $1238–$2422. Difference may reflect fees, timing or scope; unresolved snapshot price excluded.</t>
        </is>
      </c>
    </row>
    <row r="9">
      <c r="A9" t="inlineStr">
        <is>
          <t>ocpchygggd</t>
        </is>
      </c>
      <c r="B9" t="inlineStr">
        <is>
          <t>Hurry 2 Rooms Left! – 4BR/4BA Condo Near NC State  – All Utilities &amp; Internet Included!</t>
        </is>
      </c>
      <c r="C9" t="inlineStr">
        <is>
          <t>https://offcampus.dasa.ncsu.edu/housing/property/hurry-2-rooms-left-4br-4ba-condo-near-nc-state-all-utilities-and-internet-included/ocpchygggd</t>
        </is>
      </c>
      <c r="D9" t="inlineStr">
        <is>
          <t>Per bedroom</t>
        </is>
      </c>
      <c r="E9" s="3" t="n">
        <v>35.749382</v>
      </c>
      <c r="F9" s="3" t="n">
        <v>-78.69395</v>
      </c>
      <c r="G9" s="2" t="n">
        <v>695</v>
      </c>
      <c r="H9" s="2" t="n">
        <v>695</v>
      </c>
      <c r="I9" s="2">
        <f>(G9+H9)/2</f>
        <v/>
      </c>
      <c r="J9" s="3" t="n">
        <v>2.192366298283417</v>
      </c>
      <c r="K9" t="inlineStr">
        <is>
          <t>&gt;1–3 mi</t>
        </is>
      </c>
      <c r="L9" s="3" t="n">
        <v>1.622412333916784</v>
      </c>
      <c r="M9" t="inlineStr">
        <is>
          <t>&gt;1–3 mi</t>
        </is>
      </c>
      <c r="N9" s="3" t="n">
        <v>3.43886765110602</v>
      </c>
      <c r="O9" t="inlineStr">
        <is>
          <t>&gt;3–5 mi</t>
        </is>
      </c>
      <c r="P9" t="n">
        <v>1</v>
      </c>
      <c r="Q9" t="n">
        <v>1</v>
      </c>
      <c r="R9" s="5" t="inlineStr">
        <is>
          <t>Included in rent means | Source pricing flag retained; automated consistency checks passed. This is not independent landlord verification.</t>
        </is>
      </c>
    </row>
    <row r="10">
      <c r="A10" t="inlineStr">
        <is>
          <t>es0855q</t>
        </is>
      </c>
      <c r="B10" t="inlineStr">
        <is>
          <t>Maxwell Raleigh</t>
        </is>
      </c>
      <c r="C10" t="inlineStr">
        <is>
          <t>https://offcampus.dasa.ncsu.edu/housing/property/maxwell-raleigh/es0855q</t>
        </is>
      </c>
      <c r="D10" t="inlineStr">
        <is>
          <t>Review</t>
        </is>
      </c>
      <c r="E10" s="3" t="n">
        <v>35.78944</v>
      </c>
      <c r="F10" s="3" t="n">
        <v>-78.678155</v>
      </c>
      <c r="G10" s="2" t="n">
        <v>799</v>
      </c>
      <c r="H10" s="2" t="n">
        <v>1899</v>
      </c>
      <c r="I10" s="2">
        <f>(G10+H10)/2</f>
        <v/>
      </c>
      <c r="J10" s="3" t="n">
        <v>0.7139793622917193</v>
      </c>
      <c r="K10" t="inlineStr">
        <is>
          <t>0–1 mi</t>
        </is>
      </c>
      <c r="L10" s="3" t="n">
        <v>1.433467780626903</v>
      </c>
      <c r="M10" t="inlineStr">
        <is>
          <t>&gt;1–3 mi</t>
        </is>
      </c>
      <c r="N10" s="3" t="n">
        <v>1.581221781547728</v>
      </c>
      <c r="O10" t="inlineStr">
        <is>
          <t>&gt;1–3 mi</t>
        </is>
      </c>
      <c r="P10" t="n">
        <v>1</v>
      </c>
      <c r="Q10" t="n">
        <v>0</v>
      </c>
      <c r="R10" s="5" t="inlineStr">
        <is>
          <t>Excluded from rent means | Unresolved pricing basis | Saved floor plans contain both per-bedroom and whole-unit flags. A single property range cannot be assigned a reliable common pricing basis; no division by bedroom count or price substitution.</t>
        </is>
      </c>
    </row>
    <row r="11">
      <c r="A11" t="inlineStr">
        <is>
          <t>ocpesl9n3p</t>
        </is>
      </c>
      <c r="B11" t="inlineStr">
        <is>
          <t>maisonNC --- Fully Furnished minutes away from Wolfline and Shopping</t>
        </is>
      </c>
      <c r="C11" t="inlineStr">
        <is>
          <t>https://offcampus.dasa.ncsu.edu/housing/property/maisonnc-fully-furnished-minutes-away-from-wolfline-and-shopping/ocpesl9n3p</t>
        </is>
      </c>
      <c r="D11" t="inlineStr">
        <is>
          <t>Per bedroom</t>
        </is>
      </c>
      <c r="E11" s="3" t="n">
        <v>35.763398</v>
      </c>
      <c r="F11" s="3" t="n">
        <v>-78.702658</v>
      </c>
      <c r="G11" s="2" t="n">
        <v>750</v>
      </c>
      <c r="H11" s="2" t="n">
        <v>750</v>
      </c>
      <c r="I11" s="2">
        <f>(G11+H11)/2</f>
        <v/>
      </c>
      <c r="J11" s="3" t="n">
        <v>1.619349362280746</v>
      </c>
      <c r="K11" t="inlineStr">
        <is>
          <t>&gt;1–3 mi</t>
        </is>
      </c>
      <c r="L11" s="3" t="n">
        <v>1.45723337788544</v>
      </c>
      <c r="M11" t="inlineStr">
        <is>
          <t>&gt;1–3 mi</t>
        </is>
      </c>
      <c r="N11" s="3" t="n">
        <v>2.424554918753891</v>
      </c>
      <c r="O11" t="inlineStr">
        <is>
          <t>&gt;1–3 mi</t>
        </is>
      </c>
      <c r="P11" t="n">
        <v>1</v>
      </c>
      <c r="Q11" t="n">
        <v>1</v>
      </c>
      <c r="R11" s="5" t="inlineStr">
        <is>
          <t>Included in rent means | Source pricing flag retained; automated consistency checks passed. This is not independent landlord verification.</t>
        </is>
      </c>
    </row>
    <row r="12">
      <c r="A12" t="inlineStr">
        <is>
          <t>lvqgnje</t>
        </is>
      </c>
      <c r="B12" t="inlineStr">
        <is>
          <t>Trellis-University Hill</t>
        </is>
      </c>
      <c r="C12" t="inlineStr">
        <is>
          <t>https://offcampus.dasa.ncsu.edu/housing/property/trellis-university-hill/lvqgnje</t>
        </is>
      </c>
      <c r="D12" t="inlineStr">
        <is>
          <t>Whole unit</t>
        </is>
      </c>
      <c r="E12" s="3" t="n">
        <v>35.973823</v>
      </c>
      <c r="F12" s="3" t="n">
        <v>-78.96309599999999</v>
      </c>
      <c r="G12" s="2" t="n">
        <v>1400</v>
      </c>
      <c r="H12" s="2" t="n">
        <v>1625</v>
      </c>
      <c r="I12" s="2">
        <f>(G12+H12)/2</f>
        <v/>
      </c>
      <c r="J12" s="3" t="n">
        <v>20.69958244864529</v>
      </c>
      <c r="K12" t="inlineStr">
        <is>
          <t>Outside 5 mi</t>
        </is>
      </c>
      <c r="L12" s="3" t="n">
        <v>21.36701740449956</v>
      </c>
      <c r="M12" t="inlineStr">
        <is>
          <t>Outside 5 mi</t>
        </is>
      </c>
      <c r="N12" s="3" t="n">
        <v>18.89496921982667</v>
      </c>
      <c r="O12" t="inlineStr">
        <is>
          <t>Outside 5 mi</t>
        </is>
      </c>
      <c r="P12" t="n">
        <v>0</v>
      </c>
      <c r="Q12" t="n">
        <v>0</v>
      </c>
      <c r="R12" s="5" t="inlineStr">
        <is>
          <t>Included in rent means | Source pricing flag retained; automated consistency checks passed. This is not independent landlord verification.</t>
        </is>
      </c>
    </row>
    <row r="13">
      <c r="A13" t="inlineStr">
        <is>
          <t>ocpcm3jede</t>
        </is>
      </c>
      <c r="B13" t="inlineStr">
        <is>
          <t>maisonNC --- Fully Furnished minutes away from Wolfline and Shopping</t>
        </is>
      </c>
      <c r="C13" t="inlineStr">
        <is>
          <t>https://offcampus.dasa.ncsu.edu/housing/property/maisonnc-fully-furnished-minutes-away-from-wolfline-and-shopping/ocpcm3jede</t>
        </is>
      </c>
      <c r="D13" t="inlineStr">
        <is>
          <t>Per bedroom</t>
        </is>
      </c>
      <c r="E13" s="3" t="n">
        <v>35.762694</v>
      </c>
      <c r="F13" s="3" t="n">
        <v>-78.701312</v>
      </c>
      <c r="G13" s="2" t="n">
        <v>750</v>
      </c>
      <c r="H13" s="2" t="n">
        <v>750</v>
      </c>
      <c r="I13" s="2">
        <f>(G13+H13)/2</f>
        <v/>
      </c>
      <c r="J13" s="3" t="n">
        <v>1.600371218003415</v>
      </c>
      <c r="K13" t="inlineStr">
        <is>
          <t>&gt;1–3 mi</t>
        </is>
      </c>
      <c r="L13" s="3" t="n">
        <v>1.39799063919996</v>
      </c>
      <c r="M13" t="inlineStr">
        <is>
          <t>&gt;1–3 mi</t>
        </is>
      </c>
      <c r="N13" s="3" t="n">
        <v>2.476750702403235</v>
      </c>
      <c r="O13" t="inlineStr">
        <is>
          <t>&gt;1–3 mi</t>
        </is>
      </c>
      <c r="P13" t="n">
        <v>1</v>
      </c>
      <c r="Q13" t="n">
        <v>1</v>
      </c>
      <c r="R13" s="5" t="inlineStr">
        <is>
          <t>Included in rent means | Source pricing flag retained; automated consistency checks passed. This is not independent landlord verification.</t>
        </is>
      </c>
    </row>
    <row r="14">
      <c r="A14" t="inlineStr">
        <is>
          <t>seyb987</t>
        </is>
      </c>
      <c r="B14" t="inlineStr">
        <is>
          <t>Wesley</t>
        </is>
      </c>
      <c r="C14" t="inlineStr">
        <is>
          <t>https://offcampus.dasa.ncsu.edu/housing/property/wesley/seyb987</t>
        </is>
      </c>
      <c r="D14" t="inlineStr">
        <is>
          <t>Whole unit</t>
        </is>
      </c>
      <c r="E14" s="3" t="n">
        <v>35.779833</v>
      </c>
      <c r="F14" s="3" t="n">
        <v>-78.74153699999999</v>
      </c>
      <c r="G14" s="2" t="n">
        <v>1240</v>
      </c>
      <c r="H14" s="2" t="n">
        <v>2160</v>
      </c>
      <c r="I14" s="2">
        <f>(G14+H14)/2</f>
        <v/>
      </c>
      <c r="J14" s="3" t="n">
        <v>3.355269030920133</v>
      </c>
      <c r="K14" t="inlineStr">
        <is>
          <t>&gt;3–5 mi</t>
        </is>
      </c>
      <c r="L14" s="3" t="n">
        <v>3.671232195629428</v>
      </c>
      <c r="M14" t="inlineStr">
        <is>
          <t>&gt;3–5 mi</t>
        </is>
      </c>
      <c r="N14" s="3" t="n">
        <v>2.462805095869074</v>
      </c>
      <c r="O14" t="inlineStr">
        <is>
          <t>&gt;1–3 mi</t>
        </is>
      </c>
      <c r="P14" t="n">
        <v>1</v>
      </c>
      <c r="Q14" t="n">
        <v>0</v>
      </c>
      <c r="R14" s="5" t="inlineStr">
        <is>
          <t>Included in rent means | Source pricing flag retained; automated consistency checks passed. This is not independent landlord verification.</t>
        </is>
      </c>
    </row>
    <row r="15">
      <c r="A15" t="inlineStr">
        <is>
          <t>ocpnx5c0kn</t>
        </is>
      </c>
      <c r="B15" t="inlineStr">
        <is>
          <t>Modern &amp; spacious 3BR/3BA Apartment w/View</t>
        </is>
      </c>
      <c r="C15" t="inlineStr">
        <is>
          <t>https://offcampus.dasa.ncsu.edu/housing/property/modern-and-spacious-3br-3ba-apartment-w-view/ocpnx5c0kn</t>
        </is>
      </c>
      <c r="D15" t="inlineStr">
        <is>
          <t>Per bedroom</t>
        </is>
      </c>
      <c r="E15" s="3" t="n">
        <v>35.78754</v>
      </c>
      <c r="F15" s="3" t="n">
        <v>-78.666068</v>
      </c>
      <c r="G15" s="2" t="n">
        <v>1000</v>
      </c>
      <c r="H15" s="2" t="n">
        <v>1000</v>
      </c>
      <c r="I15" s="2">
        <f>(G15+H15)/2</f>
        <v/>
      </c>
      <c r="J15" s="3" t="n">
        <v>1.036129373063005</v>
      </c>
      <c r="K15" t="inlineStr">
        <is>
          <t>&gt;1–3 mi</t>
        </is>
      </c>
      <c r="L15" s="3" t="n">
        <v>1.450903306797081</v>
      </c>
      <c r="M15" t="inlineStr">
        <is>
          <t>&gt;1–3 mi</t>
        </is>
      </c>
      <c r="N15" s="3" t="n">
        <v>2.260243009187045</v>
      </c>
      <c r="O15" t="inlineStr">
        <is>
          <t>&gt;1–3 mi</t>
        </is>
      </c>
      <c r="P15" t="n">
        <v>1</v>
      </c>
      <c r="Q15" t="n">
        <v>1</v>
      </c>
      <c r="R15" s="5" t="inlineStr">
        <is>
          <t>Included in rent means | Source pricing flag retained; automated consistency checks passed. This is not independent landlord verification.</t>
        </is>
      </c>
    </row>
    <row r="16">
      <c r="A16" t="inlineStr">
        <is>
          <t>ll5gb9f</t>
        </is>
      </c>
      <c r="B16" t="inlineStr">
        <is>
          <t>Rhyne's Gate Apartments</t>
        </is>
      </c>
      <c r="C16" t="inlineStr">
        <is>
          <t>https://offcampus.dasa.ncsu.edu/housing/property/rhynes-gate-apartments/ll5gb9f</t>
        </is>
      </c>
      <c r="D16" t="inlineStr">
        <is>
          <t>Whole unit</t>
        </is>
      </c>
      <c r="E16" s="3" t="n">
        <v>35.783346</v>
      </c>
      <c r="F16" s="3" t="n">
        <v>-78.688047</v>
      </c>
      <c r="G16" s="2" t="n">
        <v>1150</v>
      </c>
      <c r="H16" s="2" t="n">
        <v>1150</v>
      </c>
      <c r="I16" s="2">
        <f>(G16+H16)/2</f>
        <v/>
      </c>
      <c r="J16" s="3" t="n">
        <v>0.4445382020202062</v>
      </c>
      <c r="K16" t="inlineStr">
        <is>
          <t>0–1 mi</t>
        </is>
      </c>
      <c r="L16" s="3" t="n">
        <v>1.171994986838005</v>
      </c>
      <c r="M16" t="inlineStr">
        <is>
          <t>&gt;1–3 mi</t>
        </is>
      </c>
      <c r="N16" s="3" t="n">
        <v>1.378188630501841</v>
      </c>
      <c r="O16" t="inlineStr">
        <is>
          <t>&gt;1–3 mi</t>
        </is>
      </c>
      <c r="P16" t="n">
        <v>1</v>
      </c>
      <c r="Q16" t="n">
        <v>0</v>
      </c>
      <c r="R16" s="5" t="inlineStr">
        <is>
          <t>Included in rent means | Source pricing flag retained; automated consistency checks passed. This is not independent landlord verification.</t>
        </is>
      </c>
    </row>
    <row r="17">
      <c r="A17" t="inlineStr">
        <is>
          <t>ocp5ey2bmq</t>
        </is>
      </c>
      <c r="B17" t="inlineStr">
        <is>
          <t>Furnished Studio/ADU | Olde Raleigh | Parking | Fast Wi-Fi</t>
        </is>
      </c>
      <c r="C17" t="inlineStr">
        <is>
          <t>https://offcampus.dasa.ncsu.edu/housing/property/furnished-studio-adu-olde-raleigh-parking-fast-wi-fi/ocp5ey2bmq</t>
        </is>
      </c>
      <c r="D17" t="inlineStr">
        <is>
          <t>Whole unit</t>
        </is>
      </c>
      <c r="E17" s="3" t="n">
        <v>35.878112</v>
      </c>
      <c r="F17" s="3" t="n">
        <v>-78.720793</v>
      </c>
      <c r="G17" s="2" t="n">
        <v>1875</v>
      </c>
      <c r="H17" s="2" t="n">
        <v>1875</v>
      </c>
      <c r="I17" s="2">
        <f>(G17+H17)/2</f>
        <v/>
      </c>
      <c r="J17" s="3" t="n">
        <v>7.156417788019122</v>
      </c>
      <c r="K17" t="inlineStr">
        <is>
          <t>Outside 5 mi</t>
        </is>
      </c>
      <c r="L17" s="3" t="n">
        <v>7.939194036949858</v>
      </c>
      <c r="M17" t="inlineStr">
        <is>
          <t>Outside 5 mi</t>
        </is>
      </c>
      <c r="N17" s="3" t="n">
        <v>5.581797855088674</v>
      </c>
      <c r="O17" t="inlineStr">
        <is>
          <t>Outside 5 mi</t>
        </is>
      </c>
      <c r="P17" t="n">
        <v>0</v>
      </c>
      <c r="Q17" t="n">
        <v>0</v>
      </c>
      <c r="R17" s="5" t="inlineStr">
        <is>
          <t>Included in rent means | Source pricing flag retained; automated consistency checks passed. This is not independent landlord verification.</t>
        </is>
      </c>
    </row>
    <row r="18">
      <c r="A18" t="inlineStr">
        <is>
          <t>70rqkwy</t>
        </is>
      </c>
      <c r="B18" t="inlineStr">
        <is>
          <t>Brook Hill Townhouse - Students Save Up to 10%</t>
        </is>
      </c>
      <c r="C18" t="inlineStr">
        <is>
          <t>https://offcampus.dasa.ncsu.edu/housing/property/brook-hill-townhouse-students-save-up-to-10/70rqkwy</t>
        </is>
      </c>
      <c r="D18" t="inlineStr">
        <is>
          <t>Whole unit</t>
        </is>
      </c>
      <c r="E18" s="3" t="n">
        <v>35.769074</v>
      </c>
      <c r="F18" s="3" t="n">
        <v>-78.731014</v>
      </c>
      <c r="G18" s="2" t="n">
        <v>1350</v>
      </c>
      <c r="H18" s="2" t="n">
        <v>1645</v>
      </c>
      <c r="I18" s="2">
        <f>(G18+H18)/2</f>
        <v/>
      </c>
      <c r="J18" s="3" t="n">
        <v>2.857986509727914</v>
      </c>
      <c r="K18" t="inlineStr">
        <is>
          <t>&gt;1–3 mi</t>
        </is>
      </c>
      <c r="L18" s="3" t="n">
        <v>3.000165559501003</v>
      </c>
      <c r="M18" t="inlineStr">
        <is>
          <t>&gt;3–5 mi</t>
        </is>
      </c>
      <c r="N18" s="3" t="n">
        <v>2.530679993312797</v>
      </c>
      <c r="O18" t="inlineStr">
        <is>
          <t>&gt;1–3 mi</t>
        </is>
      </c>
      <c r="P18" t="n">
        <v>1</v>
      </c>
      <c r="Q18" t="n">
        <v>0</v>
      </c>
      <c r="R18" s="5" t="inlineStr">
        <is>
          <t>Included in rent means | Source pricing flag retained; automated consistency checks passed. This is not independent landlord verification.</t>
        </is>
      </c>
    </row>
    <row r="19">
      <c r="A19" t="inlineStr">
        <is>
          <t>ocpjeweyz6</t>
        </is>
      </c>
      <c r="B19" t="inlineStr">
        <is>
          <t>All Girls Unit - Room with Private Bathroom at  University Woods at Centennial Condominiums</t>
        </is>
      </c>
      <c r="C19" t="inlineStr">
        <is>
          <t>https://offcampus.dasa.ncsu.edu/housing/property/all-girls-unit-room-with-private-bathroom-at-university-woods-at-centennial-condominiums/ocpjeweyz6</t>
        </is>
      </c>
      <c r="D19" t="inlineStr">
        <is>
          <t>Per bedroom</t>
        </is>
      </c>
      <c r="E19" s="3" t="n">
        <v>35.749432</v>
      </c>
      <c r="F19" s="3" t="n">
        <v>-78.69390799999999</v>
      </c>
      <c r="G19" s="2" t="n">
        <v>645</v>
      </c>
      <c r="H19" s="2" t="n">
        <v>645</v>
      </c>
      <c r="I19" s="2">
        <f>(G19+H19)/2</f>
        <v/>
      </c>
      <c r="J19" s="3" t="n">
        <v>2.188347488400858</v>
      </c>
      <c r="K19" t="inlineStr">
        <is>
          <t>&gt;1–3 mi</t>
        </is>
      </c>
      <c r="L19" s="3" t="n">
        <v>1.618231332601906</v>
      </c>
      <c r="M19" t="inlineStr">
        <is>
          <t>&gt;1–3 mi</t>
        </is>
      </c>
      <c r="N19" s="3" t="n">
        <v>3.435850381722893</v>
      </c>
      <c r="O19" t="inlineStr">
        <is>
          <t>&gt;3–5 mi</t>
        </is>
      </c>
      <c r="P19" t="n">
        <v>1</v>
      </c>
      <c r="Q19" t="n">
        <v>1</v>
      </c>
      <c r="R19" s="5" t="inlineStr">
        <is>
          <t>Included in rent means | Source pricing flag retained; automated consistency checks passed. This is not independent landlord verification.</t>
        </is>
      </c>
    </row>
    <row r="20">
      <c r="A20" t="inlineStr">
        <is>
          <t>0smdl31</t>
        </is>
      </c>
      <c r="B20" t="inlineStr">
        <is>
          <t>Paloma Raleigh</t>
        </is>
      </c>
      <c r="C20" t="inlineStr">
        <is>
          <t>https://offcampus.dasa.ncsu.edu/housing/property/paloma-raleigh/0smdl31</t>
        </is>
      </c>
      <c r="D20" t="inlineStr">
        <is>
          <t>Per bedroom</t>
        </is>
      </c>
      <c r="E20" s="3" t="n">
        <v>35.785778</v>
      </c>
      <c r="F20" s="3" t="n">
        <v>-78.727869</v>
      </c>
      <c r="G20" s="2" t="n">
        <v>749</v>
      </c>
      <c r="H20" s="2" t="n">
        <v>1599</v>
      </c>
      <c r="I20" s="2">
        <f>(G20+H20)/2</f>
        <v/>
      </c>
      <c r="J20" s="3" t="n">
        <v>2.624931081246668</v>
      </c>
      <c r="K20" t="inlineStr">
        <is>
          <t>&gt;1–3 mi</t>
        </is>
      </c>
      <c r="L20" s="3" t="n">
        <v>3.060096594508182</v>
      </c>
      <c r="M20" t="inlineStr">
        <is>
          <t>&gt;3–5 mi</t>
        </is>
      </c>
      <c r="N20" s="3" t="n">
        <v>1.595795391308405</v>
      </c>
      <c r="O20" t="inlineStr">
        <is>
          <t>&gt;1–3 mi</t>
        </is>
      </c>
      <c r="P20" t="n">
        <v>1</v>
      </c>
      <c r="Q20" t="n">
        <v>1</v>
      </c>
      <c r="R20" s="5" t="inlineStr">
        <is>
          <t>Included in rent means | Source pricing flag retained; automated consistency checks passed. This is not independent landlord verification.</t>
        </is>
      </c>
    </row>
    <row r="21">
      <c r="A21" t="inlineStr">
        <is>
          <t>ocppjxdd3r</t>
        </is>
      </c>
      <c r="B21" t="inlineStr">
        <is>
          <t>Collegeview Duplex--Brand New Luxury Housing within walking distance to NCSU</t>
        </is>
      </c>
      <c r="C21" t="inlineStr">
        <is>
          <t>https://offcampus.dasa.ncsu.edu/housing/property/collegeview-duplex-brand-new-luxury-housing-within-walking-distance-to-ncsu/ocppjxdd3r</t>
        </is>
      </c>
      <c r="D21" t="inlineStr">
        <is>
          <t>Per bedroom</t>
        </is>
      </c>
      <c r="E21" s="3" t="n">
        <v>35.777665</v>
      </c>
      <c r="F21" s="3" t="n">
        <v>-78.68549899999999</v>
      </c>
      <c r="G21" s="2" t="n">
        <v>900</v>
      </c>
      <c r="H21" s="2" t="n">
        <v>950</v>
      </c>
      <c r="I21" s="2">
        <f>(G21+H21)/2</f>
        <v/>
      </c>
      <c r="J21" s="3" t="n">
        <v>0.2491525327280099</v>
      </c>
      <c r="K21" t="inlineStr">
        <is>
          <t>0–1 mi</t>
        </is>
      </c>
      <c r="L21" s="3" t="n">
        <v>0.7646924310117169</v>
      </c>
      <c r="M21" t="inlineStr">
        <is>
          <t>0–1 mi</t>
        </is>
      </c>
      <c r="N21" s="3" t="n">
        <v>1.775085773166035</v>
      </c>
      <c r="O21" t="inlineStr">
        <is>
          <t>&gt;1–3 mi</t>
        </is>
      </c>
      <c r="P21" t="n">
        <v>1</v>
      </c>
      <c r="Q21" t="n">
        <v>1</v>
      </c>
      <c r="R21" s="5" t="inlineStr">
        <is>
          <t>Included in rent means | Source pricing flag retained; automated consistency checks passed. This is not independent landlord verification.</t>
        </is>
      </c>
    </row>
    <row r="22">
      <c r="A22" t="inlineStr">
        <is>
          <t>hgdd8s0</t>
        </is>
      </c>
      <c r="B22" t="inlineStr">
        <is>
          <t>Lantower Bullhouse</t>
        </is>
      </c>
      <c r="C22" t="inlineStr">
        <is>
          <t>https://offcampus.dasa.ncsu.edu/housing/property/lantower-bullhouse/hgdd8s0</t>
        </is>
      </c>
      <c r="D22" t="inlineStr">
        <is>
          <t>Whole unit</t>
        </is>
      </c>
      <c r="E22" s="3" t="n">
        <v>35.989797</v>
      </c>
      <c r="F22" s="3" t="n">
        <v>-78.898555</v>
      </c>
      <c r="G22" s="2" t="n">
        <v>1377</v>
      </c>
      <c r="H22" s="2" t="n">
        <v>4346</v>
      </c>
      <c r="I22" s="2">
        <f>(G22+H22)/2</f>
        <v/>
      </c>
      <c r="J22" s="3" t="n">
        <v>18.93401366770017</v>
      </c>
      <c r="K22" t="inlineStr">
        <is>
          <t>Outside 5 mi</t>
        </is>
      </c>
      <c r="L22" s="3" t="n">
        <v>19.66001079223949</v>
      </c>
      <c r="M22" t="inlineStr">
        <is>
          <t>Outside 5 mi</t>
        </is>
      </c>
      <c r="N22" s="3" t="n">
        <v>17.12433105426111</v>
      </c>
      <c r="O22" t="inlineStr">
        <is>
          <t>Outside 5 mi</t>
        </is>
      </c>
      <c r="P22" t="n">
        <v>0</v>
      </c>
      <c r="Q22" t="n">
        <v>0</v>
      </c>
      <c r="R22" s="5" t="inlineStr">
        <is>
          <t>Included in rent means | Source pricing flag retained; automated consistency checks passed. This is not independent landlord verification.</t>
        </is>
      </c>
    </row>
    <row r="23">
      <c r="A23" t="inlineStr">
        <is>
          <t>ocpe1n95cm</t>
        </is>
      </c>
      <c r="B23" t="inlineStr">
        <is>
          <t>Big Promotion w/best price ever. Move in Immediately . MarcomTowns. Great location nice</t>
        </is>
      </c>
      <c r="C23" t="inlineStr">
        <is>
          <t>https://offcampus.dasa.ncsu.edu/housing/property/big-promotion-w-best-price-ever-move-in-immediately-marcomtowns-great-location-nice/ocpe1n95cm</t>
        </is>
      </c>
      <c r="D23" t="inlineStr">
        <is>
          <t>Per bedroom</t>
        </is>
      </c>
      <c r="E23" s="3" t="n">
        <v>35.779182</v>
      </c>
      <c r="F23" s="3" t="n">
        <v>-78.68600499999999</v>
      </c>
      <c r="G23" s="2" t="n">
        <v>950</v>
      </c>
      <c r="H23" s="2" t="n">
        <v>950</v>
      </c>
      <c r="I23" s="2">
        <f>(G23+H23)/2</f>
        <v/>
      </c>
      <c r="J23" s="3" t="n">
        <v>0.2434893676842173</v>
      </c>
      <c r="K23" t="inlineStr">
        <is>
          <t>0–1 mi</t>
        </is>
      </c>
      <c r="L23" s="3" t="n">
        <v>0.8670805356545912</v>
      </c>
      <c r="M23" t="inlineStr">
        <is>
          <t>0–1 mi</t>
        </is>
      </c>
      <c r="N23" s="3" t="n">
        <v>1.674004450243779</v>
      </c>
      <c r="O23" t="inlineStr">
        <is>
          <t>&gt;1–3 mi</t>
        </is>
      </c>
      <c r="P23" t="n">
        <v>1</v>
      </c>
      <c r="Q23" t="n">
        <v>1</v>
      </c>
      <c r="R23" s="5" t="inlineStr">
        <is>
          <t>Included in rent means | Source pricing flag retained; automated consistency checks passed. This is not independent landlord verification.</t>
        </is>
      </c>
    </row>
    <row r="24">
      <c r="A24" t="inlineStr">
        <is>
          <t>p8mlexs</t>
        </is>
      </c>
      <c r="B24" t="inlineStr">
        <is>
          <t>Valentine Commons</t>
        </is>
      </c>
      <c r="C24" t="inlineStr">
        <is>
          <t>https://offcampus.dasa.ncsu.edu/housing/property/valentine-commons/p8mlexs</t>
        </is>
      </c>
      <c r="D24" t="inlineStr">
        <is>
          <t>Review</t>
        </is>
      </c>
      <c r="E24" s="3" t="n">
        <v>35.788189</v>
      </c>
      <c r="F24" s="3" t="n">
        <v>-78.676931</v>
      </c>
      <c r="G24" s="2" t="n">
        <v>1190</v>
      </c>
      <c r="H24" s="2" t="n">
        <v>2238</v>
      </c>
      <c r="I24" s="2">
        <f>(G24+H24)/2</f>
        <v/>
      </c>
      <c r="J24" s="3" t="n">
        <v>0.6560855439562342</v>
      </c>
      <c r="K24" t="inlineStr">
        <is>
          <t>0–1 mi</t>
        </is>
      </c>
      <c r="L24" s="3" t="n">
        <v>1.346939324702513</v>
      </c>
      <c r="M24" t="inlineStr">
        <is>
          <t>&gt;1–3 mi</t>
        </is>
      </c>
      <c r="N24" s="3" t="n">
        <v>1.679186034016696</v>
      </c>
      <c r="O24" t="inlineStr">
        <is>
          <t>&gt;1–3 mi</t>
        </is>
      </c>
      <c r="P24" t="n">
        <v>1</v>
      </c>
      <c r="Q24" t="n">
        <v>0</v>
      </c>
      <c r="R24" s="5" t="inlineStr">
        <is>
          <t>Excluded from rent means | Unresolved pricing basis | Saved floor plans contain both per-bedroom and whole-unit flags. A single property range cannot be assigned a reliable common pricing basis; no division by bedroom count or price substitution.</t>
        </is>
      </c>
    </row>
    <row r="25">
      <c r="A25" t="inlineStr">
        <is>
          <t>ocp2evl6hb</t>
        </is>
      </c>
      <c r="B25" t="inlineStr">
        <is>
          <t>University Oaks -</t>
        </is>
      </c>
      <c r="C25" t="inlineStr">
        <is>
          <t>https://offcampus.dasa.ncsu.edu/housing/property/university-oaks/ocp2evl6hb</t>
        </is>
      </c>
      <c r="D25" t="inlineStr">
        <is>
          <t>Per bedroom</t>
        </is>
      </c>
      <c r="E25" s="3" t="n">
        <v>35.782805</v>
      </c>
      <c r="F25" s="3" t="n">
        <v>-78.68839800000001</v>
      </c>
      <c r="G25" s="2" t="n">
        <v>725</v>
      </c>
      <c r="H25" s="2" t="n">
        <v>725</v>
      </c>
      <c r="I25" s="2">
        <f>(G25+H25)/2</f>
        <v/>
      </c>
      <c r="J25" s="3" t="n">
        <v>0.4400319491563999</v>
      </c>
      <c r="K25" t="inlineStr">
        <is>
          <t>0–1 mi</t>
        </is>
      </c>
      <c r="L25" s="3" t="n">
        <v>1.150205519026803</v>
      </c>
      <c r="M25" t="inlineStr">
        <is>
          <t>&gt;1–3 mi</t>
        </is>
      </c>
      <c r="N25" s="3" t="n">
        <v>1.394259875498912</v>
      </c>
      <c r="O25" t="inlineStr">
        <is>
          <t>&gt;1–3 mi</t>
        </is>
      </c>
      <c r="P25" t="n">
        <v>1</v>
      </c>
      <c r="Q25" t="n">
        <v>1</v>
      </c>
      <c r="R25" s="5" t="inlineStr">
        <is>
          <t>Included in rent means | Source pricing flag retained; automated consistency checks passed. This is not independent landlord verification.</t>
        </is>
      </c>
    </row>
    <row r="26">
      <c r="A26" t="inlineStr">
        <is>
          <t>fgrbwjv</t>
        </is>
      </c>
      <c r="B26" t="inlineStr">
        <is>
          <t>Stanhope</t>
        </is>
      </c>
      <c r="C26" t="inlineStr">
        <is>
          <t>https://offcampus.dasa.ncsu.edu/housing/property/stanhope/fgrbwjv</t>
        </is>
      </c>
      <c r="D26" t="inlineStr">
        <is>
          <t>Review</t>
        </is>
      </c>
      <c r="E26" s="3" t="n">
        <v>35.789503</v>
      </c>
      <c r="F26" s="3" t="n">
        <v>-78.676817</v>
      </c>
      <c r="G26" s="2" t="n">
        <v>845</v>
      </c>
      <c r="H26" s="2" t="n">
        <v>1695</v>
      </c>
      <c r="I26" s="2">
        <f>(G26+H26)/2</f>
        <v/>
      </c>
      <c r="J26" s="3" t="n">
        <v>0.7423053532171615</v>
      </c>
      <c r="K26" t="inlineStr">
        <is>
          <t>0–1 mi</t>
        </is>
      </c>
      <c r="L26" s="3" t="n">
        <v>1.437860176067697</v>
      </c>
      <c r="M26" t="inlineStr">
        <is>
          <t>&gt;1–3 mi</t>
        </is>
      </c>
      <c r="N26" s="3" t="n">
        <v>1.64874778438553</v>
      </c>
      <c r="O26" t="inlineStr">
        <is>
          <t>&gt;1–3 mi</t>
        </is>
      </c>
      <c r="P26" t="n">
        <v>1</v>
      </c>
      <c r="Q26" t="n">
        <v>0</v>
      </c>
      <c r="R26" s="5" t="inlineStr">
        <is>
          <t>Excluded from rent means | Unresolved pricing basis | Saved floor plans contain both per-bedroom and whole-unit flags. A single property range cannot be assigned a reliable common pricing basis; no division by bedroom count or price substitution.</t>
        </is>
      </c>
    </row>
    <row r="27">
      <c r="A27" t="inlineStr">
        <is>
          <t>ocpvlydr3e</t>
        </is>
      </c>
      <c r="B27" t="inlineStr">
        <is>
          <t>Reavis ---Brand New Luxury Housing within walking distance to NCSU</t>
        </is>
      </c>
      <c r="C27" t="inlineStr">
        <is>
          <t>https://offcampus.dasa.ncsu.edu/housing/property/reavis-brand-new-luxury-housing-within-walking-distance-to-ncsu/ocpvlydr3e</t>
        </is>
      </c>
      <c r="D27" t="inlineStr">
        <is>
          <t>Per bedroom</t>
        </is>
      </c>
      <c r="E27" s="3" t="n">
        <v>35.785622</v>
      </c>
      <c r="F27" s="3" t="n">
        <v>-78.69476</v>
      </c>
      <c r="G27" s="2" t="n">
        <v>925</v>
      </c>
      <c r="H27" s="2" t="n">
        <v>975</v>
      </c>
      <c r="I27" s="2">
        <f>(G27+H27)/2</f>
        <v/>
      </c>
      <c r="J27" s="3" t="n">
        <v>0.8460792131088813</v>
      </c>
      <c r="K27" t="inlineStr">
        <is>
          <t>0–1 mi</t>
        </is>
      </c>
      <c r="L27" s="3" t="n">
        <v>1.517599897052015</v>
      </c>
      <c r="M27" t="inlineStr">
        <is>
          <t>&gt;1–3 mi</t>
        </is>
      </c>
      <c r="N27" s="3" t="n">
        <v>1.029985127024234</v>
      </c>
      <c r="O27" t="inlineStr">
        <is>
          <t>&gt;1–3 mi</t>
        </is>
      </c>
      <c r="P27" t="n">
        <v>1</v>
      </c>
      <c r="Q27" t="n">
        <v>1</v>
      </c>
      <c r="R27" s="5" t="inlineStr">
        <is>
          <t>Included in rent means | Source pricing flag retained; automated consistency checks passed. This is not independent landlord verification.</t>
        </is>
      </c>
    </row>
    <row r="28">
      <c r="A28" t="inlineStr">
        <is>
          <t>86fjg60</t>
        </is>
      </c>
      <c r="B28" t="inlineStr">
        <is>
          <t>HeyDay Raleigh</t>
        </is>
      </c>
      <c r="C28" t="inlineStr">
        <is>
          <t>https://offcampus.dasa.ncsu.edu/housing/property/heyday-raleigh/86fjg60</t>
        </is>
      </c>
      <c r="D28" t="inlineStr">
        <is>
          <t>Whole unit</t>
        </is>
      </c>
      <c r="E28" s="3" t="n">
        <v>35.789556</v>
      </c>
      <c r="F28" s="3" t="n">
        <v>-78.674739</v>
      </c>
      <c r="G28" s="2" t="n">
        <v>1349</v>
      </c>
      <c r="H28" s="2" t="n">
        <v>2269</v>
      </c>
      <c r="I28" s="2">
        <f>(G28+H28)/2</f>
        <v/>
      </c>
      <c r="J28" s="3" t="n">
        <v>0.7957053942636249</v>
      </c>
      <c r="K28" t="inlineStr">
        <is>
          <t>0–1 mi</t>
        </is>
      </c>
      <c r="L28" s="3" t="n">
        <v>1.449299390571116</v>
      </c>
      <c r="M28" t="inlineStr">
        <is>
          <t>&gt;1–3 mi</t>
        </is>
      </c>
      <c r="N28" s="3" t="n">
        <v>1.755927527141885</v>
      </c>
      <c r="O28" t="inlineStr">
        <is>
          <t>&gt;1–3 mi</t>
        </is>
      </c>
      <c r="P28" t="n">
        <v>1</v>
      </c>
      <c r="Q28" t="n">
        <v>0</v>
      </c>
      <c r="R28" s="5" t="inlineStr">
        <is>
          <t>Included in rent means | Source pricing flag retained; automated consistency checks passed. This is not independent landlord verification.</t>
        </is>
      </c>
    </row>
    <row r="29">
      <c r="A29" t="inlineStr">
        <is>
          <t>ocpxdxd79p</t>
        </is>
      </c>
      <c r="B29" t="inlineStr">
        <is>
          <t>4BR/4BA Condo| On Wolfline | Preleasing 27-28 Special $850 Util/Parking Incld | Mile to Campus</t>
        </is>
      </c>
      <c r="C29" t="inlineStr">
        <is>
          <t>https://offcampus.dasa.ncsu.edu/housing/property/4br-4ba-condo-on-wolfline-preleasing-27-28-special-850-util-parking-incld-mile-to-campus/ocpxdxd79p</t>
        </is>
      </c>
      <c r="D29" t="inlineStr">
        <is>
          <t>Per bedroom</t>
        </is>
      </c>
      <c r="E29" s="3" t="n">
        <v>35.773343</v>
      </c>
      <c r="F29" s="3" t="n">
        <v>-78.69056399999999</v>
      </c>
      <c r="G29" s="2" t="n">
        <v>875</v>
      </c>
      <c r="H29" s="2" t="n">
        <v>875</v>
      </c>
      <c r="I29" s="2">
        <f>(G29+H29)/2</f>
        <v/>
      </c>
      <c r="J29" s="3" t="n">
        <v>0.6554114366280899</v>
      </c>
      <c r="K29" t="inlineStr">
        <is>
          <t>0–1 mi</t>
        </is>
      </c>
      <c r="L29" s="3" t="n">
        <v>0.799542520937184</v>
      </c>
      <c r="M29" t="inlineStr">
        <is>
          <t>0–1 mi</t>
        </is>
      </c>
      <c r="N29" s="3" t="n">
        <v>1.894195326652115</v>
      </c>
      <c r="O29" t="inlineStr">
        <is>
          <t>&gt;1–3 mi</t>
        </is>
      </c>
      <c r="P29" t="n">
        <v>1</v>
      </c>
      <c r="Q29" t="n">
        <v>1</v>
      </c>
      <c r="R29" s="5" t="inlineStr">
        <is>
          <t>Included in rent means | Source pricing flag retained; automated consistency checks passed. This is not independent landlord verification.</t>
        </is>
      </c>
    </row>
    <row r="30">
      <c r="A30" t="inlineStr">
        <is>
          <t>9de4we5</t>
        </is>
      </c>
      <c r="B30" t="inlineStr">
        <is>
          <t>LYV Woodcroft at Southpoint</t>
        </is>
      </c>
      <c r="C30" t="inlineStr">
        <is>
          <t>https://offcampus.dasa.ncsu.edu/housing/property/lyv-woodcroft-at-southpoint/9de4we5</t>
        </is>
      </c>
      <c r="D30" t="inlineStr">
        <is>
          <t>Whole unit</t>
        </is>
      </c>
      <c r="E30" s="3" t="n">
        <v>35.924925</v>
      </c>
      <c r="F30" s="3" t="n">
        <v>-78.953214</v>
      </c>
      <c r="G30" s="2" t="n">
        <v>1200</v>
      </c>
      <c r="H30" s="2" t="n">
        <v>1400</v>
      </c>
      <c r="I30" s="2">
        <f>(G30+H30)/2</f>
        <v/>
      </c>
      <c r="J30" s="3" t="n">
        <v>18.22593709181375</v>
      </c>
      <c r="K30" t="inlineStr">
        <is>
          <t>Outside 5 mi</t>
        </is>
      </c>
      <c r="L30" s="3" t="n">
        <v>18.8403235515283</v>
      </c>
      <c r="M30" t="inlineStr">
        <is>
          <t>Outside 5 mi</t>
        </is>
      </c>
      <c r="N30" s="3" t="n">
        <v>16.4606349946614</v>
      </c>
      <c r="O30" t="inlineStr">
        <is>
          <t>Outside 5 mi</t>
        </is>
      </c>
      <c r="P30" t="n">
        <v>0</v>
      </c>
      <c r="Q30" t="n">
        <v>0</v>
      </c>
      <c r="R30" s="5" t="inlineStr">
        <is>
          <t>Included in rent means | Source pricing flag retained; automated consistency checks passed. This is not independent landlord verification.</t>
        </is>
      </c>
    </row>
    <row r="31">
      <c r="A31" t="inlineStr">
        <is>
          <t>ocpm68s5sh</t>
        </is>
      </c>
      <c r="B31" t="inlineStr">
        <is>
          <t>Burt Drive Townhouses---Brand New Luxury Housing within walking distance to NCSU</t>
        </is>
      </c>
      <c r="C31" t="inlineStr">
        <is>
          <t>https://offcampus.dasa.ncsu.edu/housing/property/burt-drive-townhouses-brand-new-luxury-housing-within-walking-distance-to-ncsu/ocpm68s5sh</t>
        </is>
      </c>
      <c r="D31" t="inlineStr">
        <is>
          <t>Per bedroom</t>
        </is>
      </c>
      <c r="E31" s="3" t="n">
        <v>35.776121</v>
      </c>
      <c r="F31" s="3" t="n">
        <v>-78.686075</v>
      </c>
      <c r="G31" s="2" t="n">
        <v>1050</v>
      </c>
      <c r="H31" s="2" t="n">
        <v>1050</v>
      </c>
      <c r="I31" s="2">
        <f>(G31+H31)/2</f>
        <v/>
      </c>
      <c r="J31" s="3" t="n">
        <v>0.3398874573658709</v>
      </c>
      <c r="K31" t="inlineStr">
        <is>
          <t>0–1 mi</t>
        </is>
      </c>
      <c r="L31" s="3" t="n">
        <v>0.7028369244133079</v>
      </c>
      <c r="M31" t="inlineStr">
        <is>
          <t>0–1 mi</t>
        </is>
      </c>
      <c r="N31" s="3" t="n">
        <v>1.844677270208866</v>
      </c>
      <c r="O31" t="inlineStr">
        <is>
          <t>&gt;1–3 mi</t>
        </is>
      </c>
      <c r="P31" t="n">
        <v>1</v>
      </c>
      <c r="Q31" t="n">
        <v>1</v>
      </c>
      <c r="R31" s="5" t="inlineStr">
        <is>
          <t>Included in rent means | Source pricing flag retained; automated consistency checks passed. This is not independent landlord verification.</t>
        </is>
      </c>
    </row>
    <row r="32">
      <c r="A32" t="inlineStr">
        <is>
          <t>gky0hgw</t>
        </is>
      </c>
      <c r="B32" t="inlineStr">
        <is>
          <t>Willow Bend Apartments</t>
        </is>
      </c>
      <c r="C32" t="inlineStr">
        <is>
          <t>https://offcampus.dasa.ncsu.edu/housing/property/willow-bend-apartments/gky0hgw</t>
        </is>
      </c>
      <c r="D32" t="inlineStr">
        <is>
          <t>Whole unit</t>
        </is>
      </c>
      <c r="E32" s="3" t="n">
        <v>35.987772</v>
      </c>
      <c r="F32" s="3" t="n">
        <v>-78.923142</v>
      </c>
      <c r="G32" s="2" t="n">
        <v>1312</v>
      </c>
      <c r="H32" s="2" t="n">
        <v>1357</v>
      </c>
      <c r="I32" s="2">
        <f>(G32+H32)/2</f>
        <v/>
      </c>
      <c r="J32" s="3" t="n">
        <v>19.74257437150038</v>
      </c>
      <c r="K32" t="inlineStr">
        <is>
          <t>Outside 5 mi</t>
        </is>
      </c>
      <c r="L32" s="3" t="n">
        <v>20.4506373784887</v>
      </c>
      <c r="M32" t="inlineStr">
        <is>
          <t>Outside 5 mi</t>
        </is>
      </c>
      <c r="N32" s="3" t="n">
        <v>17.92823147173258</v>
      </c>
      <c r="O32" t="inlineStr">
        <is>
          <t>Outside 5 mi</t>
        </is>
      </c>
      <c r="P32" t="n">
        <v>0</v>
      </c>
      <c r="Q32" t="n">
        <v>0</v>
      </c>
      <c r="R32" s="5" t="inlineStr">
        <is>
          <t>Included in rent means | Source pricing flag retained; automated consistency checks passed. This is not independent landlord verification.</t>
        </is>
      </c>
    </row>
    <row r="33">
      <c r="A33" t="inlineStr">
        <is>
          <t>ocpd8x87kh</t>
        </is>
      </c>
      <c r="B33" t="inlineStr">
        <is>
          <t>New Construction: 4 Bed 4.5 Bath Townhomes</t>
        </is>
      </c>
      <c r="C33" t="inlineStr">
        <is>
          <t>https://offcampus.dasa.ncsu.edu/housing/property/new-construction-4-bed-4-5-bath-townhomes/ocpd8x87kh</t>
        </is>
      </c>
      <c r="D33" t="inlineStr">
        <is>
          <t>Whole unit</t>
        </is>
      </c>
      <c r="E33" s="3" t="n">
        <v>35.778062</v>
      </c>
      <c r="F33" s="3" t="n">
        <v>-78.68990700000001</v>
      </c>
      <c r="G33" s="2" t="n">
        <v>4000</v>
      </c>
      <c r="H33" s="2" t="n">
        <v>4000</v>
      </c>
      <c r="I33" s="2">
        <f>(G33+H33)/2</f>
        <v/>
      </c>
      <c r="J33" s="3" t="n">
        <v>0.4718851119191234</v>
      </c>
      <c r="K33" t="inlineStr">
        <is>
          <t>0–1 mi</t>
        </is>
      </c>
      <c r="L33" s="3" t="n">
        <v>0.9498177114969797</v>
      </c>
      <c r="M33" t="inlineStr">
        <is>
          <t>0–1 mi</t>
        </is>
      </c>
      <c r="N33" s="3" t="n">
        <v>1.618416979729357</v>
      </c>
      <c r="O33" t="inlineStr">
        <is>
          <t>&gt;1–3 mi</t>
        </is>
      </c>
      <c r="P33" t="n">
        <v>1</v>
      </c>
      <c r="Q33" t="n">
        <v>0</v>
      </c>
      <c r="R33" s="5" t="inlineStr">
        <is>
          <t>Included in rent means | Source pricing flag retained; automated consistency checks passed. This is not independent landlord verification.</t>
        </is>
      </c>
    </row>
    <row r="34">
      <c r="A34" t="inlineStr">
        <is>
          <t>v534e5d</t>
        </is>
      </c>
      <c r="B34" t="inlineStr">
        <is>
          <t>Kensington Park</t>
        </is>
      </c>
      <c r="C34" t="inlineStr">
        <is>
          <t>https://offcampus.dasa.ncsu.edu/housing/property/kensington-park/v534e5d</t>
        </is>
      </c>
      <c r="D34" t="inlineStr">
        <is>
          <t>Whole unit</t>
        </is>
      </c>
      <c r="E34" s="3" t="n">
        <v>35.771483</v>
      </c>
      <c r="F34" s="3" t="n">
        <v>-78.68706899999999</v>
      </c>
      <c r="G34" s="2" t="n">
        <v>1175</v>
      </c>
      <c r="H34" s="2" t="n">
        <v>1945</v>
      </c>
      <c r="I34" s="2">
        <f>(G34+H34)/2</f>
        <v/>
      </c>
      <c r="J34" s="3" t="n">
        <v>0.6315478861409123</v>
      </c>
      <c r="K34" t="inlineStr">
        <is>
          <t>0–1 mi</t>
        </is>
      </c>
      <c r="L34" s="3" t="n">
        <v>0.5698621364092784</v>
      </c>
      <c r="M34" t="inlineStr">
        <is>
          <t>0–1 mi</t>
        </is>
      </c>
      <c r="N34" s="3" t="n">
        <v>2.094257366737951</v>
      </c>
      <c r="O34" t="inlineStr">
        <is>
          <t>&gt;1–3 mi</t>
        </is>
      </c>
      <c r="P34" t="n">
        <v>1</v>
      </c>
      <c r="Q34" t="n">
        <v>0</v>
      </c>
      <c r="R34" s="5" t="inlineStr">
        <is>
          <t>Included in rent means | Source pricing flag retained; automated consistency checks passed. This is not independent landlord verification.</t>
        </is>
      </c>
    </row>
    <row r="35">
      <c r="A35" t="inlineStr">
        <is>
          <t>ocp913l1z6</t>
        </is>
      </c>
      <c r="B35" t="inlineStr">
        <is>
          <t>** WAITLIST for 2026-2027 ** 4 Bedroom, 4.5 Bathroom Unit Near NCSU Campus and Cup A Joe</t>
        </is>
      </c>
      <c r="C35" t="inlineStr">
        <is>
          <t>https://offcampus.dasa.ncsu.edu/housing/property/waitlist-for-2026-2027-4-bedroom-4-5-bathroom-unit-near-ncsu-campus-and-cup-a-joe/ocp913l1z6</t>
        </is>
      </c>
      <c r="D35" t="inlineStr">
        <is>
          <t>Whole unit</t>
        </is>
      </c>
      <c r="E35" s="3" t="n">
        <v>35.791166</v>
      </c>
      <c r="F35" s="3" t="n">
        <v>-78.677347</v>
      </c>
      <c r="G35" s="2" t="n">
        <v>4400</v>
      </c>
      <c r="H35" s="2" t="n">
        <v>4400</v>
      </c>
      <c r="I35" s="2">
        <f>(G35+H35)/2</f>
        <v/>
      </c>
      <c r="J35" s="3" t="n">
        <v>0.8411750668295339</v>
      </c>
      <c r="K35" t="inlineStr">
        <is>
          <t>0–1 mi</t>
        </is>
      </c>
      <c r="L35" s="3" t="n">
        <v>1.552276442280794</v>
      </c>
      <c r="M35" t="inlineStr">
        <is>
          <t>&gt;1–3 mi</t>
        </is>
      </c>
      <c r="N35" s="3" t="n">
        <v>1.580905435109669</v>
      </c>
      <c r="O35" t="inlineStr">
        <is>
          <t>&gt;1–3 mi</t>
        </is>
      </c>
      <c r="P35" t="n">
        <v>1</v>
      </c>
      <c r="Q35" t="n">
        <v>0</v>
      </c>
      <c r="R35" s="5" t="inlineStr">
        <is>
          <t>Included in rent means | Source pricing flag retained; automated consistency checks passed. This is not independent landlord verification.</t>
        </is>
      </c>
    </row>
    <row r="36">
      <c r="A36" t="inlineStr">
        <is>
          <t>0zm5l03</t>
        </is>
      </c>
      <c r="B36" t="inlineStr">
        <is>
          <t>616 at the Village</t>
        </is>
      </c>
      <c r="C36" t="inlineStr">
        <is>
          <t>https://offcampus.dasa.ncsu.edu/housing/property/616-at-the-village/0zm5l03</t>
        </is>
      </c>
      <c r="D36" t="inlineStr">
        <is>
          <t>Whole unit</t>
        </is>
      </c>
      <c r="E36" s="3" t="n">
        <v>35.792999</v>
      </c>
      <c r="F36" s="3" t="n">
        <v>-78.662003</v>
      </c>
      <c r="G36" s="2" t="n">
        <v>1620</v>
      </c>
      <c r="H36" s="2" t="n">
        <v>3430</v>
      </c>
      <c r="I36" s="2">
        <f>(G36+H36)/2</f>
        <v/>
      </c>
      <c r="J36" s="3" t="n">
        <v>1.443937726216499</v>
      </c>
      <c r="K36" t="inlineStr">
        <is>
          <t>&gt;1–3 mi</t>
        </is>
      </c>
      <c r="L36" s="3" t="n">
        <v>1.890306444547525</v>
      </c>
      <c r="M36" t="inlineStr">
        <is>
          <t>&gt;1–3 mi</t>
        </is>
      </c>
      <c r="N36" s="3" t="n">
        <v>2.388192858923056</v>
      </c>
      <c r="O36" t="inlineStr">
        <is>
          <t>&gt;1–3 mi</t>
        </is>
      </c>
      <c r="P36" t="n">
        <v>1</v>
      </c>
      <c r="Q36" t="n">
        <v>0</v>
      </c>
      <c r="R36" s="5" t="inlineStr">
        <is>
          <t>Excluded from rent means | Search/detail price mismatch | Source pricing flag retained; automated consistency checks passed. This is not independent landlord verification. Search summary: $1620–$3430; saved floor-plan envelope: $1600–$3430. Difference may reflect fees, timing or scope; unresolved snapshot price excluded.</t>
        </is>
      </c>
    </row>
    <row r="37">
      <c r="A37" t="inlineStr">
        <is>
          <t>ocp2k0px98</t>
        </is>
      </c>
      <c r="B37" t="inlineStr">
        <is>
          <t>Liberty station male only townhome- 5 miles from Centennial</t>
        </is>
      </c>
      <c r="C37" t="inlineStr">
        <is>
          <t>https://offcampus.dasa.ncsu.edu/housing/property/liberty-station-male-only-townhome-5-miles-from-centennial/ocp2k0px98</t>
        </is>
      </c>
      <c r="D37" t="inlineStr">
        <is>
          <t>Per bedroom</t>
        </is>
      </c>
      <c r="E37" s="3" t="n">
        <v>35.737912</v>
      </c>
      <c r="F37" s="3" t="n">
        <v>-78.630411</v>
      </c>
      <c r="G37" s="2" t="n">
        <v>900</v>
      </c>
      <c r="H37" s="2" t="n">
        <v>900</v>
      </c>
      <c r="I37" s="2">
        <f>(G37+H37)/2</f>
        <v/>
      </c>
      <c r="J37" s="3" t="n">
        <v>4.064953715116921</v>
      </c>
      <c r="K37" t="inlineStr">
        <is>
          <t>&gt;3–5 mi</t>
        </is>
      </c>
      <c r="L37" s="3" t="n">
        <v>3.390690803211668</v>
      </c>
      <c r="M37" t="inlineStr">
        <is>
          <t>&gt;3–5 mi</t>
        </is>
      </c>
      <c r="N37" s="3" t="n">
        <v>5.87912422429075</v>
      </c>
      <c r="O37" t="inlineStr">
        <is>
          <t>Outside 5 mi</t>
        </is>
      </c>
      <c r="P37" t="n">
        <v>1</v>
      </c>
      <c r="Q37" t="n">
        <v>1</v>
      </c>
      <c r="R37" s="5" t="inlineStr">
        <is>
          <t>Included in rent means | Source pricing flag retained; automated consistency checks passed. This is not independent landlord verification.</t>
        </is>
      </c>
    </row>
    <row r="38">
      <c r="A38" t="inlineStr">
        <is>
          <t>z8cfdjw</t>
        </is>
      </c>
      <c r="B38" t="inlineStr">
        <is>
          <t>Campus Crossings Raleigh</t>
        </is>
      </c>
      <c r="C38" t="inlineStr">
        <is>
          <t>https://offcampus.dasa.ncsu.edu/housing/property/campus-crossings-raleigh/z8cfdjw</t>
        </is>
      </c>
      <c r="D38" t="inlineStr">
        <is>
          <t>Per bedroom</t>
        </is>
      </c>
      <c r="E38" s="3" t="n">
        <v>35.744806</v>
      </c>
      <c r="F38" s="3" t="n">
        <v>-78.68753700000001</v>
      </c>
      <c r="G38" s="2" t="n">
        <v>685</v>
      </c>
      <c r="H38" s="2" t="n">
        <v>870</v>
      </c>
      <c r="I38" s="2">
        <f>(G38+H38)/2</f>
        <v/>
      </c>
      <c r="J38" s="3" t="n">
        <v>2.420198985781634</v>
      </c>
      <c r="K38" t="inlineStr">
        <is>
          <t>&gt;1–3 mi</t>
        </is>
      </c>
      <c r="L38" s="3" t="n">
        <v>1.744202444717392</v>
      </c>
      <c r="M38" t="inlineStr">
        <is>
          <t>&gt;1–3 mi</t>
        </is>
      </c>
      <c r="N38" s="3" t="n">
        <v>3.822047084535988</v>
      </c>
      <c r="O38" t="inlineStr">
        <is>
          <t>&gt;3–5 mi</t>
        </is>
      </c>
      <c r="P38" t="n">
        <v>1</v>
      </c>
      <c r="Q38" t="n">
        <v>1</v>
      </c>
      <c r="R38" s="5" t="inlineStr">
        <is>
          <t>Included in rent means | Source pricing flag retained; automated consistency checks passed. This is not independent landlord verification.</t>
        </is>
      </c>
    </row>
    <row r="39">
      <c r="A39" t="inlineStr">
        <is>
          <t>ocp6mp93ms</t>
        </is>
      </c>
      <c r="B39" t="inlineStr">
        <is>
          <t>Newly Renovated - All Girls Unit Room with Private Bathroom</t>
        </is>
      </c>
      <c r="C39" t="inlineStr">
        <is>
          <t>https://offcampus.dasa.ncsu.edu/housing/property/newly-renovated-all-girls-unit-room-with-private-bathroom/ocp6mp93ms</t>
        </is>
      </c>
      <c r="D39" t="inlineStr">
        <is>
          <t>Per bedroom</t>
        </is>
      </c>
      <c r="E39" s="3" t="n">
        <v>35.749776</v>
      </c>
      <c r="F39" s="3" t="n">
        <v>-78.695407</v>
      </c>
      <c r="G39" s="2" t="n">
        <v>645</v>
      </c>
      <c r="H39" s="2" t="n">
        <v>645</v>
      </c>
      <c r="I39" s="2">
        <f>(G39+H39)/2</f>
        <v/>
      </c>
      <c r="J39" s="3" t="n">
        <v>2.193838766953507</v>
      </c>
      <c r="K39" t="inlineStr">
        <is>
          <t>&gt;1–3 mi</t>
        </is>
      </c>
      <c r="L39" s="3" t="n">
        <v>1.648529914393228</v>
      </c>
      <c r="M39" t="inlineStr">
        <is>
          <t>&gt;1–3 mi</t>
        </is>
      </c>
      <c r="N39" s="3" t="n">
        <v>3.399382192288023</v>
      </c>
      <c r="O39" t="inlineStr">
        <is>
          <t>&gt;3–5 mi</t>
        </is>
      </c>
      <c r="P39" t="n">
        <v>1</v>
      </c>
      <c r="Q39" t="n">
        <v>1</v>
      </c>
      <c r="R39" s="5" t="inlineStr">
        <is>
          <t>Included in rent means | Source pricing flag retained; automated consistency checks passed. This is not independent landlord verification.</t>
        </is>
      </c>
    </row>
    <row r="40">
      <c r="A40" t="inlineStr">
        <is>
          <t>75medjw</t>
        </is>
      </c>
      <c r="B40" t="inlineStr">
        <is>
          <t>Brickside</t>
        </is>
      </c>
      <c r="C40" t="inlineStr">
        <is>
          <t>https://offcampus.dasa.ncsu.edu/housing/property/brickside/75medjw</t>
        </is>
      </c>
      <c r="D40" t="inlineStr">
        <is>
          <t>Per bedroom</t>
        </is>
      </c>
      <c r="E40" s="3" t="n">
        <v>35.788447</v>
      </c>
      <c r="F40" s="3" t="n">
        <v>-78.66980599999999</v>
      </c>
      <c r="G40" s="2" t="n">
        <v>999</v>
      </c>
      <c r="H40" s="2" t="n">
        <v>1825</v>
      </c>
      <c r="I40" s="2">
        <f>(G40+H40)/2</f>
        <v/>
      </c>
      <c r="J40" s="3" t="n">
        <v>0.9078761874286304</v>
      </c>
      <c r="K40" t="inlineStr">
        <is>
          <t>0–1 mi</t>
        </is>
      </c>
      <c r="L40" s="3" t="n">
        <v>1.430928990458332</v>
      </c>
      <c r="M40" t="inlineStr">
        <is>
          <t>&gt;1–3 mi</t>
        </is>
      </c>
      <c r="N40" s="3" t="n">
        <v>2.041869975567159</v>
      </c>
      <c r="O40" t="inlineStr">
        <is>
          <t>&gt;1–3 mi</t>
        </is>
      </c>
      <c r="P40" t="n">
        <v>1</v>
      </c>
      <c r="Q40" t="n">
        <v>1</v>
      </c>
      <c r="R40" s="5" t="inlineStr">
        <is>
          <t>Included in rent means | Source pricing flag retained; automated consistency checks passed. This is not independent landlord verification.</t>
        </is>
      </c>
    </row>
    <row r="41">
      <c r="A41" t="inlineStr">
        <is>
          <t>ocp6wsb4yt</t>
        </is>
      </c>
      <c r="B41" t="inlineStr">
        <is>
          <t>We have 1 bedroom open In a luxury 5 bed 5 full bath house 1/1/27-6/30/27</t>
        </is>
      </c>
      <c r="C41" t="inlineStr">
        <is>
          <t>https://offcampus.dasa.ncsu.edu/housing/property/we-have-1-bedroom-open-in-a-luxury-5-bed-5-full-bath-house-1-1-27-6-30-27/ocp6wsb4yt</t>
        </is>
      </c>
      <c r="D41" t="inlineStr">
        <is>
          <t>Per bedroom</t>
        </is>
      </c>
      <c r="E41" s="3" t="n">
        <v>35.786652</v>
      </c>
      <c r="F41" s="3" t="n">
        <v>-78.709484</v>
      </c>
      <c r="G41" s="2" t="n">
        <v>1200</v>
      </c>
      <c r="H41" s="2" t="n">
        <v>1200</v>
      </c>
      <c r="I41" s="2">
        <f>(G41+H41)/2</f>
        <v/>
      </c>
      <c r="J41" s="3" t="n">
        <v>1.634704383043233</v>
      </c>
      <c r="K41" t="inlineStr">
        <is>
          <t>&gt;1–3 mi</t>
        </is>
      </c>
      <c r="L41" s="3" t="n">
        <v>2.18010409239071</v>
      </c>
      <c r="M41" t="inlineStr">
        <is>
          <t>&gt;1–3 mi</t>
        </is>
      </c>
      <c r="N41" s="3" t="n">
        <v>0.8709041502422058</v>
      </c>
      <c r="O41" t="inlineStr">
        <is>
          <t>0–1 mi</t>
        </is>
      </c>
      <c r="P41" t="n">
        <v>1</v>
      </c>
      <c r="Q41" t="n">
        <v>1</v>
      </c>
      <c r="R41" s="5" t="inlineStr">
        <is>
          <t>Included in rent means | Source pricing flag retained; automated consistency checks passed. This is not independent landlord verification.</t>
        </is>
      </c>
    </row>
    <row r="42">
      <c r="A42" t="inlineStr">
        <is>
          <t>tv2h1cb</t>
        </is>
      </c>
      <c r="B42" t="inlineStr">
        <is>
          <t>Gorman Crossings</t>
        </is>
      </c>
      <c r="C42" t="inlineStr">
        <is>
          <t>https://offcampus.dasa.ncsu.edu/housing/property/gorman-crossings/tv2h1cb</t>
        </is>
      </c>
      <c r="D42" t="inlineStr">
        <is>
          <t>Whole unit</t>
        </is>
      </c>
      <c r="E42" s="3" t="n">
        <v>35.770408</v>
      </c>
      <c r="F42" s="3" t="n">
        <v>-78.693727</v>
      </c>
      <c r="G42" s="2" t="n">
        <v>1295</v>
      </c>
      <c r="H42" s="2" t="n">
        <v>2145</v>
      </c>
      <c r="I42" s="2">
        <f>(G42+H42)/2</f>
        <v/>
      </c>
      <c r="J42" s="3" t="n">
        <v>0.9227963253733449</v>
      </c>
      <c r="K42" t="inlineStr">
        <is>
          <t>0–1 mi</t>
        </is>
      </c>
      <c r="L42" s="3" t="n">
        <v>0.9173186911369099</v>
      </c>
      <c r="M42" t="inlineStr">
        <is>
          <t>0–1 mi</t>
        </is>
      </c>
      <c r="N42" s="3" t="n">
        <v>2.0238736489555</v>
      </c>
      <c r="O42" t="inlineStr">
        <is>
          <t>&gt;1–3 mi</t>
        </is>
      </c>
      <c r="P42" t="n">
        <v>1</v>
      </c>
      <c r="Q42" t="n">
        <v>0</v>
      </c>
      <c r="R42" s="5" t="inlineStr">
        <is>
          <t>Included in rent means | Source pricing flag retained; automated consistency checks passed. This is not independent landlord verification.</t>
        </is>
      </c>
    </row>
    <row r="43">
      <c r="A43" t="inlineStr">
        <is>
          <t>ocpbp1v5c9</t>
        </is>
      </c>
      <c r="B43" t="inlineStr">
        <is>
          <t>Prime ITB location one block off Ridge Road</t>
        </is>
      </c>
      <c r="C43" t="inlineStr">
        <is>
          <t>https://offcampus.dasa.ncsu.edu/housing/property/prime-itb-location-one-block-off-ridge-road/ocpbp1v5c9</t>
        </is>
      </c>
      <c r="D43" t="inlineStr">
        <is>
          <t>Whole unit</t>
        </is>
      </c>
      <c r="E43" s="3" t="n">
        <v>35.804462</v>
      </c>
      <c r="F43" s="3" t="n">
        <v>-78.688856</v>
      </c>
      <c r="G43" s="2" t="n">
        <v>2800</v>
      </c>
      <c r="H43" s="2" t="n">
        <v>2800</v>
      </c>
      <c r="I43" s="2">
        <f>(G43+H43)/2</f>
        <v/>
      </c>
      <c r="J43" s="3" t="n">
        <v>1.770307415597285</v>
      </c>
      <c r="K43" t="inlineStr">
        <is>
          <t>&gt;1–3 mi</t>
        </is>
      </c>
      <c r="L43" s="3" t="n">
        <v>2.551579374701777</v>
      </c>
      <c r="M43" t="inlineStr">
        <is>
          <t>&gt;1–3 mi</t>
        </is>
      </c>
      <c r="N43" s="3" t="n">
        <v>0.9482742409645978</v>
      </c>
      <c r="O43" t="inlineStr">
        <is>
          <t>0–1 mi</t>
        </is>
      </c>
      <c r="P43" t="n">
        <v>1</v>
      </c>
      <c r="Q43" t="n">
        <v>0</v>
      </c>
      <c r="R43" s="5" t="inlineStr">
        <is>
          <t>Included in rent means | Source pricing flag retained; automated consistency checks passed. This is not independent landlord verification.</t>
        </is>
      </c>
    </row>
    <row r="44">
      <c r="A44" t="inlineStr">
        <is>
          <t>5x5ph7m</t>
        </is>
      </c>
      <c r="B44" t="inlineStr">
        <is>
          <t>Redpoint Raleigh</t>
        </is>
      </c>
      <c r="C44" t="inlineStr">
        <is>
          <t>https://offcampus.dasa.ncsu.edu/housing/property/redpoint-raleigh/5x5ph7m</t>
        </is>
      </c>
      <c r="D44" t="inlineStr">
        <is>
          <t>Per bedroom</t>
        </is>
      </c>
      <c r="E44" s="3" t="n">
        <v>35.785793</v>
      </c>
      <c r="F44" s="3" t="n">
        <v>-78.729156</v>
      </c>
      <c r="G44" s="2" t="n">
        <v>899</v>
      </c>
      <c r="H44" s="2" t="n">
        <v>995</v>
      </c>
      <c r="I44" s="2">
        <f>(G44+H44)/2</f>
        <v/>
      </c>
      <c r="J44" s="3" t="n">
        <v>2.696273350307905</v>
      </c>
      <c r="K44" t="inlineStr">
        <is>
          <t>&gt;1–3 mi</t>
        </is>
      </c>
      <c r="L44" s="3" t="n">
        <v>3.127175273739738</v>
      </c>
      <c r="M44" t="inlineStr">
        <is>
          <t>&gt;3–5 mi</t>
        </is>
      </c>
      <c r="N44" s="3" t="n">
        <v>1.655983632109707</v>
      </c>
      <c r="O44" t="inlineStr">
        <is>
          <t>&gt;1–3 mi</t>
        </is>
      </c>
      <c r="P44" t="n">
        <v>1</v>
      </c>
      <c r="Q44" t="n">
        <v>1</v>
      </c>
      <c r="R44" s="5" t="inlineStr">
        <is>
          <t>Included in rent means | Source pricing flag retained; automated consistency checks passed. This is not independent landlord verification.</t>
        </is>
      </c>
    </row>
    <row r="45">
      <c r="A45" t="inlineStr">
        <is>
          <t>ocp5z7c91m</t>
        </is>
      </c>
      <c r="B45" t="inlineStr">
        <is>
          <t>$300 off 1st month's rent! Spacious 3BD/2.5BA Townhome Rental available near NCSU for fall semester!</t>
        </is>
      </c>
      <c r="C45" t="inlineStr">
        <is>
          <t>https://offcampus.dasa.ncsu.edu/housing/property/300-off-1st-months-rent-spacious-3bd-2-5ba-townhome-rental-available-near-ncsu-for-fall-semester/ocp5z7c91m</t>
        </is>
      </c>
      <c r="D45" t="inlineStr">
        <is>
          <t>Whole unit</t>
        </is>
      </c>
      <c r="E45" s="3" t="n">
        <v>35.773756</v>
      </c>
      <c r="F45" s="3" t="n">
        <v>-78.696867</v>
      </c>
      <c r="G45" s="2" t="n">
        <v>1800</v>
      </c>
      <c r="H45" s="2" t="n">
        <v>1800</v>
      </c>
      <c r="I45" s="2">
        <f>(G45+H45)/2</f>
        <v/>
      </c>
      <c r="J45" s="3" t="n">
        <v>0.939573137924042</v>
      </c>
      <c r="K45" t="inlineStr">
        <is>
          <t>0–1 mi</t>
        </is>
      </c>
      <c r="L45" s="3" t="n">
        <v>1.140520992410598</v>
      </c>
      <c r="M45" t="inlineStr">
        <is>
          <t>&gt;1–3 mi</t>
        </is>
      </c>
      <c r="N45" s="3" t="n">
        <v>1.754780564325099</v>
      </c>
      <c r="O45" t="inlineStr">
        <is>
          <t>&gt;1–3 mi</t>
        </is>
      </c>
      <c r="P45" t="n">
        <v>1</v>
      </c>
      <c r="Q45" t="n">
        <v>0</v>
      </c>
      <c r="R45" s="5" t="inlineStr">
        <is>
          <t>Included in rent means | Source pricing flag retained; automated consistency checks passed. This is not independent landlord verification.</t>
        </is>
      </c>
    </row>
    <row r="46">
      <c r="A46" t="inlineStr">
        <is>
          <t>syvz9l4</t>
        </is>
      </c>
      <c r="B46" t="inlineStr">
        <is>
          <t>The Wilde</t>
        </is>
      </c>
      <c r="C46" t="inlineStr">
        <is>
          <t>https://offcampus.dasa.ncsu.edu/housing/property/the-wilde/syvz9l4</t>
        </is>
      </c>
      <c r="D46" t="inlineStr">
        <is>
          <t>Per bedroom</t>
        </is>
      </c>
      <c r="E46" s="3" t="n">
        <v>35.751208</v>
      </c>
      <c r="F46" s="3" t="n">
        <v>-78.691361</v>
      </c>
      <c r="G46" s="2" t="n">
        <v>599</v>
      </c>
      <c r="H46" s="2" t="n">
        <v>920</v>
      </c>
      <c r="I46" s="2">
        <f>(G46+H46)/2</f>
        <v/>
      </c>
      <c r="J46" s="3" t="n">
        <v>2.029406075000037</v>
      </c>
      <c r="K46" t="inlineStr">
        <is>
          <t>&gt;1–3 mi</t>
        </is>
      </c>
      <c r="L46" s="3" t="n">
        <v>1.43688318271336</v>
      </c>
      <c r="M46" t="inlineStr">
        <is>
          <t>&gt;1–3 mi</t>
        </is>
      </c>
      <c r="N46" s="3" t="n">
        <v>3.34242386821401</v>
      </c>
      <c r="O46" t="inlineStr">
        <is>
          <t>&gt;3–5 mi</t>
        </is>
      </c>
      <c r="P46" t="n">
        <v>1</v>
      </c>
      <c r="Q46" t="n">
        <v>1</v>
      </c>
      <c r="R46" s="5" t="inlineStr">
        <is>
          <t>Included in rent means | Source pricing flag retained; automated consistency checks passed. This is not independent landlord verification.</t>
        </is>
      </c>
    </row>
    <row r="47">
      <c r="A47" t="inlineStr">
        <is>
          <t>ocph8n0fc0</t>
        </is>
      </c>
      <c r="B47" t="inlineStr">
        <is>
          <t>Affordable Student Housing 1 Block from Campus on Wolf Line</t>
        </is>
      </c>
      <c r="C47" t="inlineStr">
        <is>
          <t>https://offcampus.dasa.ncsu.edu/housing/property/affordable-student-housing-1-block-from-campus-on-wolf-line/ocph8n0fc0</t>
        </is>
      </c>
      <c r="D47" t="inlineStr">
        <is>
          <t>Per bedroom</t>
        </is>
      </c>
      <c r="E47" s="3" t="n">
        <v>35.782901</v>
      </c>
      <c r="F47" s="3" t="n">
        <v>-78.688396</v>
      </c>
      <c r="G47" s="2" t="n">
        <v>640</v>
      </c>
      <c r="H47" s="2" t="n">
        <v>640</v>
      </c>
      <c r="I47" s="2">
        <f>(G47+H47)/2</f>
        <v/>
      </c>
      <c r="J47" s="3" t="n">
        <v>0.4434046525051278</v>
      </c>
      <c r="K47" t="inlineStr">
        <is>
          <t>0–1 mi</t>
        </is>
      </c>
      <c r="L47" s="3" t="n">
        <v>1.155771517851646</v>
      </c>
      <c r="M47" t="inlineStr">
        <is>
          <t>&gt;1–3 mi</t>
        </is>
      </c>
      <c r="N47" s="3" t="n">
        <v>1.389187657426951</v>
      </c>
      <c r="O47" t="inlineStr">
        <is>
          <t>&gt;1–3 mi</t>
        </is>
      </c>
      <c r="P47" t="n">
        <v>1</v>
      </c>
      <c r="Q47" t="n">
        <v>1</v>
      </c>
      <c r="R47" s="5" t="inlineStr">
        <is>
          <t>Included in rent means | Source pricing flag retained; automated consistency checks passed. This is not independent landlord verification.</t>
        </is>
      </c>
    </row>
    <row r="48">
      <c r="A48" t="inlineStr">
        <is>
          <t>61y0ywr</t>
        </is>
      </c>
      <c r="B48" t="inlineStr">
        <is>
          <t>Hub Raleigh</t>
        </is>
      </c>
      <c r="C48" t="inlineStr">
        <is>
          <t>https://offcampus.dasa.ncsu.edu/housing/property/hub-raleigh/61y0ywr</t>
        </is>
      </c>
      <c r="D48" t="inlineStr">
        <is>
          <t>Review</t>
        </is>
      </c>
      <c r="E48" s="3" t="n">
        <v>35.784382</v>
      </c>
      <c r="F48" s="3" t="n">
        <v>-78.660298</v>
      </c>
      <c r="G48" s="2" t="n">
        <v>799</v>
      </c>
      <c r="H48" s="2" t="n">
        <v>1599</v>
      </c>
      <c r="I48" s="2">
        <f>(G48+H48)/2</f>
        <v/>
      </c>
      <c r="J48" s="3" t="n">
        <v>1.244878212874829</v>
      </c>
      <c r="K48" t="inlineStr">
        <is>
          <t>&gt;1–3 mi</t>
        </is>
      </c>
      <c r="L48" s="3" t="n">
        <v>1.450461826929769</v>
      </c>
      <c r="M48" t="inlineStr">
        <is>
          <t>&gt;1–3 mi</t>
        </is>
      </c>
      <c r="N48" s="3" t="n">
        <v>2.639787926637458</v>
      </c>
      <c r="O48" t="inlineStr">
        <is>
          <t>&gt;1–3 mi</t>
        </is>
      </c>
      <c r="P48" t="n">
        <v>1</v>
      </c>
      <c r="Q48" t="n">
        <v>0</v>
      </c>
      <c r="R48" s="5" t="inlineStr">
        <is>
          <t>Excluded from rent means | Unresolved pricing basis | Hub Raleigh advertises individual leases, studios and multi-bedroom plans, but saved flags mark every plan as whole-unit. Cannot reliably allocate the single $799–$1,599 property range between personal and dwelling prices. Excluded pending plan-level pricing confirmation.</t>
        </is>
      </c>
    </row>
    <row r="49">
      <c r="A49" t="inlineStr">
        <is>
          <t>ocp1tnqde5</t>
        </is>
      </c>
      <c r="B49" t="inlineStr">
        <is>
          <t>2 blocks from central campus, 2 blocks from Village District!</t>
        </is>
      </c>
      <c r="C49" t="inlineStr">
        <is>
          <t>https://offcampus.dasa.ncsu.edu/housing/property/2-blocks-from-central-campus-2-blocks-from-village-district/ocp1tnqde5</t>
        </is>
      </c>
      <c r="D49" t="inlineStr">
        <is>
          <t>Whole unit</t>
        </is>
      </c>
      <c r="E49" s="3" t="n">
        <v>35.7886</v>
      </c>
      <c r="F49" s="3" t="n">
        <v>-78.66418</v>
      </c>
      <c r="G49" s="2" t="n">
        <v>3900</v>
      </c>
      <c r="H49" s="2" t="n">
        <v>3900</v>
      </c>
      <c r="I49" s="2">
        <f>(G49+H49)/2</f>
        <v/>
      </c>
      <c r="J49" s="3" t="n">
        <v>1.164726762994781</v>
      </c>
      <c r="K49" t="inlineStr">
        <is>
          <t>&gt;1–3 mi</t>
        </is>
      </c>
      <c r="L49" s="3" t="n">
        <v>1.564604456511641</v>
      </c>
      <c r="M49" t="inlineStr">
        <is>
          <t>&gt;1–3 mi</t>
        </is>
      </c>
      <c r="N49" s="3" t="n">
        <v>2.337820052761109</v>
      </c>
      <c r="O49" t="inlineStr">
        <is>
          <t>&gt;1–3 mi</t>
        </is>
      </c>
      <c r="P49" t="n">
        <v>1</v>
      </c>
      <c r="Q49" t="n">
        <v>0</v>
      </c>
      <c r="R49" s="5" t="inlineStr">
        <is>
          <t>Included in rent means | Source pricing flag retained; automated consistency checks passed. This is not independent landlord verification.</t>
        </is>
      </c>
    </row>
    <row r="50">
      <c r="A50" t="inlineStr">
        <is>
          <t>dw0f7sh</t>
        </is>
      </c>
      <c r="B50" t="inlineStr">
        <is>
          <t>Campus Edge</t>
        </is>
      </c>
      <c r="C50" t="inlineStr">
        <is>
          <t>https://offcampus.dasa.ncsu.edu/housing/property/campus-edge/dw0f7sh</t>
        </is>
      </c>
      <c r="D50" t="inlineStr">
        <is>
          <t>Review</t>
        </is>
      </c>
      <c r="E50" s="3" t="n">
        <v>35.754317</v>
      </c>
      <c r="F50" s="3" t="n">
        <v>-78.697608</v>
      </c>
      <c r="G50" s="2" t="n">
        <v>955</v>
      </c>
      <c r="H50" s="2" t="n">
        <v>980</v>
      </c>
      <c r="I50" s="2">
        <f>(G50+H50)/2</f>
        <v/>
      </c>
      <c r="J50" s="3" t="n">
        <v>1.956353150263076</v>
      </c>
      <c r="K50" t="inlineStr">
        <is>
          <t>&gt;1–3 mi</t>
        </is>
      </c>
      <c r="L50" s="3" t="n">
        <v>1.502853580987278</v>
      </c>
      <c r="M50" t="inlineStr">
        <is>
          <t>&gt;1–3 mi</t>
        </is>
      </c>
      <c r="N50" s="3" t="n">
        <v>3.072178045733536</v>
      </c>
      <c r="O50" t="inlineStr">
        <is>
          <t>&gt;3–5 mi</t>
        </is>
      </c>
      <c r="P50" t="n">
        <v>1</v>
      </c>
      <c r="Q50" t="n">
        <v>0</v>
      </c>
      <c r="R50" s="5" t="inlineStr">
        <is>
          <t>Excluded from rent means | Unresolved pricing basis; Search/detail price mismatch | Saved floor plans contain both per-bedroom and whole-unit flags. A single property range cannot be assigned a reliable common pricing basis; no division by bedroom count or price substitution. Search summary: $955–$980; saved floor-plan envelope: $905–$1895. Difference may reflect fees, timing or scope; unresolved snapshot price excluded.</t>
        </is>
      </c>
    </row>
    <row r="51">
      <c r="A51" t="inlineStr">
        <is>
          <t>ocp85fz0j3</t>
        </is>
      </c>
      <c r="B51" t="inlineStr">
        <is>
          <t>Brand-New 4BR Townhomes - Eight at State</t>
        </is>
      </c>
      <c r="C51" t="inlineStr">
        <is>
          <t>https://offcampus.dasa.ncsu.edu/housing/property/brand-new-4br-townhomes-eight-at-state/ocp85fz0j3</t>
        </is>
      </c>
      <c r="D51" t="inlineStr">
        <is>
          <t>Whole unit</t>
        </is>
      </c>
      <c r="E51" s="3" t="n">
        <v>35.785424</v>
      </c>
      <c r="F51" s="3" t="n">
        <v>-78.69629999999999</v>
      </c>
      <c r="G51" s="2" t="n">
        <v>4000</v>
      </c>
      <c r="H51" s="2" t="n">
        <v>4000</v>
      </c>
      <c r="I51" s="2">
        <f>(G51+H51)/2</f>
        <v/>
      </c>
      <c r="J51" s="3" t="n">
        <v>0.9156996456954375</v>
      </c>
      <c r="K51" t="inlineStr">
        <is>
          <t>0–1 mi</t>
        </is>
      </c>
      <c r="L51" s="3" t="n">
        <v>1.563906170903438</v>
      </c>
      <c r="M51" t="inlineStr">
        <is>
          <t>&gt;1–3 mi</t>
        </is>
      </c>
      <c r="N51" s="3" t="n">
        <v>1.00131419803659</v>
      </c>
      <c r="O51" t="inlineStr">
        <is>
          <t>&gt;1–3 mi</t>
        </is>
      </c>
      <c r="P51" t="n">
        <v>1</v>
      </c>
      <c r="Q51" t="n">
        <v>0</v>
      </c>
      <c r="R51" s="5" t="inlineStr">
        <is>
          <t>Included in rent means | Source pricing flag retained; automated consistency checks passed. This is not independent landlord verification.</t>
        </is>
      </c>
    </row>
    <row r="52">
      <c r="A52" t="inlineStr">
        <is>
          <t>zfcjzqy</t>
        </is>
      </c>
      <c r="B52" t="inlineStr">
        <is>
          <t>Yugo Raleigh Logan</t>
        </is>
      </c>
      <c r="C52" t="inlineStr">
        <is>
          <t>https://offcampus.dasa.ncsu.edu/housing/property/yugo-raleigh-logan/zfcjzqy</t>
        </is>
      </c>
      <c r="D52" t="inlineStr">
        <is>
          <t>Review</t>
        </is>
      </c>
      <c r="E52" s="3" t="n">
        <v>35.788293</v>
      </c>
      <c r="F52" s="3" t="n">
        <v>-78.66538199999999</v>
      </c>
      <c r="G52" s="2" t="n">
        <v>999</v>
      </c>
      <c r="H52" s="2" t="n">
        <v>1879</v>
      </c>
      <c r="I52" s="2">
        <f>(G52+H52)/2</f>
        <v/>
      </c>
      <c r="J52" s="3" t="n">
        <v>1.096707386806038</v>
      </c>
      <c r="K52" t="inlineStr">
        <is>
          <t>&gt;1–3 mi</t>
        </is>
      </c>
      <c r="L52" s="3" t="n">
        <v>1.51460714892876</v>
      </c>
      <c r="M52" t="inlineStr">
        <is>
          <t>&gt;1–3 mi</t>
        </is>
      </c>
      <c r="N52" s="3" t="n">
        <v>2.279926650287895</v>
      </c>
      <c r="O52" t="inlineStr">
        <is>
          <t>&gt;1–3 mi</t>
        </is>
      </c>
      <c r="P52" t="n">
        <v>1</v>
      </c>
      <c r="Q52" t="n">
        <v>0</v>
      </c>
      <c r="R52" s="5" t="inlineStr">
        <is>
          <t>Excluded from rent means | Unresolved pricing basis | Saved floor plans contain both per-bedroom and whole-unit flags. A single property range cannot be assigned a reliable common pricing basis; no division by bedroom count or price substitution.</t>
        </is>
      </c>
    </row>
    <row r="53">
      <c r="A53" t="inlineStr">
        <is>
          <t>ocpx3vt61n</t>
        </is>
      </c>
      <c r="B53" t="inlineStr">
        <is>
          <t>FURNISHED NCSU STUDENT HOUSING – TOWNHOME ROOM RENTAL WITH PRIVATE BATHROOM ($850/room)</t>
        </is>
      </c>
      <c r="C53" t="inlineStr">
        <is>
          <t>https://offcampus.dasa.ncsu.edu/housing/property/furnished-ncsu-student-housing-townhome-room-rental-with-private-bathroom-850-room/ocpx3vt61n</t>
        </is>
      </c>
      <c r="D53" t="inlineStr">
        <is>
          <t>Per bedroom</t>
        </is>
      </c>
      <c r="E53" s="3" t="n">
        <v>35.784785</v>
      </c>
      <c r="F53" s="3" t="n">
        <v>-78.724642</v>
      </c>
      <c r="G53" s="2" t="n">
        <v>850</v>
      </c>
      <c r="H53" s="2" t="n">
        <v>850</v>
      </c>
      <c r="I53" s="2">
        <f>(G53+H53)/2</f>
        <v/>
      </c>
      <c r="J53" s="3" t="n">
        <v>2.435520930724833</v>
      </c>
      <c r="K53" t="inlineStr">
        <is>
          <t>&gt;1–3 mi</t>
        </is>
      </c>
      <c r="L53" s="3" t="n">
        <v>2.866761897462896</v>
      </c>
      <c r="M53" t="inlineStr">
        <is>
          <t>&gt;1–3 mi</t>
        </is>
      </c>
      <c r="N53" s="3" t="n">
        <v>1.490662795107468</v>
      </c>
      <c r="O53" t="inlineStr">
        <is>
          <t>&gt;1–3 mi</t>
        </is>
      </c>
      <c r="P53" t="n">
        <v>1</v>
      </c>
      <c r="Q53" t="n">
        <v>1</v>
      </c>
      <c r="R53" s="5" t="inlineStr">
        <is>
          <t>Included in rent means | Source pricing flag retained; automated consistency checks passed. This is not independent landlord verification.</t>
        </is>
      </c>
    </row>
    <row r="54">
      <c r="A54" t="inlineStr">
        <is>
          <t>9rxe6j6</t>
        </is>
      </c>
      <c r="B54" t="inlineStr">
        <is>
          <t>The Dakota</t>
        </is>
      </c>
      <c r="C54" t="inlineStr">
        <is>
          <t>https://offcampus.dasa.ncsu.edu/housing/property/the-dakota/9rxe6j6</t>
        </is>
      </c>
      <c r="D54" t="inlineStr">
        <is>
          <t>Whole unit</t>
        </is>
      </c>
      <c r="E54" s="3" t="n">
        <v>35.798105</v>
      </c>
      <c r="F54" s="3" t="n">
        <v>-78.735625</v>
      </c>
      <c r="G54" s="2" t="n">
        <v>1316</v>
      </c>
      <c r="H54" s="2" t="n">
        <v>2017</v>
      </c>
      <c r="I54" s="2">
        <f>(G54+H54)/2</f>
        <v/>
      </c>
      <c r="J54" s="3" t="n">
        <v>3.285117150379388</v>
      </c>
      <c r="K54" t="inlineStr">
        <is>
          <t>&gt;3–5 mi</t>
        </is>
      </c>
      <c r="L54" s="3" t="n">
        <v>3.839538648280358</v>
      </c>
      <c r="M54" t="inlineStr">
        <is>
          <t>&gt;3–5 mi</t>
        </is>
      </c>
      <c r="N54" s="3" t="n">
        <v>1.767973664254091</v>
      </c>
      <c r="O54" t="inlineStr">
        <is>
          <t>&gt;1–3 mi</t>
        </is>
      </c>
      <c r="P54" t="n">
        <v>1</v>
      </c>
      <c r="Q54" t="n">
        <v>0</v>
      </c>
      <c r="R54" s="5" t="inlineStr">
        <is>
          <t>Excluded from rent means | Search/detail price mismatch | Source pricing flag retained; automated consistency checks passed. This is not independent landlord verification. Search summary: $1316–$2017; saved floor-plan envelope: $1330–$2017. Difference may reflect fees, timing or scope; unresolved snapshot price excluded.</t>
        </is>
      </c>
    </row>
    <row r="55">
      <c r="A55" t="inlineStr">
        <is>
          <t>ocp5km4x4p</t>
        </is>
      </c>
      <c r="B55" t="inlineStr">
        <is>
          <t>Private Townhome in North Raleigh</t>
        </is>
      </c>
      <c r="C55" t="inlineStr">
        <is>
          <t>https://offcampus.dasa.ncsu.edu/housing/property/private-townhome-in-north-raleigh/ocp5km4x4p</t>
        </is>
      </c>
      <c r="D55" t="inlineStr">
        <is>
          <t>Whole unit</t>
        </is>
      </c>
      <c r="E55" s="3" t="n">
        <v>35.86681</v>
      </c>
      <c r="F55" s="3" t="n">
        <v>-78.69826</v>
      </c>
      <c r="G55" s="2" t="n">
        <v>1495</v>
      </c>
      <c r="H55" s="2" t="n">
        <v>1495</v>
      </c>
      <c r="I55" s="2">
        <f>(G55+H55)/2</f>
        <v/>
      </c>
      <c r="J55" s="3" t="n">
        <v>6.10295487771107</v>
      </c>
      <c r="K55" t="inlineStr">
        <is>
          <t>Outside 5 mi</t>
        </is>
      </c>
      <c r="L55" s="3" t="n">
        <v>6.8778161699776</v>
      </c>
      <c r="M55" t="inlineStr">
        <is>
          <t>Outside 5 mi</t>
        </is>
      </c>
      <c r="N55" s="3" t="n">
        <v>4.733085484404196</v>
      </c>
      <c r="O55" t="inlineStr">
        <is>
          <t>&gt;3–5 mi</t>
        </is>
      </c>
      <c r="P55" t="n">
        <v>1</v>
      </c>
      <c r="Q55" t="n">
        <v>0</v>
      </c>
      <c r="R55" s="5" t="inlineStr">
        <is>
          <t>Included in rent means | Source pricing flag retained; automated consistency checks passed. This is not independent landlord verification.</t>
        </is>
      </c>
    </row>
    <row r="56">
      <c r="A56" t="inlineStr">
        <is>
          <t>xr4rsmq</t>
        </is>
      </c>
      <c r="B56" t="inlineStr">
        <is>
          <t>Pine Knoll Apartments</t>
        </is>
      </c>
      <c r="C56" t="inlineStr">
        <is>
          <t>https://offcampus.dasa.ncsu.edu/housing/property/pine-knoll-apartments/xr4rsmq</t>
        </is>
      </c>
      <c r="D56" t="inlineStr">
        <is>
          <t>Whole unit</t>
        </is>
      </c>
      <c r="E56" s="3" t="n">
        <v>35.773534</v>
      </c>
      <c r="F56" s="3" t="n">
        <v>-78.682627</v>
      </c>
      <c r="G56" s="2" t="n">
        <v>1095</v>
      </c>
      <c r="H56" s="2" t="n">
        <v>1095</v>
      </c>
      <c r="I56" s="2">
        <f>(G56+H56)/2</f>
        <v/>
      </c>
      <c r="J56" s="3" t="n">
        <v>0.4163007079987192</v>
      </c>
      <c r="K56" t="inlineStr">
        <is>
          <t>0–1 mi</t>
        </is>
      </c>
      <c r="L56" s="3" t="n">
        <v>0.4406393861130139</v>
      </c>
      <c r="M56" t="inlineStr">
        <is>
          <t>0–1 mi</t>
        </is>
      </c>
      <c r="N56" s="3" t="n">
        <v>2.101010492443549</v>
      </c>
      <c r="O56" t="inlineStr">
        <is>
          <t>&gt;1–3 mi</t>
        </is>
      </c>
      <c r="P56" t="n">
        <v>1</v>
      </c>
      <c r="Q56" t="n">
        <v>0</v>
      </c>
      <c r="R56" s="5" t="inlineStr">
        <is>
          <t>Included in rent means | Source pricing flag retained; automated consistency checks passed. This is not independent landlord verification.</t>
        </is>
      </c>
    </row>
    <row r="57">
      <c r="A57" t="inlineStr">
        <is>
          <t>ocpwwwe8yh</t>
        </is>
      </c>
      <c r="B57" t="inlineStr">
        <is>
          <t>FURNISHED TOWNHOME RENTAL – 10 Mins to NCSU - 3 Bedroom - starting $750 per room</t>
        </is>
      </c>
      <c r="C57" t="inlineStr">
        <is>
          <t>https://offcampus.dasa.ncsu.edu/housing/property/furnished-townhome-rental-10-mins-to-ncsu-3-bedroom-starting-750-per-room/ocpwwwe8yh</t>
        </is>
      </c>
      <c r="D57" t="inlineStr">
        <is>
          <t>Per bedroom</t>
        </is>
      </c>
      <c r="E57" s="3" t="n">
        <v>35.739252</v>
      </c>
      <c r="F57" s="3" t="n">
        <v>-78.628621</v>
      </c>
      <c r="G57" s="2" t="n">
        <v>750</v>
      </c>
      <c r="H57" s="2" t="n">
        <v>750</v>
      </c>
      <c r="I57" s="2">
        <f>(G57+H57)/2</f>
        <v/>
      </c>
      <c r="J57" s="3" t="n">
        <v>4.072730365283987</v>
      </c>
      <c r="K57" t="inlineStr">
        <is>
          <t>&gt;3–5 mi</t>
        </is>
      </c>
      <c r="L57" s="3" t="n">
        <v>3.413418351720542</v>
      </c>
      <c r="M57" t="inlineStr">
        <is>
          <t>&gt;3–5 mi</t>
        </is>
      </c>
      <c r="N57" s="3" t="n">
        <v>5.885282795596326</v>
      </c>
      <c r="O57" t="inlineStr">
        <is>
          <t>Outside 5 mi</t>
        </is>
      </c>
      <c r="P57" t="n">
        <v>1</v>
      </c>
      <c r="Q57" t="n">
        <v>1</v>
      </c>
      <c r="R57" s="5" t="inlineStr">
        <is>
          <t>Included in rent means | Source pricing flag retained; automated consistency checks passed. This is not independent landlord verification.</t>
        </is>
      </c>
    </row>
    <row r="58">
      <c r="A58" t="inlineStr">
        <is>
          <t>5je4q3n</t>
        </is>
      </c>
      <c r="B58" t="inlineStr">
        <is>
          <t>Signature 1505</t>
        </is>
      </c>
      <c r="C58" t="inlineStr">
        <is>
          <t>https://offcampus.dasa.ncsu.edu/housing/property/signature-1505/5je4q3n</t>
        </is>
      </c>
      <c r="D58" t="inlineStr">
        <is>
          <t>Per bedroom</t>
        </is>
      </c>
      <c r="E58" s="3" t="n">
        <v>35.78383</v>
      </c>
      <c r="F58" s="3" t="n">
        <v>-78.658382</v>
      </c>
      <c r="G58" s="2" t="n">
        <v>650</v>
      </c>
      <c r="H58" s="2" t="n">
        <v>1305</v>
      </c>
      <c r="I58" s="2">
        <f>(G58+H58)/2</f>
        <v/>
      </c>
      <c r="J58" s="3" t="n">
        <v>1.339579030176291</v>
      </c>
      <c r="K58" t="inlineStr">
        <is>
          <t>&gt;1–3 mi</t>
        </is>
      </c>
      <c r="L58" s="3" t="n">
        <v>1.497103154260436</v>
      </c>
      <c r="M58" t="inlineStr">
        <is>
          <t>&gt;1–3 mi</t>
        </is>
      </c>
      <c r="N58" s="3" t="n">
        <v>2.753678573077078</v>
      </c>
      <c r="O58" t="inlineStr">
        <is>
          <t>&gt;1–3 mi</t>
        </is>
      </c>
      <c r="P58" t="n">
        <v>1</v>
      </c>
      <c r="Q58" t="n">
        <v>1</v>
      </c>
      <c r="R58" s="5" t="inlineStr">
        <is>
          <t>Included in rent means | Source pricing flag retained; automated consistency checks passed. This is not independent landlord verification.</t>
        </is>
      </c>
    </row>
    <row r="59">
      <c r="A59" t="inlineStr">
        <is>
          <t>ocptf3fhqb</t>
        </is>
      </c>
      <c r="B59" t="inlineStr">
        <is>
          <t>Spacious 2BD/1BA apartment available 08/01/26- 1 block from the NCSU McKimmon Center!</t>
        </is>
      </c>
      <c r="C59" t="inlineStr">
        <is>
          <t>https://offcampus.dasa.ncsu.edu/housing/property/spacious-2bd-1ba-apartment-available-08-01-26-1-block-from-the-ncsu-mckimmon-center/ocptf3fhqb</t>
        </is>
      </c>
      <c r="D59" t="inlineStr">
        <is>
          <t>Whole unit</t>
        </is>
      </c>
      <c r="E59" s="3" t="n">
        <v>35.7814</v>
      </c>
      <c r="F59" s="3" t="n">
        <v>-78.688225</v>
      </c>
      <c r="G59" s="2" t="n">
        <v>1200</v>
      </c>
      <c r="H59" s="2" t="n">
        <v>1200</v>
      </c>
      <c r="I59" s="2">
        <f>(G59+H59)/2</f>
        <v/>
      </c>
      <c r="J59" s="3" t="n">
        <v>0.3894148825910729</v>
      </c>
      <c r="K59" t="inlineStr">
        <is>
          <t>0–1 mi</t>
        </is>
      </c>
      <c r="L59" s="3" t="n">
        <v>1.06368908294829</v>
      </c>
      <c r="M59" t="inlineStr">
        <is>
          <t>&gt;1–3 mi</t>
        </is>
      </c>
      <c r="N59" s="3" t="n">
        <v>1.476711448804497</v>
      </c>
      <c r="O59" t="inlineStr">
        <is>
          <t>&gt;1–3 mi</t>
        </is>
      </c>
      <c r="P59" t="n">
        <v>1</v>
      </c>
      <c r="Q59" t="n">
        <v>0</v>
      </c>
      <c r="R59" s="5" t="inlineStr">
        <is>
          <t>Included in rent means | Source pricing flag retained; automated consistency checks passed. This is not independent landlord verification.</t>
        </is>
      </c>
    </row>
    <row r="60">
      <c r="A60" t="inlineStr">
        <is>
          <t>h2l8mh2</t>
        </is>
      </c>
      <c r="B60" t="inlineStr">
        <is>
          <t>Redfield Villages</t>
        </is>
      </c>
      <c r="C60" t="inlineStr">
        <is>
          <t>https://offcampus.dasa.ncsu.edu/housing/property/redfield-villages/h2l8mh2</t>
        </is>
      </c>
      <c r="D60" t="inlineStr">
        <is>
          <t>Per bedroom</t>
        </is>
      </c>
      <c r="E60" s="3" t="n">
        <v>35.785828</v>
      </c>
      <c r="F60" s="3" t="n">
        <v>-78.688022</v>
      </c>
      <c r="G60" s="2" t="n">
        <v>799</v>
      </c>
      <c r="H60" s="2" t="n">
        <v>899</v>
      </c>
      <c r="I60" s="2">
        <f>(G60+H60)/2</f>
        <v/>
      </c>
      <c r="J60" s="3" t="n">
        <v>0.5629608787051384</v>
      </c>
      <c r="K60" t="inlineStr">
        <is>
          <t>0–1 mi</t>
        </is>
      </c>
      <c r="L60" s="3" t="n">
        <v>1.322267261836766</v>
      </c>
      <c r="M60" t="inlineStr">
        <is>
          <t>&gt;1–3 mi</t>
        </is>
      </c>
      <c r="N60" s="3" t="n">
        <v>1.254154803633013</v>
      </c>
      <c r="O60" t="inlineStr">
        <is>
          <t>&gt;1–3 mi</t>
        </is>
      </c>
      <c r="P60" t="n">
        <v>1</v>
      </c>
      <c r="Q60" t="n">
        <v>1</v>
      </c>
      <c r="R60" s="5" t="inlineStr">
        <is>
          <t>Included in rent means | Source pricing flag retained; automated consistency checks passed. This is not independent landlord verification.</t>
        </is>
      </c>
    </row>
    <row r="61">
      <c r="A61" t="inlineStr">
        <is>
          <t>ocpthnbmc9</t>
        </is>
      </c>
      <c r="B61" t="inlineStr">
        <is>
          <t>Luxury 4 Bedroom 4 Full Bath w free parking, 1 gig internet included. 2027-2028 School yea</t>
        </is>
      </c>
      <c r="C61" t="inlineStr">
        <is>
          <t>https://offcampus.dasa.ncsu.edu/housing/property/luxury-4-bedroom-4-full-bath-w-free-parking-1-gig-internet-included-2027-2028-school-yea/ocpthnbmc9</t>
        </is>
      </c>
      <c r="D61" t="inlineStr">
        <is>
          <t>Whole unit</t>
        </is>
      </c>
      <c r="E61" s="3" t="n">
        <v>35.777786</v>
      </c>
      <c r="F61" s="3" t="n">
        <v>-78.687882</v>
      </c>
      <c r="G61" s="2" t="n">
        <v>4000</v>
      </c>
      <c r="H61" s="2" t="n">
        <v>4000</v>
      </c>
      <c r="I61" s="2">
        <f>(G61+H61)/2</f>
        <v/>
      </c>
      <c r="J61" s="3" t="n">
        <v>0.3674890989063181</v>
      </c>
      <c r="K61" t="inlineStr">
        <is>
          <t>0–1 mi</t>
        </is>
      </c>
      <c r="L61" s="3" t="n">
        <v>0.856054284021541</v>
      </c>
      <c r="M61" t="inlineStr">
        <is>
          <t>0–1 mi</t>
        </is>
      </c>
      <c r="N61" s="3" t="n">
        <v>1.693107799577496</v>
      </c>
      <c r="O61" t="inlineStr">
        <is>
          <t>&gt;1–3 mi</t>
        </is>
      </c>
      <c r="P61" t="n">
        <v>1</v>
      </c>
      <c r="Q61" t="n">
        <v>0</v>
      </c>
      <c r="R61" s="5" t="inlineStr">
        <is>
          <t>Included in rent means | Source pricing flag retained; automated consistency checks passed. This is not independent landlord verification.</t>
        </is>
      </c>
    </row>
    <row r="62">
      <c r="A62" t="inlineStr">
        <is>
          <t>vw4rv9e</t>
        </is>
      </c>
      <c r="B62" t="inlineStr">
        <is>
          <t>Signature at Varsity</t>
        </is>
      </c>
      <c r="C62" t="inlineStr">
        <is>
          <t>https://offcampus.dasa.ncsu.edu/housing/property/signature-at-varsity/vw4rv9e</t>
        </is>
      </c>
      <c r="D62" t="inlineStr">
        <is>
          <t>Review</t>
        </is>
      </c>
      <c r="E62" s="3" t="n">
        <v>35.778885</v>
      </c>
      <c r="F62" s="3" t="n">
        <v>-78.683032</v>
      </c>
      <c r="G62" s="2" t="n">
        <v>1249</v>
      </c>
      <c r="H62" s="2" t="n">
        <v>2222</v>
      </c>
      <c r="I62" s="2">
        <f>(G62+H62)/2</f>
        <v/>
      </c>
      <c r="J62" s="3" t="n">
        <v>0.08722465314823728</v>
      </c>
      <c r="K62" t="inlineStr">
        <is>
          <t>0–1 mi</t>
        </is>
      </c>
      <c r="L62" s="3" t="n">
        <v>0.7690160380200414</v>
      </c>
      <c r="M62" t="inlineStr">
        <is>
          <t>0–1 mi</t>
        </is>
      </c>
      <c r="N62" s="3" t="n">
        <v>1.795210821994915</v>
      </c>
      <c r="O62" t="inlineStr">
        <is>
          <t>&gt;1–3 mi</t>
        </is>
      </c>
      <c r="P62" t="n">
        <v>1</v>
      </c>
      <c r="Q62" t="n">
        <v>0</v>
      </c>
      <c r="R62" s="5" t="inlineStr">
        <is>
          <t>Excluded from rent means | Unresolved pricing basis | Signature at Varsity's saved studio/one-bedroom prices exceed its four/five-bedroom prices; all flags nevertheless say whole-unit. This is a pricing-basis review flag, not proof of an error. Excluded pending confirmation of plan-level basis; no inferred correction.</t>
        </is>
      </c>
    </row>
    <row r="63">
      <c r="A63" t="inlineStr">
        <is>
          <t>ocp8c26c92</t>
        </is>
      </c>
      <c r="B63" t="inlineStr">
        <is>
          <t>Fully Furnished 3BR Townhome Steps from Lake Johnson</t>
        </is>
      </c>
      <c r="C63" t="inlineStr">
        <is>
          <t>https://offcampus.dasa.ncsu.edu/housing/property/fully-furnished-3br-townhome-steps-from-lake-johnson/ocp8c26c92</t>
        </is>
      </c>
      <c r="D63" t="inlineStr">
        <is>
          <t>Whole unit</t>
        </is>
      </c>
      <c r="E63" s="3" t="n">
        <v>35.766646</v>
      </c>
      <c r="F63" s="3" t="n">
        <v>-78.707047</v>
      </c>
      <c r="G63" s="2" t="n">
        <v>2500</v>
      </c>
      <c r="H63" s="2" t="n">
        <v>2500</v>
      </c>
      <c r="I63" s="2">
        <f>(G63+H63)/2</f>
        <v/>
      </c>
      <c r="J63" s="3" t="n">
        <v>1.676949163646041</v>
      </c>
      <c r="K63" t="inlineStr">
        <is>
          <t>&gt;1–3 mi</t>
        </is>
      </c>
      <c r="L63" s="3" t="n">
        <v>1.662531241643757</v>
      </c>
      <c r="M63" t="inlineStr">
        <is>
          <t>&gt;1–3 mi</t>
        </is>
      </c>
      <c r="N63" s="3" t="n">
        <v>2.205109085592942</v>
      </c>
      <c r="O63" t="inlineStr">
        <is>
          <t>&gt;1–3 mi</t>
        </is>
      </c>
      <c r="P63" t="n">
        <v>1</v>
      </c>
      <c r="Q63" t="n">
        <v>0</v>
      </c>
      <c r="R63" s="5" t="inlineStr">
        <is>
          <t>Included in rent means | Source pricing flag retained; automated consistency checks passed. This is not independent landlord verification.</t>
        </is>
      </c>
    </row>
    <row r="64">
      <c r="A64" t="inlineStr">
        <is>
          <t>rf696l2</t>
        </is>
      </c>
      <c r="B64" t="inlineStr">
        <is>
          <t>Madison Hunters Glen</t>
        </is>
      </c>
      <c r="C64" t="inlineStr">
        <is>
          <t>https://offcampus.dasa.ncsu.edu/housing/property/madison-hunters-glen/rf696l2</t>
        </is>
      </c>
      <c r="D64" t="inlineStr">
        <is>
          <t>Whole unit</t>
        </is>
      </c>
      <c r="E64" s="3" t="n">
        <v>35.783971</v>
      </c>
      <c r="F64" s="3" t="n">
        <v>-78.719274</v>
      </c>
      <c r="G64" s="2" t="n">
        <v>1081</v>
      </c>
      <c r="H64" s="2" t="n">
        <v>1534</v>
      </c>
      <c r="I64" s="2">
        <f>(G64+H64)/2</f>
        <v/>
      </c>
      <c r="J64" s="3" t="n">
        <v>2.129643720078626</v>
      </c>
      <c r="K64" t="inlineStr">
        <is>
          <t>&gt;1–3 mi</t>
        </is>
      </c>
      <c r="L64" s="3" t="n">
        <v>2.568412635968355</v>
      </c>
      <c r="M64" t="inlineStr">
        <is>
          <t>&gt;1–3 mi</t>
        </is>
      </c>
      <c r="N64" s="3" t="n">
        <v>1.314806873451743</v>
      </c>
      <c r="O64" t="inlineStr">
        <is>
          <t>&gt;1–3 mi</t>
        </is>
      </c>
      <c r="P64" t="n">
        <v>1</v>
      </c>
      <c r="Q64" t="n">
        <v>0</v>
      </c>
      <c r="R64" s="5" t="inlineStr">
        <is>
          <t>Included in rent means | Source pricing flag retained; automated consistency checks passed. This is not independent landlord verification.</t>
        </is>
      </c>
    </row>
    <row r="65">
      <c r="A65" t="inlineStr">
        <is>
          <t>ocpszex2v4</t>
        </is>
      </c>
      <c r="B65" t="inlineStr">
        <is>
          <t>Spacious bedroom with private bath in 2BR townhome – 5 minutes to NC State</t>
        </is>
      </c>
      <c r="C65" t="inlineStr">
        <is>
          <t>https://offcampus.dasa.ncsu.edu/housing/property/spacious-bedroom-with-private-bath-in-2br-townhome-5-minutes-to-nc-state/ocpszex2v4</t>
        </is>
      </c>
      <c r="D65" t="inlineStr">
        <is>
          <t>Per bedroom</t>
        </is>
      </c>
      <c r="E65" s="3" t="n">
        <v>35.775635</v>
      </c>
      <c r="F65" s="3" t="n">
        <v>-78.69007999999999</v>
      </c>
      <c r="G65" s="2" t="n">
        <v>800</v>
      </c>
      <c r="H65" s="2" t="n">
        <v>800</v>
      </c>
      <c r="I65" s="2">
        <f>(G65+H65)/2</f>
        <v/>
      </c>
      <c r="J65" s="3" t="n">
        <v>0.541658593294487</v>
      </c>
      <c r="K65" t="inlineStr">
        <is>
          <t>0–1 mi</t>
        </is>
      </c>
      <c r="L65" s="3" t="n">
        <v>0.8526029879895402</v>
      </c>
      <c r="M65" t="inlineStr">
        <is>
          <t>0–1 mi</t>
        </is>
      </c>
      <c r="N65" s="3" t="n">
        <v>1.762102794973334</v>
      </c>
      <c r="O65" t="inlineStr">
        <is>
          <t>&gt;1–3 mi</t>
        </is>
      </c>
      <c r="P65" t="n">
        <v>1</v>
      </c>
      <c r="Q65" t="n">
        <v>1</v>
      </c>
      <c r="R65" s="5" t="inlineStr">
        <is>
          <t>Included in rent means | Source pricing flag retained; automated consistency checks passed. This is not independent landlord verification.</t>
        </is>
      </c>
    </row>
    <row r="66">
      <c r="A66" t="inlineStr">
        <is>
          <t>6mnn0qr</t>
        </is>
      </c>
      <c r="B66" t="inlineStr">
        <is>
          <t>Live on Hillsborough</t>
        </is>
      </c>
      <c r="C66" t="inlineStr">
        <is>
          <t>https://offcampus.dasa.ncsu.edu/housing/property/live-on-hillsborough/6mnn0qr</t>
        </is>
      </c>
      <c r="D66" t="inlineStr">
        <is>
          <t>Review</t>
        </is>
      </c>
      <c r="E66" s="3" t="n">
        <v>35.788966</v>
      </c>
      <c r="F66" s="3" t="n">
        <v>-78.67478300000001</v>
      </c>
      <c r="G66" s="2" t="n">
        <v>979</v>
      </c>
      <c r="H66" s="2" t="n">
        <v>1435</v>
      </c>
      <c r="I66" s="2">
        <f>(G66+H66)/2</f>
        <v/>
      </c>
      <c r="J66" s="3" t="n">
        <v>0.7591481973351238</v>
      </c>
      <c r="K66" t="inlineStr">
        <is>
          <t>0–1 mi</t>
        </is>
      </c>
      <c r="L66" s="3" t="n">
        <v>1.408505336947623</v>
      </c>
      <c r="M66" t="inlineStr">
        <is>
          <t>&gt;1–3 mi</t>
        </is>
      </c>
      <c r="N66" s="3" t="n">
        <v>1.768353473841175</v>
      </c>
      <c r="O66" t="inlineStr">
        <is>
          <t>&gt;1–3 mi</t>
        </is>
      </c>
      <c r="P66" t="n">
        <v>1</v>
      </c>
      <c r="Q66" t="n">
        <v>0</v>
      </c>
      <c r="R66" s="5" t="inlineStr">
        <is>
          <t>Excluded from rent means | Unresolved pricing basis | September 13 portal shows one-bedroom whole-unit prices and two/three-bedroom per-bedroom prices. The saved property range mixes these bases. Excluded rather than treating all floor plans as independent listings or assigning the whole range to one group.</t>
        </is>
      </c>
    </row>
    <row r="67">
      <c r="A67" t="inlineStr">
        <is>
          <t>ocp74dcp6w</t>
        </is>
      </c>
      <c r="B67" t="inlineStr">
        <is>
          <t>Crabtree Woods Townhome West Raleigh</t>
        </is>
      </c>
      <c r="C67" t="inlineStr">
        <is>
          <t>https://offcampus.dasa.ncsu.edu/housing/property/crabtree-woods-townhome-west-raleigh/ocp74dcp6w</t>
        </is>
      </c>
      <c r="D67" t="inlineStr">
        <is>
          <t>Whole unit</t>
        </is>
      </c>
      <c r="E67" s="3" t="n">
        <v>35.836233</v>
      </c>
      <c r="F67" s="3" t="n">
        <v>-78.68587599999999</v>
      </c>
      <c r="G67" s="2" t="n">
        <v>1595</v>
      </c>
      <c r="H67" s="2" t="n">
        <v>1595</v>
      </c>
      <c r="I67" s="2">
        <f>(G67+H67)/2</f>
        <v/>
      </c>
      <c r="J67" s="3" t="n">
        <v>3.926232158930219</v>
      </c>
      <c r="K67" t="inlineStr">
        <is>
          <t>&gt;3–5 mi</t>
        </is>
      </c>
      <c r="L67" s="3" t="n">
        <v>4.689633779601415</v>
      </c>
      <c r="M67" t="inlineStr">
        <is>
          <t>&gt;3–5 mi</t>
        </is>
      </c>
      <c r="N67" s="3" t="n">
        <v>2.801431415951003</v>
      </c>
      <c r="O67" t="inlineStr">
        <is>
          <t>&gt;1–3 mi</t>
        </is>
      </c>
      <c r="P67" t="n">
        <v>1</v>
      </c>
      <c r="Q67" t="n">
        <v>0</v>
      </c>
      <c r="R67" s="5" t="inlineStr">
        <is>
          <t>Included in rent means | Source pricing flag retained; automated consistency checks passed. This is not independent landlord verification.</t>
        </is>
      </c>
    </row>
    <row r="68">
      <c r="A68" t="inlineStr">
        <is>
          <t>nhblm0q</t>
        </is>
      </c>
      <c r="B68" t="inlineStr">
        <is>
          <t>Viceroy Apartments</t>
        </is>
      </c>
      <c r="C68" t="inlineStr">
        <is>
          <t>https://offcampus.dasa.ncsu.edu/housing/property/viceroy-apartments/nhblm0q</t>
        </is>
      </c>
      <c r="D68" t="inlineStr">
        <is>
          <t>Whole unit</t>
        </is>
      </c>
      <c r="E68" s="3" t="n">
        <v>35.991864</v>
      </c>
      <c r="F68" s="3" t="n">
        <v>-78.92284100000001</v>
      </c>
      <c r="G68" s="2" t="n">
        <v>1099</v>
      </c>
      <c r="H68" s="2" t="n">
        <v>1099</v>
      </c>
      <c r="I68" s="2">
        <f>(G68+H68)/2</f>
        <v/>
      </c>
      <c r="J68" s="3" t="n">
        <v>19.93793408098085</v>
      </c>
      <c r="K68" t="inlineStr">
        <is>
          <t>Outside 5 mi</t>
        </is>
      </c>
      <c r="L68" s="3" t="n">
        <v>20.64932456505629</v>
      </c>
      <c r="M68" t="inlineStr">
        <is>
          <t>Outside 5 mi</t>
        </is>
      </c>
      <c r="N68" s="3" t="n">
        <v>18.1239268866912</v>
      </c>
      <c r="O68" t="inlineStr">
        <is>
          <t>Outside 5 mi</t>
        </is>
      </c>
      <c r="P68" t="n">
        <v>0</v>
      </c>
      <c r="Q68" t="n">
        <v>0</v>
      </c>
      <c r="R68" s="5" t="inlineStr">
        <is>
          <t>Included in rent means | Source pricing flag retained; automated consistency checks passed. This is not independent landlord verification.</t>
        </is>
      </c>
    </row>
    <row r="69">
      <c r="A69" t="inlineStr">
        <is>
          <t>ocpkb0kbhb</t>
        </is>
      </c>
      <c r="B69" t="inlineStr">
        <is>
          <t>Great Location - Connected to Centennial Campus</t>
        </is>
      </c>
      <c r="C69" t="inlineStr">
        <is>
          <t>https://offcampus.dasa.ncsu.edu/housing/property/great-location-connected-to-centennial-campus/ocpkb0kbhb</t>
        </is>
      </c>
      <c r="D69" t="inlineStr">
        <is>
          <t>Whole unit</t>
        </is>
      </c>
      <c r="E69" s="3" t="n">
        <v>35.770311</v>
      </c>
      <c r="F69" s="3" t="n">
        <v>-78.682992</v>
      </c>
      <c r="G69" s="2" t="n">
        <v>1240</v>
      </c>
      <c r="H69" s="2" t="n">
        <v>1240</v>
      </c>
      <c r="I69" s="2">
        <f>(G69+H69)/2</f>
        <v/>
      </c>
      <c r="J69" s="3" t="n">
        <v>0.6398313923957692</v>
      </c>
      <c r="K69" t="inlineStr">
        <is>
          <t>0–1 mi</t>
        </is>
      </c>
      <c r="L69" s="3" t="n">
        <v>0.3273883296481666</v>
      </c>
      <c r="M69" t="inlineStr">
        <is>
          <t>0–1 mi</t>
        </is>
      </c>
      <c r="N69" s="3" t="n">
        <v>2.276501016563943</v>
      </c>
      <c r="O69" t="inlineStr">
        <is>
          <t>&gt;1–3 mi</t>
        </is>
      </c>
      <c r="P69" t="n">
        <v>1</v>
      </c>
      <c r="Q69" t="n">
        <v>0</v>
      </c>
      <c r="R69" s="5" t="inlineStr">
        <is>
          <t>Included in rent means | Source pricing flag retained; automated consistency checks passed. This is not independent landlord verification.</t>
        </is>
      </c>
    </row>
    <row r="70">
      <c r="A70" t="inlineStr">
        <is>
          <t>jjs8f07</t>
        </is>
      </c>
      <c r="B70" t="inlineStr">
        <is>
          <t>Village Green Student Housing</t>
        </is>
      </c>
      <c r="C70" t="inlineStr">
        <is>
          <t>https://offcampus.dasa.ncsu.edu/housing/property/village-green-student-housing/jjs8f07</t>
        </is>
      </c>
      <c r="D70" t="inlineStr">
        <is>
          <t>Per bedroom</t>
        </is>
      </c>
      <c r="E70" s="3" t="n">
        <v>35.754039</v>
      </c>
      <c r="F70" s="3" t="n">
        <v>-78.667439</v>
      </c>
      <c r="G70" s="2" t="n">
        <v>649</v>
      </c>
      <c r="H70" s="2" t="n">
        <v>839</v>
      </c>
      <c r="I70" s="2">
        <f>(G70+H70)/2</f>
        <v/>
      </c>
      <c r="J70" s="3" t="n">
        <v>1.932509975086741</v>
      </c>
      <c r="K70" t="inlineStr">
        <is>
          <t>&gt;1–3 mi</t>
        </is>
      </c>
      <c r="L70" s="3" t="n">
        <v>1.15944667707491</v>
      </c>
      <c r="M70" t="inlineStr">
        <is>
          <t>&gt;1–3 mi</t>
        </is>
      </c>
      <c r="N70" s="3" t="n">
        <v>3.693631240134469</v>
      </c>
      <c r="O70" t="inlineStr">
        <is>
          <t>&gt;3–5 mi</t>
        </is>
      </c>
      <c r="P70" t="n">
        <v>1</v>
      </c>
      <c r="Q70" t="n">
        <v>1</v>
      </c>
      <c r="R70" s="5" t="inlineStr">
        <is>
          <t>Included in rent means | Source pricing flag retained; automated consistency checks passed. This is not independent landlord verification.</t>
        </is>
      </c>
    </row>
    <row r="71">
      <c r="A71" t="inlineStr">
        <is>
          <t>ocpjh4j574</t>
        </is>
      </c>
      <c r="B71" t="inlineStr">
        <is>
          <t>4BD/3.5BA townhome near NCSU &amp; Downtown Raleigh available August 2026!</t>
        </is>
      </c>
      <c r="C71" t="inlineStr">
        <is>
          <t>https://offcampus.dasa.ncsu.edu/housing/property/4bd-3-5ba-townhome-near-ncsu-and-downtown-raleigh-available-august-2026/ocpjh4j574</t>
        </is>
      </c>
      <c r="D71" t="inlineStr">
        <is>
          <t>Whole unit</t>
        </is>
      </c>
      <c r="E71" s="3" t="n">
        <v>35.776319</v>
      </c>
      <c r="F71" s="3" t="n">
        <v>-78.69064299999999</v>
      </c>
      <c r="G71" s="2" t="n">
        <v>2200</v>
      </c>
      <c r="H71" s="2" t="n">
        <v>2200</v>
      </c>
      <c r="I71" s="2">
        <f>(G71+H71)/2</f>
        <v/>
      </c>
      <c r="J71" s="3" t="n">
        <v>0.548666293545309</v>
      </c>
      <c r="K71" t="inlineStr">
        <is>
          <t>0–1 mi</t>
        </is>
      </c>
      <c r="L71" s="3" t="n">
        <v>0.9055176346315669</v>
      </c>
      <c r="M71" t="inlineStr">
        <is>
          <t>0–1 mi</t>
        </is>
      </c>
      <c r="N71" s="3" t="n">
        <v>1.705749378796582</v>
      </c>
      <c r="O71" t="inlineStr">
        <is>
          <t>&gt;1–3 mi</t>
        </is>
      </c>
      <c r="P71" t="n">
        <v>1</v>
      </c>
      <c r="Q71" t="n">
        <v>0</v>
      </c>
      <c r="R71" s="5" t="inlineStr">
        <is>
          <t>Included in rent means | Source pricing flag retained; automated consistency checks passed. This is not independent landlord verification.</t>
        </is>
      </c>
    </row>
    <row r="72">
      <c r="A72" t="inlineStr">
        <is>
          <t>8gchf40</t>
        </is>
      </c>
      <c r="B72" t="inlineStr">
        <is>
          <t>The Hillsborough</t>
        </is>
      </c>
      <c r="C72" t="inlineStr">
        <is>
          <t>https://offcampus.dasa.ncsu.edu/housing/property/the-hillsborough/8gchf40</t>
        </is>
      </c>
      <c r="D72" t="inlineStr">
        <is>
          <t>Per bedroom</t>
        </is>
      </c>
      <c r="E72" s="3" t="n">
        <v>35.78758</v>
      </c>
      <c r="F72" s="3" t="n">
        <v>-78.66618</v>
      </c>
      <c r="G72" s="2" t="n">
        <v>1000</v>
      </c>
      <c r="H72" s="2" t="n">
        <v>1350</v>
      </c>
      <c r="I72" s="2">
        <f>(G72+H72)/2</f>
        <v/>
      </c>
      <c r="J72" s="3" t="n">
        <v>1.032322976884995</v>
      </c>
      <c r="K72" t="inlineStr">
        <is>
          <t>&gt;1–3 mi</t>
        </is>
      </c>
      <c r="L72" s="3" t="n">
        <v>1.45062615540861</v>
      </c>
      <c r="M72" t="inlineStr">
        <is>
          <t>&gt;1–3 mi</t>
        </is>
      </c>
      <c r="N72" s="3" t="n">
        <v>2.253402935661274</v>
      </c>
      <c r="O72" t="inlineStr">
        <is>
          <t>&gt;1–3 mi</t>
        </is>
      </c>
      <c r="P72" t="n">
        <v>1</v>
      </c>
      <c r="Q72" t="n">
        <v>0</v>
      </c>
      <c r="R72" s="5" t="inlineStr">
        <is>
          <t>Excluded from rent means | Search/detail price mismatch | Source pricing flag retained; automated consistency checks passed. This is not independent landlord verification. Search summary: $1000–$1350; saved floor-plan envelope: $1100–$1350. Difference may reflect fees, timing or scope; unresolved snapshot price excluded.</t>
        </is>
      </c>
    </row>
    <row r="73">
      <c r="A73" t="inlineStr">
        <is>
          <t>ocp032vj21</t>
        </is>
      </c>
      <c r="B73" t="inlineStr">
        <is>
          <t>5 bedroom 5 full Bath luxury house with 1Gig AT&amp;T Fiber and 1 free parking space per bedroom</t>
        </is>
      </c>
      <c r="C73" t="inlineStr">
        <is>
          <t>https://offcampus.dasa.ncsu.edu/housing/property/5-bedroom-5-full-bath-luxury-house-with-1gig-at-and-t-fiber-and-1-free-parking-space-per-bedroom/ocp032vj21</t>
        </is>
      </c>
      <c r="D73" t="inlineStr">
        <is>
          <t>Whole unit</t>
        </is>
      </c>
      <c r="E73" s="3" t="n">
        <v>35.786652</v>
      </c>
      <c r="F73" s="3" t="n">
        <v>-78.70946499999999</v>
      </c>
      <c r="G73" s="2" t="n">
        <v>6000</v>
      </c>
      <c r="H73" s="2" t="n">
        <v>6000</v>
      </c>
      <c r="I73" s="2">
        <f>(G73+H73)/2</f>
        <v/>
      </c>
      <c r="J73" s="3" t="n">
        <v>1.633689124933695</v>
      </c>
      <c r="K73" t="inlineStr">
        <is>
          <t>&gt;1–3 mi</t>
        </is>
      </c>
      <c r="L73" s="3" t="n">
        <v>2.179228312920726</v>
      </c>
      <c r="M73" t="inlineStr">
        <is>
          <t>&gt;1–3 mi</t>
        </is>
      </c>
      <c r="N73" s="3" t="n">
        <v>0.8705344145477303</v>
      </c>
      <c r="O73" t="inlineStr">
        <is>
          <t>0–1 mi</t>
        </is>
      </c>
      <c r="P73" t="n">
        <v>1</v>
      </c>
      <c r="Q73" t="n">
        <v>0</v>
      </c>
      <c r="R73" s="5" t="inlineStr">
        <is>
          <t>Included in rent means | Source pricing flag retained; automated consistency checks passed. This is not independent landlord verification.</t>
        </is>
      </c>
    </row>
    <row r="74">
      <c r="A74" t="inlineStr">
        <is>
          <t>0pm7tt3</t>
        </is>
      </c>
      <c r="B74" t="inlineStr">
        <is>
          <t>Campus West at Tryon</t>
        </is>
      </c>
      <c r="C74" t="inlineStr">
        <is>
          <t>https://offcampus.dasa.ncsu.edu/housing/property/campus-west-at-tryon/0pm7tt3</t>
        </is>
      </c>
      <c r="D74" t="inlineStr">
        <is>
          <t>Per bedroom</t>
        </is>
      </c>
      <c r="E74" s="3" t="n">
        <v>35.749441</v>
      </c>
      <c r="F74" s="3" t="n">
        <v>-78.71710400000001</v>
      </c>
      <c r="G74" s="2" t="n">
        <v>699</v>
      </c>
      <c r="H74" s="2" t="n">
        <v>699</v>
      </c>
      <c r="I74" s="2">
        <f>(G74+H74)/2</f>
        <v/>
      </c>
      <c r="J74" s="3" t="n">
        <v>2.87412041751199</v>
      </c>
      <c r="K74" t="inlineStr">
        <is>
          <t>&gt;1–3 mi</t>
        </is>
      </c>
      <c r="L74" s="3" t="n">
        <v>2.588703187773591</v>
      </c>
      <c r="M74" t="inlineStr">
        <is>
          <t>&gt;1–3 mi</t>
        </is>
      </c>
      <c r="N74" s="3" t="n">
        <v>3.465363316235042</v>
      </c>
      <c r="O74" t="inlineStr">
        <is>
          <t>&gt;3–5 mi</t>
        </is>
      </c>
      <c r="P74" t="n">
        <v>1</v>
      </c>
      <c r="Q74" t="n">
        <v>1</v>
      </c>
      <c r="R74" s="5" t="inlineStr">
        <is>
          <t>Included in rent means | Source pricing flag retained; automated consistency checks passed. This is not independent landlord verification.</t>
        </is>
      </c>
    </row>
    <row r="75">
      <c r="A75" t="inlineStr">
        <is>
          <t>ocpbhbkvy9</t>
        </is>
      </c>
      <c r="B75" t="inlineStr">
        <is>
          <t>Voyager House</t>
        </is>
      </c>
      <c r="C75" t="inlineStr">
        <is>
          <t>https://offcampus.dasa.ncsu.edu/housing/property/voyager-house/ocpbhbkvy9</t>
        </is>
      </c>
      <c r="D75" t="inlineStr">
        <is>
          <t>Per bedroom</t>
        </is>
      </c>
      <c r="E75" s="3" t="n">
        <v>35.75259</v>
      </c>
      <c r="F75" s="3" t="n">
        <v>-78.676327</v>
      </c>
      <c r="G75" s="2" t="n">
        <v>800</v>
      </c>
      <c r="H75" s="2" t="n">
        <v>800</v>
      </c>
      <c r="I75" s="2">
        <f>(G75+H75)/2</f>
        <v/>
      </c>
      <c r="J75" s="3" t="n">
        <v>1.884049974938598</v>
      </c>
      <c r="K75" t="inlineStr">
        <is>
          <t>&gt;1–3 mi</t>
        </is>
      </c>
      <c r="L75" s="3" t="n">
        <v>1.115036172641576</v>
      </c>
      <c r="M75" t="inlineStr">
        <is>
          <t>&gt;1–3 mi</t>
        </is>
      </c>
      <c r="N75" s="3" t="n">
        <v>3.531182033206033</v>
      </c>
      <c r="O75" t="inlineStr">
        <is>
          <t>&gt;3–5 mi</t>
        </is>
      </c>
      <c r="P75" t="n">
        <v>1</v>
      </c>
      <c r="Q75" t="n">
        <v>1</v>
      </c>
      <c r="R75" s="5" t="inlineStr">
        <is>
          <t>Included in rent means | Source pricing flag retained; automated consistency checks passed. This is not independent landlord verification.</t>
        </is>
      </c>
    </row>
    <row r="76">
      <c r="A76" t="inlineStr">
        <is>
          <t>e13mz5m</t>
        </is>
      </c>
      <c r="B76" t="inlineStr">
        <is>
          <t>University Suites Student Housing</t>
        </is>
      </c>
      <c r="C76" t="inlineStr">
        <is>
          <t>https://offcampus.dasa.ncsu.edu/housing/property/university-suites-student-housing/e13mz5m</t>
        </is>
      </c>
      <c r="D76" t="inlineStr">
        <is>
          <t>Per bedroom</t>
        </is>
      </c>
      <c r="E76" s="3" t="n">
        <v>35.747754</v>
      </c>
      <c r="F76" s="3" t="n">
        <v>-78.693507</v>
      </c>
      <c r="G76" s="2" t="n">
        <v>699</v>
      </c>
      <c r="H76" s="2" t="n">
        <v>799</v>
      </c>
      <c r="I76" s="2">
        <f>(G76+H76)/2</f>
        <v/>
      </c>
      <c r="J76" s="3" t="n">
        <v>2.292134879809194</v>
      </c>
      <c r="K76" t="inlineStr">
        <is>
          <t>&gt;1–3 mi</t>
        </is>
      </c>
      <c r="L76" s="3" t="n">
        <v>1.702928645517823</v>
      </c>
      <c r="M76" t="inlineStr">
        <is>
          <t>&gt;1–3 mi</t>
        </is>
      </c>
      <c r="N76" s="3" t="n">
        <v>3.553914233172014</v>
      </c>
      <c r="O76" t="inlineStr">
        <is>
          <t>&gt;3–5 mi</t>
        </is>
      </c>
      <c r="P76" t="n">
        <v>1</v>
      </c>
      <c r="Q76" t="n">
        <v>1</v>
      </c>
      <c r="R76" s="5" t="inlineStr">
        <is>
          <t>Included in rent means | Source pricing flag retained; automated consistency checks passed. This is not independent landlord verification.</t>
        </is>
      </c>
    </row>
    <row r="77">
      <c r="A77" t="inlineStr">
        <is>
          <t>ocpepvxvln</t>
        </is>
      </c>
      <c r="B77" t="inlineStr">
        <is>
          <t>Village Green Student Living</t>
        </is>
      </c>
      <c r="C77" t="inlineStr">
        <is>
          <t>https://offcampus.dasa.ncsu.edu/housing/property/village-green-student-living/ocpepvxvln</t>
        </is>
      </c>
      <c r="D77" t="inlineStr">
        <is>
          <t>Per bedroom</t>
        </is>
      </c>
      <c r="E77" s="3" t="n">
        <v>35.755208</v>
      </c>
      <c r="F77" s="3" t="n">
        <v>-78.669348</v>
      </c>
      <c r="G77" s="2" t="n">
        <v>831</v>
      </c>
      <c r="H77" s="2" t="n">
        <v>831</v>
      </c>
      <c r="I77" s="2">
        <f>(G77+H77)/2</f>
        <v/>
      </c>
      <c r="J77" s="3" t="n">
        <v>1.815869404542809</v>
      </c>
      <c r="K77" t="inlineStr">
        <is>
          <t>&gt;1–3 mi</t>
        </is>
      </c>
      <c r="L77" s="3" t="n">
        <v>1.038223111913154</v>
      </c>
      <c r="M77" t="inlineStr">
        <is>
          <t>&gt;1–3 mi</t>
        </is>
      </c>
      <c r="N77" s="3" t="n">
        <v>3.567258278007665</v>
      </c>
      <c r="O77" t="inlineStr">
        <is>
          <t>&gt;3–5 mi</t>
        </is>
      </c>
      <c r="P77" t="n">
        <v>1</v>
      </c>
      <c r="Q77" t="n">
        <v>1</v>
      </c>
      <c r="R77" s="5" t="inlineStr">
        <is>
          <t>Included in rent means | Source pricing flag retained; automated consistency checks passed. This is not independent landlord verification.</t>
        </is>
      </c>
    </row>
    <row r="78">
      <c r="A78" t="inlineStr">
        <is>
          <t>ocpjpg1817</t>
        </is>
      </c>
      <c r="B78" t="inlineStr">
        <is>
          <t>Gorman Street Village PRE-LEASING for 2026! 3Bed 3Bath w/ Utilities! Upgraded Units Available!</t>
        </is>
      </c>
      <c r="C78" t="inlineStr">
        <is>
          <t>https://offcampus.dasa.ncsu.edu/housing/property/gorman-street-village-pre-leasing-for-2026-3bed-3bath-w-utilities-upgraded-units-available/ocpjpg1817</t>
        </is>
      </c>
      <c r="D78" t="inlineStr">
        <is>
          <t>Whole unit</t>
        </is>
      </c>
      <c r="E78" s="3" t="n">
        <v>35.77603</v>
      </c>
      <c r="F78" s="3" t="n">
        <v>-78.688002</v>
      </c>
      <c r="G78" s="2" t="n">
        <v>2295</v>
      </c>
      <c r="H78" s="2" t="n">
        <v>2295</v>
      </c>
      <c r="I78" s="2">
        <f>(G78+H78)/2</f>
        <v/>
      </c>
      <c r="J78" s="3" t="n">
        <v>0.4282501000770045</v>
      </c>
      <c r="K78" t="inlineStr">
        <is>
          <t>0–1 mi</t>
        </is>
      </c>
      <c r="L78" s="3" t="n">
        <v>0.7765932864220707</v>
      </c>
      <c r="M78" t="inlineStr">
        <is>
          <t>0–1 mi</t>
        </is>
      </c>
      <c r="N78" s="3" t="n">
        <v>1.793313244150261</v>
      </c>
      <c r="O78" t="inlineStr">
        <is>
          <t>&gt;1–3 mi</t>
        </is>
      </c>
      <c r="P78" t="n">
        <v>1</v>
      </c>
      <c r="Q78" t="n">
        <v>0</v>
      </c>
      <c r="R78" s="5" t="inlineStr">
        <is>
          <t>Included in rent means | Source pricing flag retained; automated consistency checks passed. This is not independent landlord verification.</t>
        </is>
      </c>
    </row>
    <row r="79">
      <c r="A79" t="inlineStr">
        <is>
          <t>ocpgxr290w</t>
        </is>
      </c>
      <c r="B79" t="inlineStr">
        <is>
          <t>Spacious Forest Park Two-Room Suite + Private Bath - Walk to Campus (Includes Utilities)</t>
        </is>
      </c>
      <c r="C79" t="inlineStr">
        <is>
          <t>https://offcampus.dasa.ncsu.edu/housing/property/spacious-forest-park-two-room-suite-private-bath-walk-to-campus-includes-utilities/ocpgxr290w</t>
        </is>
      </c>
      <c r="D79" t="inlineStr">
        <is>
          <t>Per bedroom</t>
        </is>
      </c>
      <c r="E79" s="3" t="n">
        <v>35.78692</v>
      </c>
      <c r="F79" s="3" t="n">
        <v>-78.65455900000001</v>
      </c>
      <c r="G79" s="2" t="n">
        <v>1225</v>
      </c>
      <c r="H79" s="2" t="n">
        <v>1225</v>
      </c>
      <c r="I79" s="2">
        <f>(G79+H79)/2</f>
        <v/>
      </c>
      <c r="J79" s="3" t="n">
        <v>1.604060635545072</v>
      </c>
      <c r="K79" t="inlineStr">
        <is>
          <t>&gt;1–3 mi</t>
        </is>
      </c>
      <c r="L79" s="3" t="n">
        <v>1.799572412975274</v>
      </c>
      <c r="M79" t="inlineStr">
        <is>
          <t>&gt;1–3 mi</t>
        </is>
      </c>
      <c r="N79" s="3" t="n">
        <v>2.887825180047024</v>
      </c>
      <c r="O79" t="inlineStr">
        <is>
          <t>&gt;1–3 mi</t>
        </is>
      </c>
      <c r="P79" t="n">
        <v>1</v>
      </c>
      <c r="Q79" t="n">
        <v>1</v>
      </c>
      <c r="R79" s="5" t="inlineStr">
        <is>
          <t>Included in rent means | September 13 source describes one housemate renting a bedroom plus office and private bath, with shared common spaces. Classified as a per-person room/suite, not an entire dwelling; September 9 price retained.</t>
        </is>
      </c>
    </row>
    <row r="80">
      <c r="A80" t="inlineStr">
        <is>
          <t>ocpb48f058</t>
        </is>
      </c>
      <c r="B80" t="inlineStr">
        <is>
          <t>Now Pre-Leasing for August 2026! 1 and 3 Bedrooms with Utilities! Marcom St Apartments!</t>
        </is>
      </c>
      <c r="C80" t="inlineStr">
        <is>
          <t>https://offcampus.dasa.ncsu.edu/housing/property/now-pre-leasing-for-august-2026-1-and-3-bedrooms-with-utilities-marcom-st-apartments/ocpb48f058</t>
        </is>
      </c>
      <c r="D80" t="inlineStr">
        <is>
          <t>Whole unit</t>
        </is>
      </c>
      <c r="E80" s="3" t="n">
        <v>35.779168</v>
      </c>
      <c r="F80" s="3" t="n">
        <v>-78.689547</v>
      </c>
      <c r="G80" s="2" t="n">
        <v>1545</v>
      </c>
      <c r="H80" s="2" t="n">
        <v>2045</v>
      </c>
      <c r="I80" s="2">
        <f>(G80+H80)/2</f>
        <v/>
      </c>
      <c r="J80" s="3" t="n">
        <v>0.4416074560555728</v>
      </c>
      <c r="K80" t="inlineStr">
        <is>
          <t>0–1 mi</t>
        </is>
      </c>
      <c r="L80" s="3" t="n">
        <v>0.989537105933055</v>
      </c>
      <c r="M80" t="inlineStr">
        <is>
          <t>0–1 mi</t>
        </is>
      </c>
      <c r="N80" s="3" t="n">
        <v>1.562709498233408</v>
      </c>
      <c r="O80" t="inlineStr">
        <is>
          <t>&gt;1–3 mi</t>
        </is>
      </c>
      <c r="P80" t="n">
        <v>1</v>
      </c>
      <c r="Q80" t="n">
        <v>0</v>
      </c>
      <c r="R80" s="5" t="inlineStr">
        <is>
          <t>Included in rent means | Source pricing flag retained; automated consistency checks passed. This is not independent landlord verification.</t>
        </is>
      </c>
    </row>
    <row r="81">
      <c r="A81" t="inlineStr">
        <is>
          <t>ocpsd8dpj6</t>
        </is>
      </c>
      <c r="B81" t="inlineStr">
        <is>
          <t>Spacious En-suite with private patio and garage parking in Crescent Ridge Townhome Community</t>
        </is>
      </c>
      <c r="C81" t="inlineStr">
        <is>
          <t>https://offcampus.dasa.ncsu.edu/housing/property/spacious-en-suite-with-private-patio-and-garage-parking-in-crescent-ridge-townhome-community/ocpsd8dpj6</t>
        </is>
      </c>
      <c r="D81" t="inlineStr">
        <is>
          <t>Per bedroom</t>
        </is>
      </c>
      <c r="E81" s="3" t="n">
        <v>35.749844</v>
      </c>
      <c r="F81" s="3" t="n">
        <v>-78.713718</v>
      </c>
      <c r="G81" s="2" t="n">
        <v>900</v>
      </c>
      <c r="H81" s="2" t="n">
        <v>900</v>
      </c>
      <c r="I81" s="2">
        <f>(G81+H81)/2</f>
        <v/>
      </c>
      <c r="J81" s="3" t="n">
        <v>2.725369677634238</v>
      </c>
      <c r="K81" t="inlineStr">
        <is>
          <t>&gt;1–3 mi</t>
        </is>
      </c>
      <c r="L81" s="3" t="n">
        <v>2.412666918769093</v>
      </c>
      <c r="M81" t="inlineStr">
        <is>
          <t>&gt;1–3 mi</t>
        </is>
      </c>
      <c r="N81" s="3" t="n">
        <v>3.40290077430641</v>
      </c>
      <c r="O81" t="inlineStr">
        <is>
          <t>&gt;3–5 mi</t>
        </is>
      </c>
      <c r="P81" t="n">
        <v>1</v>
      </c>
      <c r="Q81" t="n">
        <v>1</v>
      </c>
      <c r="R81" s="5" t="inlineStr">
        <is>
          <t>Included in rent means | Source pricing flag retained; automated consistency checks passed. This is not independent landlord verification.</t>
        </is>
      </c>
    </row>
    <row r="82">
      <c r="A82" t="inlineStr">
        <is>
          <t>xcp87fm</t>
        </is>
      </c>
      <c r="B82" t="inlineStr">
        <is>
          <t>Tryon Flats Apartments</t>
        </is>
      </c>
      <c r="C82" t="inlineStr">
        <is>
          <t>https://offcampus.dasa.ncsu.edu/housing/property/tryon-flats-apartments/xcp87fm</t>
        </is>
      </c>
      <c r="D82" t="inlineStr">
        <is>
          <t>Per bedroom</t>
        </is>
      </c>
      <c r="E82" s="3" t="n">
        <v>35.743632</v>
      </c>
      <c r="F82" s="3" t="n">
        <v>-78.686435</v>
      </c>
      <c r="G82" s="2" t="n">
        <v>750</v>
      </c>
      <c r="H82" s="2" t="n">
        <v>750</v>
      </c>
      <c r="I82" s="2">
        <f>(G82+H82)/2</f>
        <v/>
      </c>
      <c r="J82" s="3" t="n">
        <v>2.493227860476078</v>
      </c>
      <c r="K82" t="inlineStr">
        <is>
          <t>&gt;1–3 mi</t>
        </is>
      </c>
      <c r="L82" s="3" t="n">
        <v>1.803033076423747</v>
      </c>
      <c r="M82" t="inlineStr">
        <is>
          <t>&gt;1–3 mi</t>
        </is>
      </c>
      <c r="N82" s="3" t="n">
        <v>3.915937101691906</v>
      </c>
      <c r="O82" t="inlineStr">
        <is>
          <t>&gt;3–5 mi</t>
        </is>
      </c>
      <c r="P82" t="n">
        <v>1</v>
      </c>
      <c r="Q82" t="n">
        <v>1</v>
      </c>
      <c r="R82" s="5" t="inlineStr">
        <is>
          <t>Included in rent means | Source pricing flag retained; automated consistency checks passed. This is not independent landlord verification.</t>
        </is>
      </c>
    </row>
    <row r="83">
      <c r="A83" t="inlineStr">
        <is>
          <t>ocpsq86tm4</t>
        </is>
      </c>
      <c r="B83" t="inlineStr">
        <is>
          <t>4bed 4bath Apartment Near Centennial Campus</t>
        </is>
      </c>
      <c r="C83" t="inlineStr">
        <is>
          <t>https://offcampus.dasa.ncsu.edu/housing/property/4bed-4bath-apartment-near-centennial-campus/ocpsq86tm4</t>
        </is>
      </c>
      <c r="D83" t="inlineStr">
        <is>
          <t>Per bedroom</t>
        </is>
      </c>
      <c r="E83" s="3" t="n">
        <v>35.762747</v>
      </c>
      <c r="F83" s="3" t="n">
        <v>-78.70112</v>
      </c>
      <c r="G83" s="2" t="n">
        <v>725</v>
      </c>
      <c r="H83" s="2" t="n">
        <v>725</v>
      </c>
      <c r="I83" s="2">
        <f>(G83+H83)/2</f>
        <v/>
      </c>
      <c r="J83" s="3" t="n">
        <v>1.590319280873951</v>
      </c>
      <c r="K83" t="inlineStr">
        <is>
          <t>&gt;1–3 mi</t>
        </is>
      </c>
      <c r="L83" s="3" t="n">
        <v>1.386624243906098</v>
      </c>
      <c r="M83" t="inlineStr">
        <is>
          <t>&gt;1–3 mi</t>
        </is>
      </c>
      <c r="N83" s="3" t="n">
        <v>2.47379445236793</v>
      </c>
      <c r="O83" t="inlineStr">
        <is>
          <t>&gt;1–3 mi</t>
        </is>
      </c>
      <c r="P83" t="n">
        <v>1</v>
      </c>
      <c r="Q83" t="n">
        <v>1</v>
      </c>
      <c r="R83" s="5" t="inlineStr">
        <is>
          <t>Included in rent means | Source pricing flag retained; automated consistency checks passed. This is not independent landlord verification.</t>
        </is>
      </c>
    </row>
    <row r="84">
      <c r="A84" t="inlineStr">
        <is>
          <t>35cz5ed</t>
        </is>
      </c>
      <c r="B84" t="inlineStr">
        <is>
          <t>644 Coleman St (Raleigh, NC)</t>
        </is>
      </c>
      <c r="C84" t="inlineStr">
        <is>
          <t>https://offcampus.dasa.ncsu.edu/housing/property/644-coleman-st-raleigh-nc/35cz5ed</t>
        </is>
      </c>
      <c r="D84" t="inlineStr">
        <is>
          <t>Whole unit</t>
        </is>
      </c>
      <c r="E84" s="3" t="n">
        <v>35.770543</v>
      </c>
      <c r="F84" s="3" t="n">
        <v>-78.622703</v>
      </c>
      <c r="G84" s="2" t="n">
        <v>2150</v>
      </c>
      <c r="H84" s="2" t="n">
        <v>2150</v>
      </c>
      <c r="I84" s="2">
        <f>(G84+H84)/2</f>
        <v/>
      </c>
      <c r="J84" s="3" t="n">
        <v>3.363613209152446</v>
      </c>
      <c r="K84" t="inlineStr">
        <is>
          <t>&gt;3–5 mi</t>
        </is>
      </c>
      <c r="L84" s="3" t="n">
        <v>3.074590415040818</v>
      </c>
      <c r="M84" t="inlineStr">
        <is>
          <t>&gt;3–5 mi</t>
        </is>
      </c>
      <c r="N84" s="3" t="n">
        <v>4.952543796756586</v>
      </c>
      <c r="O84" t="inlineStr">
        <is>
          <t>&gt;3–5 mi</t>
        </is>
      </c>
      <c r="P84" t="n">
        <v>1</v>
      </c>
      <c r="Q84" t="n">
        <v>0</v>
      </c>
      <c r="R84" s="5" t="inlineStr">
        <is>
          <t>Included in rent means | Source pricing flag retained; automated consistency checks passed. This is not independent landlord verification.</t>
        </is>
      </c>
    </row>
    <row r="85">
      <c r="A85" t="inlineStr">
        <is>
          <t>ocp2gxtxqc</t>
        </is>
      </c>
      <c r="B85" t="inlineStr">
        <is>
          <t>The Station</t>
        </is>
      </c>
      <c r="C85" t="inlineStr">
        <is>
          <t>https://offcampus.dasa.ncsu.edu/housing/property/the-station/ocp2gxtxqc</t>
        </is>
      </c>
      <c r="D85" t="inlineStr">
        <is>
          <t>Per bedroom</t>
        </is>
      </c>
      <c r="E85" s="3" t="n">
        <v>35.798893</v>
      </c>
      <c r="F85" s="3" t="n">
        <v>-78.71175599999999</v>
      </c>
      <c r="G85" s="2" t="n">
        <v>969</v>
      </c>
      <c r="H85" s="2" t="n">
        <v>969</v>
      </c>
      <c r="I85" s="2">
        <f>(G85+H85)/2</f>
        <v/>
      </c>
      <c r="J85" s="3" t="n">
        <v>2.152909218435243</v>
      </c>
      <c r="K85" t="inlineStr">
        <is>
          <t>&gt;1–3 mi</t>
        </is>
      </c>
      <c r="L85" s="3" t="n">
        <v>2.835248870572562</v>
      </c>
      <c r="M85" t="inlineStr">
        <is>
          <t>&gt;1–3 mi</t>
        </is>
      </c>
      <c r="N85" s="3" t="n">
        <v>0.4311555472408258</v>
      </c>
      <c r="O85" t="inlineStr">
        <is>
          <t>0–1 mi</t>
        </is>
      </c>
      <c r="P85" t="n">
        <v>1</v>
      </c>
      <c r="Q85" t="n">
        <v>1</v>
      </c>
      <c r="R85" s="5" t="inlineStr">
        <is>
          <t>Included in rent means | Source pricing flag retained; automated consistency checks passed. This is not independent landlord verification.</t>
        </is>
      </c>
    </row>
    <row r="86">
      <c r="A86" t="inlineStr">
        <is>
          <t>pxc3rhs</t>
        </is>
      </c>
      <c r="B86" t="inlineStr">
        <is>
          <t>Room in Condo on Crab Orchard Dr</t>
        </is>
      </c>
      <c r="C86" t="inlineStr">
        <is>
          <t>https://offcampus.dasa.ncsu.edu/housing/property/room-in-condo-on-crab-orchard-dr/pxc3rhs</t>
        </is>
      </c>
      <c r="D86" t="inlineStr">
        <is>
          <t>Per bedroom</t>
        </is>
      </c>
      <c r="E86" s="3" t="n">
        <v>35.76253</v>
      </c>
      <c r="F86" s="3" t="n">
        <v>-78.70263</v>
      </c>
      <c r="G86" s="2" t="n">
        <v>675</v>
      </c>
      <c r="H86" s="2" t="n">
        <v>675</v>
      </c>
      <c r="I86" s="2">
        <f>(G86+H86)/2</f>
        <v/>
      </c>
      <c r="J86" s="3" t="n">
        <v>1.660043019294766</v>
      </c>
      <c r="K86" t="inlineStr">
        <is>
          <t>&gt;1–3 mi</t>
        </is>
      </c>
      <c r="L86" s="3" t="n">
        <v>1.471958620257888</v>
      </c>
      <c r="M86" t="inlineStr">
        <is>
          <t>&gt;1–3 mi</t>
        </is>
      </c>
      <c r="N86" s="3" t="n">
        <v>2.484547232940121</v>
      </c>
      <c r="O86" t="inlineStr">
        <is>
          <t>&gt;1–3 mi</t>
        </is>
      </c>
      <c r="P86" t="n">
        <v>1</v>
      </c>
      <c r="Q86" t="n">
        <v>1</v>
      </c>
      <c r="R86" s="5" t="inlineStr">
        <is>
          <t>Included in rent means | Saved September 9 title explicitly offers a room. Reclassified from whole unit to room/per-bedroom; snapshot price unchanged.</t>
        </is>
      </c>
    </row>
    <row r="87">
      <c r="A87" t="inlineStr">
        <is>
          <t>ocppbmmgnt</t>
        </is>
      </c>
      <c r="B87" t="inlineStr">
        <is>
          <t>5 bedroom townhome available near NC State</t>
        </is>
      </c>
      <c r="C87" t="inlineStr">
        <is>
          <t>https://offcampus.dasa.ncsu.edu/housing/property/5-bedroom-townhome-available-near-nc-state/ocppbmmgnt</t>
        </is>
      </c>
      <c r="D87" t="inlineStr">
        <is>
          <t>Per bedroom</t>
        </is>
      </c>
      <c r="E87" s="3" t="n">
        <v>35.745216</v>
      </c>
      <c r="F87" s="3" t="n">
        <v>-78.684625</v>
      </c>
      <c r="G87" s="2" t="n">
        <v>650</v>
      </c>
      <c r="H87" s="2" t="n">
        <v>650</v>
      </c>
      <c r="I87" s="2">
        <f>(G87+H87)/2</f>
        <v/>
      </c>
      <c r="J87" s="3" t="n">
        <v>2.375235558770843</v>
      </c>
      <c r="K87" t="inlineStr">
        <is>
          <t>&gt;1–3 mi</t>
        </is>
      </c>
      <c r="L87" s="3" t="n">
        <v>1.671045879197852</v>
      </c>
      <c r="M87" t="inlineStr">
        <is>
          <t>&gt;1–3 mi</t>
        </is>
      </c>
      <c r="N87" s="3" t="n">
        <v>3.837733337830058</v>
      </c>
      <c r="O87" t="inlineStr">
        <is>
          <t>&gt;3–5 mi</t>
        </is>
      </c>
      <c r="P87" t="n">
        <v>1</v>
      </c>
      <c r="Q87" t="n">
        <v>1</v>
      </c>
      <c r="R87" s="5" t="inlineStr">
        <is>
          <t>Included in rent means | Source pricing flag retained; automated consistency checks passed. This is not independent landlord verification.</t>
        </is>
      </c>
    </row>
    <row r="88">
      <c r="A88" t="inlineStr">
        <is>
          <t>tqbb2mb</t>
        </is>
      </c>
      <c r="B88" t="inlineStr">
        <is>
          <t>Room in House on Okelly St</t>
        </is>
      </c>
      <c r="C88" t="inlineStr">
        <is>
          <t>https://offcampus.dasa.ncsu.edu/housing/property/room-in-house-on-okelly-st/tqbb2mb</t>
        </is>
      </c>
      <c r="D88" t="inlineStr">
        <is>
          <t>Per bedroom</t>
        </is>
      </c>
      <c r="E88" s="3" t="n">
        <v>35.789836</v>
      </c>
      <c r="F88" s="3" t="n">
        <v>-78.689938</v>
      </c>
      <c r="G88" s="2" t="n">
        <v>725</v>
      </c>
      <c r="H88" s="2" t="n">
        <v>725</v>
      </c>
      <c r="I88" s="2">
        <f>(G88+H88)/2</f>
        <v/>
      </c>
      <c r="J88" s="3" t="n">
        <v>0.850448887888596</v>
      </c>
      <c r="K88" t="inlineStr">
        <is>
          <t>0–1 mi</t>
        </is>
      </c>
      <c r="L88" s="3" t="n">
        <v>1.618249273171775</v>
      </c>
      <c r="M88" t="inlineStr">
        <is>
          <t>&gt;1–3 mi</t>
        </is>
      </c>
      <c r="N88" s="3" t="n">
        <v>0.9919844473431102</v>
      </c>
      <c r="O88" t="inlineStr">
        <is>
          <t>0–1 mi</t>
        </is>
      </c>
      <c r="P88" t="n">
        <v>1</v>
      </c>
      <c r="Q88" t="n">
        <v>0</v>
      </c>
      <c r="R88" s="5" t="inlineStr">
        <is>
          <t>Excluded from rent means | Search/detail price mismatch | Saved September 9 title explicitly offers a room. Reclassified from whole unit to room/per-bedroom; snapshot price unchanged. Search summary: $725–$725; saved floor-plan envelope: $700–$700. Difference may reflect fees, timing or scope; unresolved snapshot price excluded.</t>
        </is>
      </c>
    </row>
    <row r="89">
      <c r="A89" t="inlineStr">
        <is>
          <t>ocp176ghy4</t>
        </is>
      </c>
      <c r="B89" t="inlineStr">
        <is>
          <t>Campus Crossings Raleigh</t>
        </is>
      </c>
      <c r="C89" t="inlineStr">
        <is>
          <t>https://offcampus.dasa.ncsu.edu/housing/property/campus-crossings-raleigh/ocp176ghy4</t>
        </is>
      </c>
      <c r="D89" t="inlineStr">
        <is>
          <t>Per bedroom</t>
        </is>
      </c>
      <c r="E89" s="3" t="n">
        <v>35.745552</v>
      </c>
      <c r="F89" s="3" t="n">
        <v>-78.68826</v>
      </c>
      <c r="G89" s="2" t="n">
        <v>865</v>
      </c>
      <c r="H89" s="2" t="n">
        <v>865</v>
      </c>
      <c r="I89" s="2">
        <f>(G89+H89)/2</f>
        <v/>
      </c>
      <c r="J89" s="3" t="n">
        <v>2.375099775642147</v>
      </c>
      <c r="K89" t="inlineStr">
        <is>
          <t>&gt;1–3 mi</t>
        </is>
      </c>
      <c r="L89" s="3" t="n">
        <v>1.709379328180733</v>
      </c>
      <c r="M89" t="inlineStr">
        <is>
          <t>&gt;1–3 mi</t>
        </is>
      </c>
      <c r="N89" s="3" t="n">
        <v>3.762303844318508</v>
      </c>
      <c r="O89" t="inlineStr">
        <is>
          <t>&gt;3–5 mi</t>
        </is>
      </c>
      <c r="P89" t="n">
        <v>1</v>
      </c>
      <c r="Q89" t="n">
        <v>1</v>
      </c>
      <c r="R89" s="5" t="inlineStr">
        <is>
          <t>Included in rent means | Source pricing flag retained; automated consistency checks passed. This is not independent landlord verification.</t>
        </is>
      </c>
    </row>
    <row r="90">
      <c r="A90" t="inlineStr">
        <is>
          <t>qcvpeqz</t>
        </is>
      </c>
      <c r="B90" t="inlineStr">
        <is>
          <t>1431 Collegiate Cir (Raleigh, NC)</t>
        </is>
      </c>
      <c r="C90" t="inlineStr">
        <is>
          <t>https://offcampus.dasa.ncsu.edu/housing/property/1431-collegiate-cir-raleigh-nc/qcvpeqz</t>
        </is>
      </c>
      <c r="D90" t="inlineStr">
        <is>
          <t>Whole unit</t>
        </is>
      </c>
      <c r="E90" s="3" t="n">
        <v>35.76218</v>
      </c>
      <c r="F90" s="3" t="n">
        <v>-78.69981</v>
      </c>
      <c r="G90" s="2" t="n">
        <v>750</v>
      </c>
      <c r="H90" s="2" t="n">
        <v>750</v>
      </c>
      <c r="I90" s="2">
        <f>(G90+H90)/2</f>
        <v/>
      </c>
      <c r="J90" s="3" t="n">
        <v>1.5705839269928</v>
      </c>
      <c r="K90" t="inlineStr">
        <is>
          <t>&gt;1–3 mi</t>
        </is>
      </c>
      <c r="L90" s="3" t="n">
        <v>1.329430331881691</v>
      </c>
      <c r="M90" t="inlineStr">
        <is>
          <t>&gt;1–3 mi</t>
        </is>
      </c>
      <c r="N90" s="3" t="n">
        <v>2.518797805786408</v>
      </c>
      <c r="O90" t="inlineStr">
        <is>
          <t>&gt;1–3 mi</t>
        </is>
      </c>
      <c r="P90" t="n">
        <v>1</v>
      </c>
      <c r="Q90" t="n">
        <v>0</v>
      </c>
      <c r="R90" s="5" t="inlineStr">
        <is>
          <t>Excluded from rent means | Search/detail price mismatch | Source pricing flag retained; automated consistency checks passed. This is not independent landlord verification. Search summary: $750–$750; saved floor-plan envelope: $725–$725. Difference may reflect fees, timing or scope; unresolved snapshot price excluded.</t>
        </is>
      </c>
    </row>
    <row r="91">
      <c r="A91" t="inlineStr">
        <is>
          <t>ocpqe84m5z</t>
        </is>
      </c>
      <c r="B91" t="inlineStr">
        <is>
          <t>University Commons, close to Wolfline Stops</t>
        </is>
      </c>
      <c r="C91" t="inlineStr">
        <is>
          <t>https://offcampus.dasa.ncsu.edu/housing/property/university-commons-close-to-wolfline-stops/ocpqe84m5z</t>
        </is>
      </c>
      <c r="D91" t="inlineStr">
        <is>
          <t>Whole unit</t>
        </is>
      </c>
      <c r="E91" s="3" t="n">
        <v>35.77348</v>
      </c>
      <c r="F91" s="3" t="n">
        <v>-78.690657</v>
      </c>
      <c r="G91" s="2" t="n">
        <v>2500</v>
      </c>
      <c r="H91" s="2" t="n">
        <v>2500</v>
      </c>
      <c r="I91" s="2">
        <f>(G91+H91)/2</f>
        <v/>
      </c>
      <c r="J91" s="3" t="n">
        <v>0.653303979881748</v>
      </c>
      <c r="K91" t="inlineStr">
        <is>
          <t>0–1 mi</t>
        </is>
      </c>
      <c r="L91" s="3" t="n">
        <v>0.8081421705052763</v>
      </c>
      <c r="M91" t="inlineStr">
        <is>
          <t>0–1 mi</t>
        </is>
      </c>
      <c r="N91" s="3" t="n">
        <v>1.883434821983558</v>
      </c>
      <c r="O91" t="inlineStr">
        <is>
          <t>&gt;1–3 mi</t>
        </is>
      </c>
      <c r="P91" t="n">
        <v>1</v>
      </c>
      <c r="Q91" t="n">
        <v>0</v>
      </c>
      <c r="R91" s="5" t="inlineStr">
        <is>
          <t>Included in rent means | Source pricing flag retained; automated consistency checks passed. This is not independent landlord verification.</t>
        </is>
      </c>
    </row>
    <row r="92">
      <c r="A92" t="inlineStr">
        <is>
          <t>c1v4mzd</t>
        </is>
      </c>
      <c r="B92" t="inlineStr">
        <is>
          <t>Room in House on Henslowe Dr</t>
        </is>
      </c>
      <c r="C92" t="inlineStr">
        <is>
          <t>https://offcampus.dasa.ncsu.edu/housing/property/room-in-house-on-henslowe-dr/c1v4mzd</t>
        </is>
      </c>
      <c r="D92" t="inlineStr">
        <is>
          <t>Per bedroom</t>
        </is>
      </c>
      <c r="E92" s="3" t="n">
        <v>35.750496</v>
      </c>
      <c r="F92" s="3" t="n">
        <v>-78.672966</v>
      </c>
      <c r="G92" s="2" t="n">
        <v>650</v>
      </c>
      <c r="H92" s="2" t="n">
        <v>650</v>
      </c>
      <c r="I92" s="2">
        <f>(G92+H92)/2</f>
        <v/>
      </c>
      <c r="J92" s="3" t="n">
        <v>2.063346648487505</v>
      </c>
      <c r="K92" t="inlineStr">
        <is>
          <t>&gt;1–3 mi</t>
        </is>
      </c>
      <c r="L92" s="3" t="n">
        <v>1.283208900984387</v>
      </c>
      <c r="M92" t="inlineStr">
        <is>
          <t>&gt;1–3 mi</t>
        </is>
      </c>
      <c r="N92" s="3" t="n">
        <v>3.745565031340688</v>
      </c>
      <c r="O92" t="inlineStr">
        <is>
          <t>&gt;3–5 mi</t>
        </is>
      </c>
      <c r="P92" t="n">
        <v>1</v>
      </c>
      <c r="Q92" t="n">
        <v>0</v>
      </c>
      <c r="R92" s="5" t="inlineStr">
        <is>
          <t>Excluded from rent means | Search/detail price mismatch | Saved September 9 title explicitly offers a room. Reclassified from whole unit to room/per-bedroom; snapshot price unchanged. Search summary: $650–$650; saved floor-plan envelope: $670–$670. Difference may reflect fees, timing or scope; unresolved snapshot price excluded.</t>
        </is>
      </c>
    </row>
    <row r="93">
      <c r="A93" t="inlineStr">
        <is>
          <t>ocpx51p4tm</t>
        </is>
      </c>
      <c r="B93" t="inlineStr">
        <is>
          <t>Condo near NCSU</t>
        </is>
      </c>
      <c r="C93" t="inlineStr">
        <is>
          <t>https://offcampus.dasa.ncsu.edu/housing/property/condo-near-ncsu/ocpx51p4tm</t>
        </is>
      </c>
      <c r="D93" t="inlineStr">
        <is>
          <t>Per bedroom</t>
        </is>
      </c>
      <c r="E93" s="3" t="n">
        <v>35.763552</v>
      </c>
      <c r="F93" s="3" t="n">
        <v>-78.702984</v>
      </c>
      <c r="G93" s="2" t="n">
        <v>800</v>
      </c>
      <c r="H93" s="2" t="n">
        <v>800</v>
      </c>
      <c r="I93" s="2">
        <f>(G93+H93)/2</f>
        <v/>
      </c>
      <c r="J93" s="3" t="n">
        <v>1.625432360728888</v>
      </c>
      <c r="K93" t="inlineStr">
        <is>
          <t>&gt;1–3 mi</t>
        </is>
      </c>
      <c r="L93" s="3" t="n">
        <v>1.472322121168746</v>
      </c>
      <c r="M93" t="inlineStr">
        <is>
          <t>&gt;1–3 mi</t>
        </is>
      </c>
      <c r="N93" s="3" t="n">
        <v>2.413386038111517</v>
      </c>
      <c r="O93" t="inlineStr">
        <is>
          <t>&gt;1–3 mi</t>
        </is>
      </c>
      <c r="P93" t="n">
        <v>1</v>
      </c>
      <c r="Q93" t="n">
        <v>1</v>
      </c>
      <c r="R93" s="5" t="inlineStr">
        <is>
          <t>Included in rent means | Source pricing flag retained; automated consistency checks passed. This is not independent landlord verification.</t>
        </is>
      </c>
    </row>
    <row r="94">
      <c r="A94" t="inlineStr">
        <is>
          <t>x5wd0zn</t>
        </is>
      </c>
      <c r="B94" t="inlineStr">
        <is>
          <t>Room in House on Pineland Cir</t>
        </is>
      </c>
      <c r="C94" t="inlineStr">
        <is>
          <t>https://offcampus.dasa.ncsu.edu/housing/property/room-in-house-on-pineland-cir/x5wd0zn</t>
        </is>
      </c>
      <c r="D94" t="inlineStr">
        <is>
          <t>Per bedroom</t>
        </is>
      </c>
      <c r="E94" s="3" t="n">
        <v>35.788639</v>
      </c>
      <c r="F94" s="3" t="n">
        <v>-78.70961699999999</v>
      </c>
      <c r="G94" s="2" t="n">
        <v>700</v>
      </c>
      <c r="H94" s="2" t="n">
        <v>700</v>
      </c>
      <c r="I94" s="2">
        <f>(G94+H94)/2</f>
        <v/>
      </c>
      <c r="J94" s="3" t="n">
        <v>1.688144235164935</v>
      </c>
      <c r="K94" t="inlineStr">
        <is>
          <t>&gt;1–3 mi</t>
        </is>
      </c>
      <c r="L94" s="3" t="n">
        <v>2.266933004042843</v>
      </c>
      <c r="M94" t="inlineStr">
        <is>
          <t>&gt;1–3 mi</t>
        </is>
      </c>
      <c r="N94" s="3" t="n">
        <v>0.7467833953582881</v>
      </c>
      <c r="O94" t="inlineStr">
        <is>
          <t>0–1 mi</t>
        </is>
      </c>
      <c r="P94" t="n">
        <v>1</v>
      </c>
      <c r="Q94" t="n">
        <v>1</v>
      </c>
      <c r="R94" s="5" t="inlineStr">
        <is>
          <t>Included in rent means | Saved September 9 title explicitly offers a room. Reclassified from whole unit to room/per-bedroom; snapshot price unchanged.</t>
        </is>
      </c>
    </row>
    <row r="95">
      <c r="A95" t="inlineStr">
        <is>
          <t>ocphdtdgk2</t>
        </is>
      </c>
      <c r="B95" t="inlineStr">
        <is>
          <t>105 Friendly Drive! Furnished Room Rentals with Utilities!</t>
        </is>
      </c>
      <c r="C95" t="inlineStr">
        <is>
          <t>https://offcampus.dasa.ncsu.edu/housing/property/105-friendly-drive-furnished-room-rentals-with-utilities/ocphdtdgk2</t>
        </is>
      </c>
      <c r="D95" t="inlineStr">
        <is>
          <t>Per bedroom</t>
        </is>
      </c>
      <c r="E95" s="3" t="n">
        <v>35.789041</v>
      </c>
      <c r="F95" s="3" t="n">
        <v>-78.675884</v>
      </c>
      <c r="G95" s="2" t="n">
        <v>775</v>
      </c>
      <c r="H95" s="2" t="n">
        <v>1050</v>
      </c>
      <c r="I95" s="2">
        <f>(G95+H95)/2</f>
        <v/>
      </c>
      <c r="J95" s="3" t="n">
        <v>0.7343021957287743</v>
      </c>
      <c r="K95" t="inlineStr">
        <is>
          <t>0–1 mi</t>
        </is>
      </c>
      <c r="L95" s="3" t="n">
        <v>1.408345371418267</v>
      </c>
      <c r="M95" t="inlineStr">
        <is>
          <t>&gt;1–3 mi</t>
        </is>
      </c>
      <c r="N95" s="3" t="n">
        <v>1.709232411452477</v>
      </c>
      <c r="O95" t="inlineStr">
        <is>
          <t>&gt;1–3 mi</t>
        </is>
      </c>
      <c r="P95" t="n">
        <v>1</v>
      </c>
      <c r="Q95" t="n">
        <v>1</v>
      </c>
      <c r="R95" s="5" t="inlineStr">
        <is>
          <t>Included in rent means | Source pricing flag retained; automated consistency checks passed. This is not independent landlord verification.</t>
        </is>
      </c>
    </row>
    <row r="96">
      <c r="A96" t="inlineStr">
        <is>
          <t>51px18q</t>
        </is>
      </c>
      <c r="B96" t="inlineStr">
        <is>
          <t>1101 Gunnison Pl (Raleigh, NC)</t>
        </is>
      </c>
      <c r="C96" t="inlineStr">
        <is>
          <t>https://offcampus.dasa.ncsu.edu/housing/property/1101-gunnison-pl-raleigh-nc/51px18q</t>
        </is>
      </c>
      <c r="D96" t="inlineStr">
        <is>
          <t>Whole unit</t>
        </is>
      </c>
      <c r="E96" s="3" t="n">
        <v>35.847296</v>
      </c>
      <c r="F96" s="3" t="n">
        <v>-78.65333099999999</v>
      </c>
      <c r="G96" s="2" t="n">
        <v>3200</v>
      </c>
      <c r="H96" s="2" t="n">
        <v>3200</v>
      </c>
      <c r="I96" s="2">
        <f>(G96+H96)/2</f>
        <v/>
      </c>
      <c r="J96" s="3" t="n">
        <v>4.945580432611675</v>
      </c>
      <c r="K96" t="inlineStr">
        <is>
          <t>&gt;3–5 mi</t>
        </is>
      </c>
      <c r="L96" s="3" t="n">
        <v>5.596786866855306</v>
      </c>
      <c r="M96" t="inlineStr">
        <is>
          <t>Outside 5 mi</t>
        </is>
      </c>
      <c r="N96" s="3" t="n">
        <v>4.411820794044477</v>
      </c>
      <c r="O96" t="inlineStr">
        <is>
          <t>&gt;3–5 mi</t>
        </is>
      </c>
      <c r="P96" t="n">
        <v>1</v>
      </c>
      <c r="Q96" t="n">
        <v>0</v>
      </c>
      <c r="R96" s="5" t="inlineStr">
        <is>
          <t>Included in rent means | Source pricing flag retained; automated consistency checks passed. This is not independent landlord verification.</t>
        </is>
      </c>
    </row>
    <row r="97">
      <c r="A97" t="inlineStr">
        <is>
          <t>ocpjxe9lb5</t>
        </is>
      </c>
      <c r="B97" t="inlineStr">
        <is>
          <t>Private House room listing</t>
        </is>
      </c>
      <c r="C97" t="inlineStr">
        <is>
          <t>https://offcampus.dasa.ncsu.edu/housing/property/private-house-room-listing/ocpjxe9lb5</t>
        </is>
      </c>
      <c r="D97" t="inlineStr">
        <is>
          <t>Per bedroom</t>
        </is>
      </c>
      <c r="E97" s="3" t="n">
        <v>35.869337</v>
      </c>
      <c r="F97" s="3" t="n">
        <v>-78.656268</v>
      </c>
      <c r="G97" s="2" t="n">
        <v>1000</v>
      </c>
      <c r="H97" s="2" t="n">
        <v>1000</v>
      </c>
      <c r="I97" s="2">
        <f>(G97+H97)/2</f>
        <v/>
      </c>
      <c r="J97" s="3" t="n">
        <v>6.367636762860208</v>
      </c>
      <c r="K97" t="inlineStr">
        <is>
          <t>Outside 5 mi</t>
        </is>
      </c>
      <c r="L97" s="3" t="n">
        <v>7.054370213806101</v>
      </c>
      <c r="M97" t="inlineStr">
        <is>
          <t>Outside 5 mi</t>
        </is>
      </c>
      <c r="N97" s="3" t="n">
        <v>5.581031733486191</v>
      </c>
      <c r="O97" t="inlineStr">
        <is>
          <t>Outside 5 mi</t>
        </is>
      </c>
      <c r="P97" t="n">
        <v>0</v>
      </c>
      <c r="Q97" t="n">
        <v>0</v>
      </c>
      <c r="R97" s="5" t="inlineStr">
        <is>
          <t>Included in rent means | Source pricing flag retained; automated consistency checks passed. This is not independent landlord verification.</t>
        </is>
      </c>
    </row>
    <row r="98">
      <c r="A98" t="inlineStr">
        <is>
          <t>6lbm6br</t>
        </is>
      </c>
      <c r="B98" t="inlineStr">
        <is>
          <t>2810 Crestscene Trail (Raleigh, NC)</t>
        </is>
      </c>
      <c r="C98" t="inlineStr">
        <is>
          <t>https://offcampus.dasa.ncsu.edu/housing/property/2810-crestscene-trail-raleigh-nc/6lbm6br</t>
        </is>
      </c>
      <c r="D98" t="inlineStr">
        <is>
          <t>Whole unit</t>
        </is>
      </c>
      <c r="E98" s="3" t="n">
        <v>35.751168</v>
      </c>
      <c r="F98" s="3" t="n">
        <v>-78.684513</v>
      </c>
      <c r="G98" s="2" t="n">
        <v>2500</v>
      </c>
      <c r="H98" s="2" t="n">
        <v>2500</v>
      </c>
      <c r="I98" s="2">
        <f>(G98+H98)/2</f>
        <v/>
      </c>
      <c r="J98" s="3" t="n">
        <v>1.964676193836618</v>
      </c>
      <c r="K98" t="inlineStr">
        <is>
          <t>&gt;1–3 mi</t>
        </is>
      </c>
      <c r="L98" s="3" t="n">
        <v>1.273564127099199</v>
      </c>
      <c r="M98" t="inlineStr">
        <is>
          <t>&gt;1–3 mi</t>
        </is>
      </c>
      <c r="N98" s="3" t="n">
        <v>3.447407419126963</v>
      </c>
      <c r="O98" t="inlineStr">
        <is>
          <t>&gt;3–5 mi</t>
        </is>
      </c>
      <c r="P98" t="n">
        <v>1</v>
      </c>
      <c r="Q98" t="n">
        <v>0</v>
      </c>
      <c r="R98" s="5" t="inlineStr">
        <is>
          <t>Included in rent means | Source pricing flag retained; automated consistency checks passed. This is not independent landlord verification.</t>
        </is>
      </c>
    </row>
    <row r="99">
      <c r="A99" t="inlineStr">
        <is>
          <t>ocp4lh373j</t>
        </is>
      </c>
      <c r="B99" t="inlineStr">
        <is>
          <t>Hub Raleigh – 4x2 Lease Takeover, Available Now</t>
        </is>
      </c>
      <c r="C99" t="inlineStr">
        <is>
          <t>https://offcampus.dasa.ncsu.edu/housing/property/hub-raleigh-4x2-lease-takeover-available-now/ocp4lh373j</t>
        </is>
      </c>
      <c r="D99" t="inlineStr">
        <is>
          <t>Per bedroom</t>
        </is>
      </c>
      <c r="E99" s="3" t="n">
        <v>35.785129</v>
      </c>
      <c r="F99" s="3" t="n">
        <v>-78.66049</v>
      </c>
      <c r="G99" s="2" t="n">
        <v>1199</v>
      </c>
      <c r="H99" s="2" t="n">
        <v>1199</v>
      </c>
      <c r="I99" s="2">
        <f>(G99+H99)/2</f>
        <v/>
      </c>
      <c r="J99" s="3" t="n">
        <v>1.249575868353012</v>
      </c>
      <c r="K99" t="inlineStr">
        <is>
          <t>&gt;1–3 mi</t>
        </is>
      </c>
      <c r="L99" s="3" t="n">
        <v>1.48246472439382</v>
      </c>
      <c r="M99" t="inlineStr">
        <is>
          <t>&gt;1–3 mi</t>
        </is>
      </c>
      <c r="N99" s="3" t="n">
        <v>2.611114095902443</v>
      </c>
      <c r="O99" t="inlineStr">
        <is>
          <t>&gt;1–3 mi</t>
        </is>
      </c>
      <c r="P99" t="n">
        <v>1</v>
      </c>
      <c r="Q99" t="n">
        <v>1</v>
      </c>
      <c r="R99" s="5" t="inlineStr">
        <is>
          <t>Included in rent means | Source pricing flag retained; automated consistency checks passed. This is not independent landlord verification.</t>
        </is>
      </c>
    </row>
    <row r="100">
      <c r="A100" t="inlineStr">
        <is>
          <t>dnbdmqk</t>
        </is>
      </c>
      <c r="B100" t="inlineStr">
        <is>
          <t>2626 Wolf Cub Ct (Raleigh, NC)</t>
        </is>
      </c>
      <c r="C100" t="inlineStr">
        <is>
          <t>https://offcampus.dasa.ncsu.edu/housing/property/2626-wolf-cub-ct-raleigh-nc/dnbdmqk</t>
        </is>
      </c>
      <c r="D100" t="inlineStr">
        <is>
          <t>Whole unit</t>
        </is>
      </c>
      <c r="E100" s="3" t="n">
        <v>35.74314</v>
      </c>
      <c r="F100" s="3" t="n">
        <v>-78.682772</v>
      </c>
      <c r="G100" s="2" t="n">
        <v>1895</v>
      </c>
      <c r="H100" s="2" t="n">
        <v>1895</v>
      </c>
      <c r="I100" s="2">
        <f>(G100+H100)/2</f>
        <v/>
      </c>
      <c r="J100" s="3" t="n">
        <v>2.51367337024136</v>
      </c>
      <c r="K100" t="inlineStr">
        <is>
          <t>&gt;1–3 mi</t>
        </is>
      </c>
      <c r="L100" s="3" t="n">
        <v>1.790596242203617</v>
      </c>
      <c r="M100" t="inlineStr">
        <is>
          <t>&gt;1–3 mi</t>
        </is>
      </c>
      <c r="N100" s="3" t="n">
        <v>4.005214425143685</v>
      </c>
      <c r="O100" t="inlineStr">
        <is>
          <t>&gt;3–5 mi</t>
        </is>
      </c>
      <c r="P100" t="n">
        <v>1</v>
      </c>
      <c r="Q100" t="n">
        <v>0</v>
      </c>
      <c r="R100" s="5" t="inlineStr">
        <is>
          <t>Included in rent means | Source pricing flag retained; automated consistency checks passed. This is not independent landlord verification.</t>
        </is>
      </c>
    </row>
    <row r="101">
      <c r="A101" t="inlineStr">
        <is>
          <t>ocp5cx5drn</t>
        </is>
      </c>
      <c r="B101" t="inlineStr">
        <is>
          <t>Valentine Commons</t>
        </is>
      </c>
      <c r="C101" t="inlineStr">
        <is>
          <t>https://offcampus.dasa.ncsu.edu/housing/property/valentine-commons/ocp5cx5drn</t>
        </is>
      </c>
      <c r="D101" t="inlineStr">
        <is>
          <t>Per bedroom</t>
        </is>
      </c>
      <c r="E101" s="3" t="n">
        <v>35.788043</v>
      </c>
      <c r="F101" s="3" t="n">
        <v>-78.677424</v>
      </c>
      <c r="G101" s="2" t="n">
        <v>1000</v>
      </c>
      <c r="H101" s="2" t="n">
        <v>1300</v>
      </c>
      <c r="I101" s="2">
        <f>(G101+H101)/2</f>
        <v/>
      </c>
      <c r="J101" s="3" t="n">
        <v>0.6360066417040893</v>
      </c>
      <c r="K101" t="inlineStr">
        <is>
          <t>0–1 mi</t>
        </is>
      </c>
      <c r="L101" s="3" t="n">
        <v>1.336480793212038</v>
      </c>
      <c r="M101" t="inlineStr">
        <is>
          <t>&gt;1–3 mi</t>
        </is>
      </c>
      <c r="N101" s="3" t="n">
        <v>1.658549841899539</v>
      </c>
      <c r="O101" t="inlineStr">
        <is>
          <t>&gt;1–3 mi</t>
        </is>
      </c>
      <c r="P101" t="n">
        <v>1</v>
      </c>
      <c r="Q101" t="n">
        <v>1</v>
      </c>
      <c r="R101" s="5" t="inlineStr">
        <is>
          <t>Included in rent means | Source pricing flag retained; automated consistency checks passed. This is not independent landlord verification.</t>
        </is>
      </c>
    </row>
    <row r="102">
      <c r="A102" t="inlineStr">
        <is>
          <t>teq7kh8</t>
        </is>
      </c>
      <c r="B102" t="inlineStr">
        <is>
          <t>1233 S Blount St (Raleigh, NC)</t>
        </is>
      </c>
      <c r="C102" t="inlineStr">
        <is>
          <t>https://offcampus.dasa.ncsu.edu/housing/property/1233-s-blount-st-raleigh-nc/teq7kh8</t>
        </is>
      </c>
      <c r="D102" t="inlineStr">
        <is>
          <t>Whole unit</t>
        </is>
      </c>
      <c r="E102" s="3" t="n">
        <v>35.765117</v>
      </c>
      <c r="F102" s="3" t="n">
        <v>-78.637201</v>
      </c>
      <c r="G102" s="2" t="n">
        <v>3800</v>
      </c>
      <c r="H102" s="2" t="n">
        <v>3800</v>
      </c>
      <c r="I102" s="2">
        <f>(G102+H102)/2</f>
        <v/>
      </c>
      <c r="J102" s="3" t="n">
        <v>2.684431117480504</v>
      </c>
      <c r="K102" t="inlineStr">
        <is>
          <t>&gt;1–3 mi</t>
        </is>
      </c>
      <c r="L102" s="3" t="n">
        <v>2.272785885590426</v>
      </c>
      <c r="M102" t="inlineStr">
        <is>
          <t>&gt;1–3 mi</t>
        </is>
      </c>
      <c r="N102" s="3" t="n">
        <v>4.40038226198793</v>
      </c>
      <c r="O102" t="inlineStr">
        <is>
          <t>&gt;3–5 mi</t>
        </is>
      </c>
      <c r="P102" t="n">
        <v>1</v>
      </c>
      <c r="Q102" t="n">
        <v>0</v>
      </c>
      <c r="R102" s="5" t="inlineStr">
        <is>
          <t>Excluded from rent means | Search/detail price mismatch | Source pricing flag retained; automated consistency checks passed. This is not independent landlord verification. Search summary: $3800–$3800; saved floor-plan envelope: $3000–$3000. Difference may reflect fees, timing or scope; unresolved snapshot price excluded.</t>
        </is>
      </c>
    </row>
    <row r="103">
      <c r="A103" t="inlineStr">
        <is>
          <t>ocpsgy1zk5</t>
        </is>
      </c>
      <c r="B103" t="inlineStr">
        <is>
          <t>Family Neighborhood with Greenway Access</t>
        </is>
      </c>
      <c r="C103" t="inlineStr">
        <is>
          <t>https://offcampus.dasa.ncsu.edu/housing/property/family-neighborhood-with-greenway-access/ocpsgy1zk5</t>
        </is>
      </c>
      <c r="D103" t="inlineStr">
        <is>
          <t>Whole unit</t>
        </is>
      </c>
      <c r="E103" s="3" t="n">
        <v>35.799947</v>
      </c>
      <c r="F103" s="3" t="n">
        <v>-78.600953</v>
      </c>
      <c r="G103" s="2" t="n">
        <v>3000</v>
      </c>
      <c r="H103" s="2" t="n">
        <v>3500</v>
      </c>
      <c r="I103" s="2">
        <f>(G103+H103)/2</f>
        <v/>
      </c>
      <c r="J103" s="3" t="n">
        <v>4.739688608025742</v>
      </c>
      <c r="K103" t="inlineStr">
        <is>
          <t>&gt;3–5 mi</t>
        </is>
      </c>
      <c r="L103" s="3" t="n">
        <v>4.803051798362211</v>
      </c>
      <c r="M103" t="inlineStr">
        <is>
          <t>&gt;3–5 mi</t>
        </is>
      </c>
      <c r="N103" s="3" t="n">
        <v>5.780109982379279</v>
      </c>
      <c r="O103" t="inlineStr">
        <is>
          <t>Outside 5 mi</t>
        </is>
      </c>
      <c r="P103" t="n">
        <v>1</v>
      </c>
      <c r="Q103" t="n">
        <v>0</v>
      </c>
      <c r="R103" s="5" t="inlineStr">
        <is>
          <t>Included in rent means | Source pricing flag retained; automated consistency checks passed. This is not independent landlord verification.</t>
        </is>
      </c>
    </row>
    <row r="104">
      <c r="A104" t="inlineStr">
        <is>
          <t>se736e5</t>
        </is>
      </c>
      <c r="B104" t="inlineStr">
        <is>
          <t>College Inn</t>
        </is>
      </c>
      <c r="C104" t="inlineStr">
        <is>
          <t>https://offcampus.dasa.ncsu.edu/housing/property/college-inn/se736e5</t>
        </is>
      </c>
      <c r="D104" t="inlineStr">
        <is>
          <t>Per bedroom</t>
        </is>
      </c>
      <c r="E104" s="3" t="n">
        <v>35.780547</v>
      </c>
      <c r="F104" s="3" t="n">
        <v>-78.67747300000001</v>
      </c>
      <c r="G104" s="2" t="n">
        <v>859</v>
      </c>
      <c r="H104" s="2" t="n">
        <v>1275</v>
      </c>
      <c r="I104" s="2">
        <f>(G104+H104)/2</f>
        <v/>
      </c>
      <c r="J104" s="3" t="n">
        <v>0.2464607774894674</v>
      </c>
      <c r="K104" t="inlineStr">
        <is>
          <t>0–1 mi</t>
        </is>
      </c>
      <c r="L104" s="3" t="n">
        <v>0.8185511340280208</v>
      </c>
      <c r="M104" t="inlineStr">
        <is>
          <t>0–1 mi</t>
        </is>
      </c>
      <c r="N104" s="3" t="n">
        <v>1.938377954019911</v>
      </c>
      <c r="O104" t="inlineStr">
        <is>
          <t>&gt;1–3 mi</t>
        </is>
      </c>
      <c r="P104" t="n">
        <v>1</v>
      </c>
      <c r="Q104" t="n">
        <v>1</v>
      </c>
      <c r="R104" s="5" t="inlineStr">
        <is>
          <t>Included in rent means | Source pricing flag retained; automated consistency checks passed. This is not independent landlord verification.</t>
        </is>
      </c>
    </row>
    <row r="105">
      <c r="A105" t="inlineStr">
        <is>
          <t>ocp0gch9g2</t>
        </is>
      </c>
      <c r="B105" t="inlineStr">
        <is>
          <t>Quiet Furnished Room in Cary – Private Bath, Storage, Driveway Access, Near Bus 3</t>
        </is>
      </c>
      <c r="C105" t="inlineStr">
        <is>
          <t>https://offcampus.dasa.ncsu.edu/housing/property/quiet-furnished-room-in-cary-private-bath-storage-driveway-access-near-bus-3/ocp0gch9g2</t>
        </is>
      </c>
      <c r="D105" t="inlineStr">
        <is>
          <t>Per bedroom</t>
        </is>
      </c>
      <c r="E105" s="3" t="n">
        <v>35.80786</v>
      </c>
      <c r="F105" s="3" t="n">
        <v>-78.784612</v>
      </c>
      <c r="G105" s="2" t="n">
        <v>950</v>
      </c>
      <c r="H105" s="2" t="n">
        <v>950</v>
      </c>
      <c r="I105" s="2">
        <f>(G105+H105)/2</f>
        <v/>
      </c>
      <c r="J105" s="3" t="n">
        <v>6.092174083786642</v>
      </c>
      <c r="K105" t="inlineStr">
        <is>
          <t>Outside 5 mi</t>
        </is>
      </c>
      <c r="L105" s="3" t="n">
        <v>6.584910478124828</v>
      </c>
      <c r="M105" t="inlineStr">
        <is>
          <t>Outside 5 mi</t>
        </is>
      </c>
      <c r="N105" s="3" t="n">
        <v>4.559165266396114</v>
      </c>
      <c r="O105" t="inlineStr">
        <is>
          <t>&gt;3–5 mi</t>
        </is>
      </c>
      <c r="P105" t="n">
        <v>1</v>
      </c>
      <c r="Q105" t="n">
        <v>1</v>
      </c>
      <c r="R105" s="5" t="inlineStr">
        <is>
          <t>Included in rent means | Source pricing flag retained; automated consistency checks passed. This is not independent landlord verification.</t>
        </is>
      </c>
    </row>
    <row r="106">
      <c r="A106" t="inlineStr">
        <is>
          <t>r2tht53</t>
        </is>
      </c>
      <c r="B106" t="inlineStr">
        <is>
          <t>Room in House on Tall Rock Ct</t>
        </is>
      </c>
      <c r="C106" t="inlineStr">
        <is>
          <t>https://offcampus.dasa.ncsu.edu/housing/property/room-in-house-on-tall-rock-ct/r2tht53</t>
        </is>
      </c>
      <c r="D106" t="inlineStr">
        <is>
          <t>Per bedroom</t>
        </is>
      </c>
      <c r="E106" s="3" t="n">
        <v>35.782077</v>
      </c>
      <c r="F106" s="3" t="n">
        <v>-78.597471</v>
      </c>
      <c r="G106" s="2" t="n">
        <v>900</v>
      </c>
      <c r="H106" s="2" t="n">
        <v>900</v>
      </c>
      <c r="I106" s="2">
        <f>(G106+H106)/2</f>
        <v/>
      </c>
      <c r="J106" s="3" t="n">
        <v>4.723474232803725</v>
      </c>
      <c r="K106" t="inlineStr">
        <is>
          <t>&gt;3–5 mi</t>
        </is>
      </c>
      <c r="L106" s="3" t="n">
        <v>4.580369312855128</v>
      </c>
      <c r="M106" t="inlineStr">
        <is>
          <t>&gt;3–5 mi</t>
        </is>
      </c>
      <c r="N106" s="3" t="n">
        <v>6.081418466849784</v>
      </c>
      <c r="O106" t="inlineStr">
        <is>
          <t>Outside 5 mi</t>
        </is>
      </c>
      <c r="P106" t="n">
        <v>1</v>
      </c>
      <c r="Q106" t="n">
        <v>0</v>
      </c>
      <c r="R106" s="5" t="inlineStr">
        <is>
          <t>Excluded from rent means | Search/detail price mismatch | Saved September 9 title explicitly offers a room. Reclassified from whole unit to room/per-bedroom; snapshot price unchanged. Search summary: $900–$900; saved floor-plan envelope: $825–$825. Difference may reflect fees, timing or scope; unresolved snapshot price excluded.</t>
        </is>
      </c>
    </row>
    <row r="107">
      <c r="A107" t="inlineStr">
        <is>
          <t>ocp1ddchy6</t>
        </is>
      </c>
      <c r="B107" t="inlineStr">
        <is>
          <t>Village Green</t>
        </is>
      </c>
      <c r="C107" t="inlineStr">
        <is>
          <t>https://offcampus.dasa.ncsu.edu/housing/property/village-green/ocp1ddchy6</t>
        </is>
      </c>
      <c r="D107" t="inlineStr">
        <is>
          <t>Per bedroom</t>
        </is>
      </c>
      <c r="E107" s="3" t="n">
        <v>35.75371</v>
      </c>
      <c r="F107" s="3" t="n">
        <v>-78.66687</v>
      </c>
      <c r="G107" s="2" t="n">
        <v>930</v>
      </c>
      <c r="H107" s="2" t="n">
        <v>930</v>
      </c>
      <c r="I107" s="2">
        <f>(G107+H107)/2</f>
        <v/>
      </c>
      <c r="J107" s="3" t="n">
        <v>1.966488918292135</v>
      </c>
      <c r="K107" t="inlineStr">
        <is>
          <t>&gt;1–3 mi</t>
        </is>
      </c>
      <c r="L107" s="3" t="n">
        <v>1.194946286765294</v>
      </c>
      <c r="M107" t="inlineStr">
        <is>
          <t>&gt;1–3 mi</t>
        </is>
      </c>
      <c r="N107" s="3" t="n">
        <v>3.730289013560026</v>
      </c>
      <c r="O107" t="inlineStr">
        <is>
          <t>&gt;3–5 mi</t>
        </is>
      </c>
      <c r="P107" t="n">
        <v>1</v>
      </c>
      <c r="Q107" t="n">
        <v>1</v>
      </c>
      <c r="R107" s="5" t="inlineStr">
        <is>
          <t>Included in rent means | Source pricing flag retained; automated consistency checks passed. This is not independent landlord verification.</t>
        </is>
      </c>
    </row>
    <row r="108">
      <c r="A108" t="inlineStr">
        <is>
          <t>r66ecw0</t>
        </is>
      </c>
      <c r="B108" t="inlineStr">
        <is>
          <t>Room in Duplex on Bragg St</t>
        </is>
      </c>
      <c r="C108" t="inlineStr">
        <is>
          <t>https://offcampus.dasa.ncsu.edu/housing/property/room-in-duplex-on-bragg-st/r66ecw0</t>
        </is>
      </c>
      <c r="D108" t="inlineStr">
        <is>
          <t>Per bedroom</t>
        </is>
      </c>
      <c r="E108" s="3" t="n">
        <v>35.765736</v>
      </c>
      <c r="F108" s="3" t="n">
        <v>-78.623853</v>
      </c>
      <c r="G108" s="2" t="n">
        <v>640</v>
      </c>
      <c r="H108" s="2" t="n">
        <v>640</v>
      </c>
      <c r="I108" s="2">
        <f>(G108+H108)/2</f>
        <v/>
      </c>
      <c r="J108" s="3" t="n">
        <v>3.378504996172901</v>
      </c>
      <c r="K108" t="inlineStr">
        <is>
          <t>&gt;3–5 mi</t>
        </is>
      </c>
      <c r="L108" s="3" t="n">
        <v>3.01453786511113</v>
      </c>
      <c r="M108" t="inlineStr">
        <is>
          <t>&gt;3–5 mi</t>
        </is>
      </c>
      <c r="N108" s="3" t="n">
        <v>5.033598888775747</v>
      </c>
      <c r="O108" t="inlineStr">
        <is>
          <t>Outside 5 mi</t>
        </is>
      </c>
      <c r="P108" t="n">
        <v>1</v>
      </c>
      <c r="Q108" t="n">
        <v>0</v>
      </c>
      <c r="R108" s="5" t="inlineStr">
        <is>
          <t>Excluded from rent means | Search/detail price mismatch | Saved September 9 title explicitly offers a room. Reclassified from whole unit to room/per-bedroom; snapshot price unchanged. Search summary: $640–$640; saved floor-plan envelope: $630–$630. Difference may reflect fees, timing or scope; unresolved snapshot price excluded.</t>
        </is>
      </c>
    </row>
    <row r="109">
      <c r="A109" t="inlineStr">
        <is>
          <t>ocpmf8tflk</t>
        </is>
      </c>
      <c r="B109" t="inlineStr">
        <is>
          <t>St. Albans Lofts in North Hills</t>
        </is>
      </c>
      <c r="C109" t="inlineStr">
        <is>
          <t>https://offcampus.dasa.ncsu.edu/housing/property/st-albans-lofts-in-north-hills/ocpmf8tflk</t>
        </is>
      </c>
      <c r="D109" t="inlineStr">
        <is>
          <t>Whole unit</t>
        </is>
      </c>
      <c r="E109" s="3" t="n">
        <v>35.833976</v>
      </c>
      <c r="F109" s="3" t="n">
        <v>-78.627217</v>
      </c>
      <c r="G109" s="2" t="n">
        <v>1330</v>
      </c>
      <c r="H109" s="2" t="n">
        <v>1330</v>
      </c>
      <c r="I109" s="2">
        <f>(G109+H109)/2</f>
        <v/>
      </c>
      <c r="J109" s="3" t="n">
        <v>4.845150891999651</v>
      </c>
      <c r="K109" t="inlineStr">
        <is>
          <t>&gt;3–5 mi</t>
        </is>
      </c>
      <c r="L109" s="3" t="n">
        <v>5.318007876116427</v>
      </c>
      <c r="M109" t="inlineStr">
        <is>
          <t>Outside 5 mi</t>
        </is>
      </c>
      <c r="N109" s="3" t="n">
        <v>4.956201137305496</v>
      </c>
      <c r="O109" t="inlineStr">
        <is>
          <t>&gt;3–5 mi</t>
        </is>
      </c>
      <c r="P109" t="n">
        <v>1</v>
      </c>
      <c r="Q109" t="n">
        <v>0</v>
      </c>
      <c r="R109" s="5" t="inlineStr">
        <is>
          <t>Included in rent means | Source pricing flag retained; automated consistency checks passed. This is not independent landlord verification.</t>
        </is>
      </c>
    </row>
    <row r="110">
      <c r="A110" t="inlineStr">
        <is>
          <t>kf77vv8</t>
        </is>
      </c>
      <c r="B110" t="inlineStr">
        <is>
          <t>Room in Condo on Collegiate Cir</t>
        </is>
      </c>
      <c r="C110" t="inlineStr">
        <is>
          <t>https://offcampus.dasa.ncsu.edu/housing/property/room-in-condo-on-collegiate-cir/kf77vv8</t>
        </is>
      </c>
      <c r="D110" t="inlineStr">
        <is>
          <t>Per bedroom</t>
        </is>
      </c>
      <c r="E110" s="3" t="n">
        <v>35.761733</v>
      </c>
      <c r="F110" s="3" t="n">
        <v>-78.70080900000001</v>
      </c>
      <c r="G110" s="2" t="n">
        <v>675</v>
      </c>
      <c r="H110" s="2" t="n">
        <v>675</v>
      </c>
      <c r="I110" s="2">
        <f>(G110+H110)/2</f>
        <v/>
      </c>
      <c r="J110" s="3" t="n">
        <v>1.630531464821681</v>
      </c>
      <c r="K110" t="inlineStr">
        <is>
          <t>&gt;1–3 mi</t>
        </is>
      </c>
      <c r="L110" s="3" t="n">
        <v>1.392629741324425</v>
      </c>
      <c r="M110" t="inlineStr">
        <is>
          <t>&gt;1–3 mi</t>
        </is>
      </c>
      <c r="N110" s="3" t="n">
        <v>2.544898354511679</v>
      </c>
      <c r="O110" t="inlineStr">
        <is>
          <t>&gt;1–3 mi</t>
        </is>
      </c>
      <c r="P110" t="n">
        <v>1</v>
      </c>
      <c r="Q110" t="n">
        <v>1</v>
      </c>
      <c r="R110" s="5" t="inlineStr">
        <is>
          <t>Included in rent means | Saved September 9 title explicitly offers a room. Reclassified from whole unit to room/per-bedroom; snapshot price unchanged.</t>
        </is>
      </c>
    </row>
    <row r="111">
      <c r="A111" t="inlineStr">
        <is>
          <t>ocphycq162</t>
        </is>
      </c>
      <c r="B111" t="inlineStr">
        <is>
          <t>Cozy house 10 min walk to campus</t>
        </is>
      </c>
      <c r="C111" t="inlineStr">
        <is>
          <t>https://offcampus.dasa.ncsu.edu/housing/property/cozy-house-10-min-walk-to-campus/ocphycq162</t>
        </is>
      </c>
      <c r="D111" t="inlineStr">
        <is>
          <t>Per bedroom</t>
        </is>
      </c>
      <c r="E111" s="3" t="n">
        <v>35.792829</v>
      </c>
      <c r="F111" s="3" t="n">
        <v>-78.666357</v>
      </c>
      <c r="G111" s="2" t="n">
        <v>1500</v>
      </c>
      <c r="H111" s="2" t="n">
        <v>1500</v>
      </c>
      <c r="I111" s="2">
        <f>(G111+H111)/2</f>
        <v/>
      </c>
      <c r="J111" s="3" t="n">
        <v>1.258758083606101</v>
      </c>
      <c r="K111" t="inlineStr">
        <is>
          <t>&gt;1–3 mi</t>
        </is>
      </c>
      <c r="L111" s="3" t="n">
        <v>1.780316227958689</v>
      </c>
      <c r="M111" t="inlineStr">
        <is>
          <t>&gt;1–3 mi</t>
        </is>
      </c>
      <c r="N111" s="3" t="n">
        <v>2.14970929665973</v>
      </c>
      <c r="O111" t="inlineStr">
        <is>
          <t>&gt;1–3 mi</t>
        </is>
      </c>
      <c r="P111" t="n">
        <v>1</v>
      </c>
      <c r="Q111" t="n">
        <v>1</v>
      </c>
      <c r="R111" s="5" t="inlineStr">
        <is>
          <t>Included in rent means | Source pricing flag retained; automated consistency checks passed. This is not independent landlord verification.</t>
        </is>
      </c>
    </row>
    <row r="112">
      <c r="A112" t="inlineStr">
        <is>
          <t>hz5leg1</t>
        </is>
      </c>
      <c r="B112" t="inlineStr">
        <is>
          <t>Room in Townhome on Ivory Run Way</t>
        </is>
      </c>
      <c r="C112" t="inlineStr">
        <is>
          <t>https://offcampus.dasa.ncsu.edu/housing/property/room-in-townhome-on-ivory-run-way/hz5leg1</t>
        </is>
      </c>
      <c r="D112" t="inlineStr">
        <is>
          <t>Per bedroom</t>
        </is>
      </c>
      <c r="E112" s="3" t="n">
        <v>35.744672</v>
      </c>
      <c r="F112" s="3" t="n">
        <v>-78.68458</v>
      </c>
      <c r="G112" s="2" t="n">
        <v>690</v>
      </c>
      <c r="H112" s="2" t="n">
        <v>690</v>
      </c>
      <c r="I112" s="2">
        <f>(G112+H112)/2</f>
        <v/>
      </c>
      <c r="J112" s="3" t="n">
        <v>2.412561562395391</v>
      </c>
      <c r="K112" t="inlineStr">
        <is>
          <t>&gt;1–3 mi</t>
        </is>
      </c>
      <c r="L112" s="3" t="n">
        <v>1.706978199044346</v>
      </c>
      <c r="M112" t="inlineStr">
        <is>
          <t>&gt;1–3 mi</t>
        </is>
      </c>
      <c r="N112" s="3" t="n">
        <v>3.874497194868233</v>
      </c>
      <c r="O112" t="inlineStr">
        <is>
          <t>&gt;3–5 mi</t>
        </is>
      </c>
      <c r="P112" t="n">
        <v>1</v>
      </c>
      <c r="Q112" t="n">
        <v>1</v>
      </c>
      <c r="R112" s="5" t="inlineStr">
        <is>
          <t>Included in rent means | Saved September 9 title explicitly offers a room. Reclassified from whole unit to room/per-bedroom; snapshot price unchanged.</t>
        </is>
      </c>
    </row>
    <row r="113">
      <c r="A113" t="inlineStr">
        <is>
          <t>ocpszqbd35</t>
        </is>
      </c>
      <c r="B113" t="inlineStr">
        <is>
          <t>Signature 1505 4X4 Apartment</t>
        </is>
      </c>
      <c r="C113" t="inlineStr">
        <is>
          <t>https://offcampus.dasa.ncsu.edu/housing/property/signature-1505-4x4-apartment/ocpszqbd35</t>
        </is>
      </c>
      <c r="D113" t="inlineStr">
        <is>
          <t>Per bedroom</t>
        </is>
      </c>
      <c r="E113" s="3" t="n">
        <v>35.783773</v>
      </c>
      <c r="F113" s="3" t="n">
        <v>-78.658911</v>
      </c>
      <c r="G113" s="2" t="n">
        <v>1230</v>
      </c>
      <c r="H113" s="2" t="n">
        <v>1230</v>
      </c>
      <c r="I113" s="2">
        <f>(G113+H113)/2</f>
        <v/>
      </c>
      <c r="J113" s="3" t="n">
        <v>1.309798751011894</v>
      </c>
      <c r="K113" t="inlineStr">
        <is>
          <t>&gt;1–3 mi</t>
        </is>
      </c>
      <c r="L113" s="3" t="n">
        <v>1.473234962501602</v>
      </c>
      <c r="M113" t="inlineStr">
        <is>
          <t>&gt;1–3 mi</t>
        </is>
      </c>
      <c r="N113" s="3" t="n">
        <v>2.727589665990617</v>
      </c>
      <c r="O113" t="inlineStr">
        <is>
          <t>&gt;1–3 mi</t>
        </is>
      </c>
      <c r="P113" t="n">
        <v>1</v>
      </c>
      <c r="Q113" t="n">
        <v>1</v>
      </c>
      <c r="R113" s="5" t="inlineStr">
        <is>
          <t>Included in rent means | Source pricing flag retained; automated consistency checks passed. This is not independent landlord verification.</t>
        </is>
      </c>
    </row>
    <row r="114">
      <c r="A114" t="inlineStr">
        <is>
          <t>ocpsq5c5s4</t>
        </is>
      </c>
      <c r="B114" t="inlineStr">
        <is>
          <t>Lupton Flats- 2 Bedroom 1 Bathroom Flat Available Now! Pre Leasing for August 2026!</t>
        </is>
      </c>
      <c r="C114" t="inlineStr">
        <is>
          <t>https://offcampus.dasa.ncsu.edu/housing/property/lupton-flats-2-bedroom-1-bathroom-flat-available-now-pre-leasing-for-august-2026/ocpsq5c5s4</t>
        </is>
      </c>
      <c r="D114" t="inlineStr">
        <is>
          <t>Whole unit</t>
        </is>
      </c>
      <c r="E114" s="3" t="n">
        <v>35.776319</v>
      </c>
      <c r="F114" s="3" t="n">
        <v>-78.68947199999999</v>
      </c>
      <c r="G114" s="2" t="n">
        <v>1295</v>
      </c>
      <c r="H114" s="2" t="n">
        <v>1295</v>
      </c>
      <c r="I114" s="2">
        <f>(G114+H114)/2</f>
        <v/>
      </c>
      <c r="J114" s="3" t="n">
        <v>0.4892705683905449</v>
      </c>
      <c r="K114" t="inlineStr">
        <is>
          <t>0–1 mi</t>
        </is>
      </c>
      <c r="L114" s="3" t="n">
        <v>0.8529598434794067</v>
      </c>
      <c r="M114" t="inlineStr">
        <is>
          <t>0–1 mi</t>
        </is>
      </c>
      <c r="N114" s="3" t="n">
        <v>1.735726423697413</v>
      </c>
      <c r="O114" t="inlineStr">
        <is>
          <t>&gt;1–3 mi</t>
        </is>
      </c>
      <c r="P114" t="n">
        <v>1</v>
      </c>
      <c r="Q114" t="n">
        <v>0</v>
      </c>
      <c r="R114" s="5" t="inlineStr">
        <is>
          <t>Included in rent means | Source pricing flag retained; automated consistency checks passed. This is not independent landlord verification.</t>
        </is>
      </c>
    </row>
    <row r="115">
      <c r="A115" t="inlineStr">
        <is>
          <t>ocpbnn75s8</t>
        </is>
      </c>
      <c r="B115" t="inlineStr">
        <is>
          <t>912 Chaney Rd. #100</t>
        </is>
      </c>
      <c r="C115" t="inlineStr">
        <is>
          <t>https://offcampus.dasa.ncsu.edu/housing/property/912-chaney-rd-100/ocpbnn75s8</t>
        </is>
      </c>
      <c r="D115" t="inlineStr">
        <is>
          <t>Whole unit</t>
        </is>
      </c>
      <c r="E115" s="3" t="n">
        <v>35.786705</v>
      </c>
      <c r="F115" s="3" t="n">
        <v>-78.69549000000001</v>
      </c>
      <c r="G115" s="2" t="n">
        <v>2600</v>
      </c>
      <c r="H115" s="2" t="n">
        <v>2600</v>
      </c>
      <c r="I115" s="2">
        <f>(G115+H115)/2</f>
        <v/>
      </c>
      <c r="J115" s="3" t="n">
        <v>0.919952603184647</v>
      </c>
      <c r="K115" t="inlineStr">
        <is>
          <t>0–1 mi</t>
        </is>
      </c>
      <c r="L115" s="3" t="n">
        <v>1.601414807398985</v>
      </c>
      <c r="M115" t="inlineStr">
        <is>
          <t>&gt;1–3 mi</t>
        </is>
      </c>
      <c r="N115" s="3" t="n">
        <v>0.9447470993510061</v>
      </c>
      <c r="O115" t="inlineStr">
        <is>
          <t>0–1 mi</t>
        </is>
      </c>
      <c r="P115" t="n">
        <v>1</v>
      </c>
      <c r="Q115" t="n">
        <v>0</v>
      </c>
      <c r="R115" s="5" t="inlineStr">
        <is>
          <t>Included in rent means | Source pricing flag retained; automated consistency checks passed. This is not independent landlord verification.</t>
        </is>
      </c>
    </row>
    <row r="116">
      <c r="A116" t="inlineStr">
        <is>
          <t>jkg82q6</t>
        </is>
      </c>
      <c r="B116" t="inlineStr">
        <is>
          <t>Room in House on Joyner Pl</t>
        </is>
      </c>
      <c r="C116" t="inlineStr">
        <is>
          <t>https://offcampus.dasa.ncsu.edu/housing/property/room-in-house-on-joyner-pl/jkg82q6</t>
        </is>
      </c>
      <c r="D116" t="inlineStr">
        <is>
          <t>Per bedroom</t>
        </is>
      </c>
      <c r="E116" s="3" t="n">
        <v>35.844878</v>
      </c>
      <c r="F116" s="3" t="n">
        <v>-78.681951</v>
      </c>
      <c r="G116" s="2" t="n">
        <v>700</v>
      </c>
      <c r="H116" s="2" t="n">
        <v>700</v>
      </c>
      <c r="I116" s="2">
        <f>(G116+H116)/2</f>
        <v/>
      </c>
      <c r="J116" s="3" t="n">
        <v>4.516524136639497</v>
      </c>
      <c r="K116" t="inlineStr">
        <is>
          <t>&gt;3–5 mi</t>
        </is>
      </c>
      <c r="L116" s="3" t="n">
        <v>5.269304348245323</v>
      </c>
      <c r="M116" t="inlineStr">
        <is>
          <t>Outside 5 mi</t>
        </is>
      </c>
      <c r="N116" s="3" t="n">
        <v>3.437811400500744</v>
      </c>
      <c r="O116" t="inlineStr">
        <is>
          <t>&gt;3–5 mi</t>
        </is>
      </c>
      <c r="P116" t="n">
        <v>1</v>
      </c>
      <c r="Q116" t="n">
        <v>1</v>
      </c>
      <c r="R116" s="5" t="inlineStr">
        <is>
          <t>Included in rent means | Saved September 9 title explicitly offers a room. Reclassified from whole unit to room/per-bedroom; snapshot price unchanged.</t>
        </is>
      </c>
    </row>
    <row r="117">
      <c r="A117" t="inlineStr">
        <is>
          <t>ocp2bnnl9c</t>
        </is>
      </c>
      <c r="B117" t="inlineStr">
        <is>
          <t>Townhome at Hampton Place, Morrisville, 20 to 25 minutes from NCSU.</t>
        </is>
      </c>
      <c r="C117" t="inlineStr">
        <is>
          <t>https://offcampus.dasa.ncsu.edu/housing/property/townhome-at-hampton-place-morrisville-20-to-25-minutes-from-ncsu/ocp2bnnl9c</t>
        </is>
      </c>
      <c r="D117" t="inlineStr">
        <is>
          <t>Per bedroom</t>
        </is>
      </c>
      <c r="E117" s="3" t="n">
        <v>35.831552</v>
      </c>
      <c r="F117" s="3" t="n">
        <v>-78.83040099999999</v>
      </c>
      <c r="G117" s="2" t="n">
        <v>733</v>
      </c>
      <c r="H117" s="2" t="n">
        <v>733</v>
      </c>
      <c r="I117" s="2">
        <f>(G117+H117)/2</f>
        <v/>
      </c>
      <c r="J117" s="3" t="n">
        <v>9.076271746433189</v>
      </c>
      <c r="K117" t="inlineStr">
        <is>
          <t>Outside 5 mi</t>
        </is>
      </c>
      <c r="L117" s="3" t="n">
        <v>9.606075339096252</v>
      </c>
      <c r="M117" t="inlineStr">
        <is>
          <t>Outside 5 mi</t>
        </is>
      </c>
      <c r="N117" s="3" t="n">
        <v>7.437530875362879</v>
      </c>
      <c r="O117" t="inlineStr">
        <is>
          <t>Outside 5 mi</t>
        </is>
      </c>
      <c r="P117" t="n">
        <v>0</v>
      </c>
      <c r="Q117" t="n">
        <v>0</v>
      </c>
      <c r="R117" s="5" t="inlineStr">
        <is>
          <t>Included in rent means | Source pricing flag retained; automated consistency checks passed. This is not independent landlord verification.</t>
        </is>
      </c>
    </row>
    <row r="118">
      <c r="A118" t="inlineStr">
        <is>
          <t>gc0phpz</t>
        </is>
      </c>
      <c r="B118" t="inlineStr">
        <is>
          <t>591 E Cabarrus St (Raleigh, NC)</t>
        </is>
      </c>
      <c r="C118" t="inlineStr">
        <is>
          <t>https://offcampus.dasa.ncsu.edu/housing/property/591-e-cabarrus-st-raleigh-nc/gc0phpz</t>
        </is>
      </c>
      <c r="D118" t="inlineStr">
        <is>
          <t>Whole unit</t>
        </is>
      </c>
      <c r="E118" s="3" t="n">
        <v>35.77414</v>
      </c>
      <c r="F118" s="3" t="n">
        <v>-78.62851999999999</v>
      </c>
      <c r="G118" s="2" t="n">
        <v>2600</v>
      </c>
      <c r="H118" s="2" t="n">
        <v>2600</v>
      </c>
      <c r="I118" s="2">
        <f>(G118+H118)/2</f>
        <v/>
      </c>
      <c r="J118" s="3" t="n">
        <v>3.002921081928304</v>
      </c>
      <c r="K118" t="inlineStr">
        <is>
          <t>&gt;3–5 mi</t>
        </is>
      </c>
      <c r="L118" s="3" t="n">
        <v>2.771392476844203</v>
      </c>
      <c r="M118" t="inlineStr">
        <is>
          <t>&gt;1–3 mi</t>
        </is>
      </c>
      <c r="N118" s="3" t="n">
        <v>4.556484327913657</v>
      </c>
      <c r="O118" t="inlineStr">
        <is>
          <t>&gt;3–5 mi</t>
        </is>
      </c>
      <c r="P118" t="n">
        <v>1</v>
      </c>
      <c r="Q118" t="n">
        <v>0</v>
      </c>
      <c r="R118" s="5" t="inlineStr">
        <is>
          <t>Included in rent means | Source pricing flag retained; automated consistency checks passed. This is not independent landlord verification.</t>
        </is>
      </c>
    </row>
    <row r="119">
      <c r="A119" t="inlineStr">
        <is>
          <t>ocp0gblz91</t>
        </is>
      </c>
      <c r="B119" t="inlineStr">
        <is>
          <t>Great value in beautiful SW Raleigh</t>
        </is>
      </c>
      <c r="C119" t="inlineStr">
        <is>
          <t>https://offcampus.dasa.ncsu.edu/housing/property/great-value-in-beautiful-sw-raleigh/ocp0gblz91</t>
        </is>
      </c>
      <c r="D119" t="inlineStr">
        <is>
          <t>Per bedroom</t>
        </is>
      </c>
      <c r="E119" s="3" t="n">
        <v>35.747295</v>
      </c>
      <c r="F119" s="3" t="n">
        <v>-78.729736</v>
      </c>
      <c r="G119" s="2" t="n">
        <v>850</v>
      </c>
      <c r="H119" s="2" t="n">
        <v>850</v>
      </c>
      <c r="I119" s="2">
        <f>(G119+H119)/2</f>
        <v/>
      </c>
      <c r="J119" s="3" t="n">
        <v>3.494769247784064</v>
      </c>
      <c r="K119" t="inlineStr">
        <is>
          <t>&gt;3–5 mi</t>
        </is>
      </c>
      <c r="L119" s="3" t="n">
        <v>3.281036351668997</v>
      </c>
      <c r="M119" t="inlineStr">
        <is>
          <t>&gt;3–5 mi</t>
        </is>
      </c>
      <c r="N119" s="3" t="n">
        <v>3.817169822499196</v>
      </c>
      <c r="O119" t="inlineStr">
        <is>
          <t>&gt;3–5 mi</t>
        </is>
      </c>
      <c r="P119" t="n">
        <v>1</v>
      </c>
      <c r="Q119" t="n">
        <v>1</v>
      </c>
      <c r="R119" s="5" t="inlineStr">
        <is>
          <t>Included in rent means | Source pricing flag retained; automated consistency checks passed. This is not independent landlord verification.</t>
        </is>
      </c>
    </row>
    <row r="120">
      <c r="A120" t="inlineStr">
        <is>
          <t>ocplp7c98d</t>
        </is>
      </c>
      <c r="B120" t="inlineStr">
        <is>
          <t>Collegeview Apartments</t>
        </is>
      </c>
      <c r="C120" t="inlineStr">
        <is>
          <t>https://offcampus.dasa.ncsu.edu/housing/property/collegeview-apartments/ocplp7c98d</t>
        </is>
      </c>
      <c r="D120" t="inlineStr">
        <is>
          <t>Whole unit</t>
        </is>
      </c>
      <c r="E120" s="3" t="n">
        <v>35.775174</v>
      </c>
      <c r="F120" s="3" t="n">
        <v>-78.68629</v>
      </c>
      <c r="G120" s="2" t="n">
        <v>1445</v>
      </c>
      <c r="H120" s="2" t="n">
        <v>1545</v>
      </c>
      <c r="I120" s="2">
        <f>(G120+H120)/2</f>
        <v/>
      </c>
      <c r="J120" s="3" t="n">
        <v>0.3956406577759941</v>
      </c>
      <c r="K120" t="inlineStr">
        <is>
          <t>0–1 mi</t>
        </is>
      </c>
      <c r="L120" s="3" t="n">
        <v>0.6655055662947001</v>
      </c>
      <c r="M120" t="inlineStr">
        <is>
          <t>0–1 mi</t>
        </is>
      </c>
      <c r="N120" s="3" t="n">
        <v>1.893416459943923</v>
      </c>
      <c r="O120" t="inlineStr">
        <is>
          <t>&gt;1–3 mi</t>
        </is>
      </c>
      <c r="P120" t="n">
        <v>1</v>
      </c>
      <c r="Q120" t="n">
        <v>0</v>
      </c>
      <c r="R120" s="5" t="inlineStr">
        <is>
          <t>Included in rent means | Source pricing flag retained; automated consistency checks passed. This is not independent landlord verification.</t>
        </is>
      </c>
    </row>
    <row r="121">
      <c r="A121" t="inlineStr">
        <is>
          <t>ocpteqgjg8</t>
        </is>
      </c>
      <c r="B121" t="inlineStr">
        <is>
          <t>Huge modern studio suite- private entrance and beth- near NCSU</t>
        </is>
      </c>
      <c r="C121" t="inlineStr">
        <is>
          <t>https://offcampus.dasa.ncsu.edu/housing/property/huge-modern-studio-suite-private-entrance-and-beth-near-ncsu/ocpteqgjg8</t>
        </is>
      </c>
      <c r="D121" t="inlineStr">
        <is>
          <t>Per bedroom</t>
        </is>
      </c>
      <c r="E121" s="3" t="n">
        <v>35.822478</v>
      </c>
      <c r="F121" s="3" t="n">
        <v>-78.680244</v>
      </c>
      <c r="G121" s="2" t="n">
        <v>1150</v>
      </c>
      <c r="H121" s="2" t="n">
        <v>1150</v>
      </c>
      <c r="I121" s="2">
        <f>(G121+H121)/2</f>
        <v/>
      </c>
      <c r="J121" s="3" t="n">
        <v>2.969896436946123</v>
      </c>
      <c r="K121" t="inlineStr">
        <is>
          <t>&gt;1–3 mi</t>
        </is>
      </c>
      <c r="L121" s="3" t="n">
        <v>3.718886731915769</v>
      </c>
      <c r="M121" t="inlineStr">
        <is>
          <t>&gt;3–5 mi</t>
        </is>
      </c>
      <c r="N121" s="3" t="n">
        <v>2.129637740162942</v>
      </c>
      <c r="O121" t="inlineStr">
        <is>
          <t>&gt;1–3 mi</t>
        </is>
      </c>
      <c r="P121" t="n">
        <v>1</v>
      </c>
      <c r="Q121" t="n">
        <v>1</v>
      </c>
      <c r="R121" s="5" t="inlineStr">
        <is>
          <t>Included in rent means | September 13 source describes a single-occupancy private suite with shared kitchen and laundry. Classified as a per-person room/suite, not a self-contained whole dwelling; September 9 price retained.</t>
        </is>
      </c>
    </row>
    <row r="122">
      <c r="A122" t="inlineStr">
        <is>
          <t>33f756e</t>
        </is>
      </c>
      <c r="B122" t="inlineStr">
        <is>
          <t>University Village at 2505</t>
        </is>
      </c>
      <c r="C122" t="inlineStr">
        <is>
          <t>https://offcampus.dasa.ncsu.edu/housing/property/university-village-at-2505/33f756e</t>
        </is>
      </c>
      <c r="D122" t="inlineStr">
        <is>
          <t>Per bedroom</t>
        </is>
      </c>
      <c r="E122" s="3" t="n">
        <v>35.747318</v>
      </c>
      <c r="F122" s="3" t="n">
        <v>-78.67729199999999</v>
      </c>
      <c r="G122" s="2" t="n">
        <v>799</v>
      </c>
      <c r="H122" s="2" t="n">
        <v>799</v>
      </c>
      <c r="I122" s="2">
        <f>(G122+H122)/2</f>
        <v/>
      </c>
      <c r="J122" s="3" t="n">
        <v>2.237819087455833</v>
      </c>
      <c r="K122" t="inlineStr">
        <is>
          <t>&gt;1–3 mi</t>
        </is>
      </c>
      <c r="L122" s="3" t="n">
        <v>1.477401515394216</v>
      </c>
      <c r="M122" t="inlineStr">
        <is>
          <t>&gt;1–3 mi</t>
        </is>
      </c>
      <c r="N122" s="3" t="n">
        <v>3.84006650761547</v>
      </c>
      <c r="O122" t="inlineStr">
        <is>
          <t>&gt;3–5 mi</t>
        </is>
      </c>
      <c r="P122" t="n">
        <v>1</v>
      </c>
      <c r="Q122" t="n">
        <v>1</v>
      </c>
      <c r="R122" s="5" t="inlineStr">
        <is>
          <t>Included in rent means | Source pricing flag retained; automated consistency checks passed. This is not independent landlord verification.</t>
        </is>
      </c>
    </row>
    <row r="123">
      <c r="A123" t="inlineStr">
        <is>
          <t>ocphe602k0</t>
        </is>
      </c>
      <c r="B123" t="inlineStr">
        <is>
          <t>Apartment close to campus</t>
        </is>
      </c>
      <c r="C123" t="inlineStr">
        <is>
          <t>https://offcampus.dasa.ncsu.edu/housing/property/apartment-close-to-campus/ocphe602k0</t>
        </is>
      </c>
      <c r="D123" t="inlineStr">
        <is>
          <t>Whole unit</t>
        </is>
      </c>
      <c r="E123" s="3" t="n">
        <v>35.748959</v>
      </c>
      <c r="F123" s="3" t="n">
        <v>-78.69618</v>
      </c>
      <c r="G123" s="2" t="n">
        <v>1800</v>
      </c>
      <c r="H123" s="2" t="n">
        <v>1800</v>
      </c>
      <c r="I123" s="2">
        <f>(G123+H123)/2</f>
        <v/>
      </c>
      <c r="J123" s="3" t="n">
        <v>2.262000465006402</v>
      </c>
      <c r="K123" t="inlineStr">
        <is>
          <t>&gt;1–3 mi</t>
        </is>
      </c>
      <c r="L123" s="3" t="n">
        <v>1.719701472470099</v>
      </c>
      <c r="M123" t="inlineStr">
        <is>
          <t>&gt;1–3 mi</t>
        </is>
      </c>
      <c r="N123" s="3" t="n">
        <v>3.449430457882558</v>
      </c>
      <c r="O123" t="inlineStr">
        <is>
          <t>&gt;3–5 mi</t>
        </is>
      </c>
      <c r="P123" t="n">
        <v>1</v>
      </c>
      <c r="Q123" t="n">
        <v>0</v>
      </c>
      <c r="R123" s="5" t="inlineStr">
        <is>
          <t>Included in rent means | Source pricing flag retained; automated consistency checks passed. This is not independent landlord verification.</t>
        </is>
      </c>
    </row>
    <row r="124">
      <c r="A124" t="inlineStr">
        <is>
          <t>zfenc9w</t>
        </is>
      </c>
      <c r="B124" t="inlineStr">
        <is>
          <t>Room in Condo on Wolfmill Dr</t>
        </is>
      </c>
      <c r="C124" t="inlineStr">
        <is>
          <t>https://offcampus.dasa.ncsu.edu/housing/property/room-in-condo-on-wolfmill-dr/zfenc9w</t>
        </is>
      </c>
      <c r="D124" t="inlineStr">
        <is>
          <t>Per bedroom</t>
        </is>
      </c>
      <c r="E124" s="3" t="n">
        <v>35.749406</v>
      </c>
      <c r="F124" s="3" t="n">
        <v>-78.696527</v>
      </c>
      <c r="G124" s="2" t="n">
        <v>720</v>
      </c>
      <c r="H124" s="2" t="n">
        <v>720</v>
      </c>
      <c r="I124" s="2">
        <f>(G124+H124)/2</f>
        <v/>
      </c>
      <c r="J124" s="3" t="n">
        <v>2.240360935913468</v>
      </c>
      <c r="K124" t="inlineStr">
        <is>
          <t>&gt;1–3 mi</t>
        </is>
      </c>
      <c r="L124" s="3" t="n">
        <v>1.707396006786066</v>
      </c>
      <c r="M124" t="inlineStr">
        <is>
          <t>&gt;1–3 mi</t>
        </is>
      </c>
      <c r="N124" s="3" t="n">
        <v>3.416338167344828</v>
      </c>
      <c r="O124" t="inlineStr">
        <is>
          <t>&gt;3–5 mi</t>
        </is>
      </c>
      <c r="P124" t="n">
        <v>1</v>
      </c>
      <c r="Q124" t="n">
        <v>1</v>
      </c>
      <c r="R124" s="5" t="inlineStr">
        <is>
          <t>Included in rent means | Saved September 9 title explicitly offers a room. Reclassified from whole unit to room/per-bedroom; snapshot price unchanged.</t>
        </is>
      </c>
    </row>
    <row r="125">
      <c r="A125" t="inlineStr">
        <is>
          <t>ocpvv9069d</t>
        </is>
      </c>
      <c r="B125" t="inlineStr">
        <is>
          <t>912 Chaney Rd. #102</t>
        </is>
      </c>
      <c r="C125" t="inlineStr">
        <is>
          <t>https://offcampus.dasa.ncsu.edu/housing/property/912-chaney-rd-102/ocpvv9069d</t>
        </is>
      </c>
      <c r="D125" t="inlineStr">
        <is>
          <t>Whole unit</t>
        </is>
      </c>
      <c r="E125" s="3" t="n">
        <v>35.786705</v>
      </c>
      <c r="F125" s="3" t="n">
        <v>-78.69549000000001</v>
      </c>
      <c r="G125" s="2" t="n">
        <v>2600</v>
      </c>
      <c r="H125" s="2" t="n">
        <v>2600</v>
      </c>
      <c r="I125" s="2">
        <f>(G125+H125)/2</f>
        <v/>
      </c>
      <c r="J125" s="3" t="n">
        <v>0.919952603184647</v>
      </c>
      <c r="K125" t="inlineStr">
        <is>
          <t>0–1 mi</t>
        </is>
      </c>
      <c r="L125" s="3" t="n">
        <v>1.601414807398985</v>
      </c>
      <c r="M125" t="inlineStr">
        <is>
          <t>&gt;1–3 mi</t>
        </is>
      </c>
      <c r="N125" s="3" t="n">
        <v>0.9447470993510061</v>
      </c>
      <c r="O125" t="inlineStr">
        <is>
          <t>0–1 mi</t>
        </is>
      </c>
      <c r="P125" t="n">
        <v>1</v>
      </c>
      <c r="Q125" t="n">
        <v>0</v>
      </c>
      <c r="R125" s="5" t="inlineStr">
        <is>
          <t>Included in rent means | Source pricing flag retained; automated consistency checks passed. This is not independent landlord verification.</t>
        </is>
      </c>
    </row>
    <row r="126">
      <c r="A126" t="inlineStr">
        <is>
          <t>49jmmdh</t>
        </is>
      </c>
      <c r="B126" t="inlineStr">
        <is>
          <t>Room in Townhome on Haskell Dr</t>
        </is>
      </c>
      <c r="C126" t="inlineStr">
        <is>
          <t>https://offcampus.dasa.ncsu.edu/housing/property/room-in-townhome-on-haskell-dr/49jmmdh</t>
        </is>
      </c>
      <c r="D126" t="inlineStr">
        <is>
          <t>Per bedroom</t>
        </is>
      </c>
      <c r="E126" s="3" t="n">
        <v>35.738846</v>
      </c>
      <c r="F126" s="3" t="n">
        <v>-78.629227</v>
      </c>
      <c r="G126" s="2" t="n">
        <v>563</v>
      </c>
      <c r="H126" s="2" t="n">
        <v>563</v>
      </c>
      <c r="I126" s="2">
        <f>(G126+H126)/2</f>
        <v/>
      </c>
      <c r="J126" s="3" t="n">
        <v>4.067310842214011</v>
      </c>
      <c r="K126" t="inlineStr">
        <is>
          <t>&gt;3–5 mi</t>
        </is>
      </c>
      <c r="L126" s="3" t="n">
        <v>3.403130883503663</v>
      </c>
      <c r="M126" t="inlineStr">
        <is>
          <t>&gt;3–5 mi</t>
        </is>
      </c>
      <c r="N126" s="3" t="n">
        <v>5.88053604659946</v>
      </c>
      <c r="O126" t="inlineStr">
        <is>
          <t>Outside 5 mi</t>
        </is>
      </c>
      <c r="P126" t="n">
        <v>1</v>
      </c>
      <c r="Q126" t="n">
        <v>1</v>
      </c>
      <c r="R126" s="5" t="inlineStr">
        <is>
          <t>Included in rent means | Saved September 9 title explicitly offers a room. Reclassified from whole unit to room/per-bedroom; snapshot price unchanged.</t>
        </is>
      </c>
    </row>
    <row r="127">
      <c r="A127" t="inlineStr">
        <is>
          <t>ocpn54lxfn</t>
        </is>
      </c>
      <c r="B127" t="inlineStr">
        <is>
          <t>3 bedroom home close to campus and downtown Raleigh(Utilities included)</t>
        </is>
      </c>
      <c r="C127" t="inlineStr">
        <is>
          <t>https://offcampus.dasa.ncsu.edu/housing/property/3-bedroom-home-close-to-campus-and-downtown-raleigh-utilities-included/ocpn54lxfn</t>
        </is>
      </c>
      <c r="D127" t="inlineStr">
        <is>
          <t>Whole unit</t>
        </is>
      </c>
      <c r="E127" s="3" t="n">
        <v>35.748395</v>
      </c>
      <c r="F127" s="3" t="n">
        <v>-78.616584</v>
      </c>
      <c r="G127" s="2" t="n">
        <v>2000</v>
      </c>
      <c r="H127" s="2" t="n">
        <v>2000</v>
      </c>
      <c r="I127" s="2">
        <f>(G127+H127)/2</f>
        <v/>
      </c>
      <c r="J127" s="3" t="n">
        <v>4.235711981467582</v>
      </c>
      <c r="K127" t="inlineStr">
        <is>
          <t>&gt;3–5 mi</t>
        </is>
      </c>
      <c r="L127" s="3" t="n">
        <v>3.692374532420966</v>
      </c>
      <c r="M127" t="inlineStr">
        <is>
          <t>&gt;3–5 mi</t>
        </is>
      </c>
      <c r="N127" s="3" t="n">
        <v>6.002337733914227</v>
      </c>
      <c r="O127" t="inlineStr">
        <is>
          <t>Outside 5 mi</t>
        </is>
      </c>
      <c r="P127" t="n">
        <v>1</v>
      </c>
      <c r="Q127" t="n">
        <v>0</v>
      </c>
      <c r="R127" s="5" t="inlineStr">
        <is>
          <t>Included in rent means | Source pricing flag retained; automated consistency checks passed. This is not independent landlord verification.</t>
        </is>
      </c>
    </row>
    <row r="128">
      <c r="A128" t="inlineStr">
        <is>
          <t>wjt9dqk</t>
        </is>
      </c>
      <c r="B128" t="inlineStr">
        <is>
          <t>Room in Condo on University Ct</t>
        </is>
      </c>
      <c r="C128" t="inlineStr">
        <is>
          <t>https://offcampus.dasa.ncsu.edu/housing/property/room-in-condo-on-university-ct/wjt9dqk</t>
        </is>
      </c>
      <c r="D128" t="inlineStr">
        <is>
          <t>Per bedroom</t>
        </is>
      </c>
      <c r="E128" s="3" t="n">
        <v>35.763601</v>
      </c>
      <c r="F128" s="3" t="n">
        <v>-78.70304</v>
      </c>
      <c r="G128" s="2" t="n">
        <v>650</v>
      </c>
      <c r="H128" s="2" t="n">
        <v>650</v>
      </c>
      <c r="I128" s="2">
        <f>(G128+H128)/2</f>
        <v/>
      </c>
      <c r="J128" s="3" t="n">
        <v>1.62544869332536</v>
      </c>
      <c r="K128" t="inlineStr">
        <is>
          <t>&gt;1–3 mi</t>
        </is>
      </c>
      <c r="L128" s="3" t="n">
        <v>1.474555864518148</v>
      </c>
      <c r="M128" t="inlineStr">
        <is>
          <t>&gt;1–3 mi</t>
        </is>
      </c>
      <c r="N128" s="3" t="n">
        <v>2.409923586527228</v>
      </c>
      <c r="O128" t="inlineStr">
        <is>
          <t>&gt;1–3 mi</t>
        </is>
      </c>
      <c r="P128" t="n">
        <v>1</v>
      </c>
      <c r="Q128" t="n">
        <v>0</v>
      </c>
      <c r="R128" s="5" t="inlineStr">
        <is>
          <t>Excluded from rent means | Search/detail price mismatch | Saved September 9 title explicitly offers a room. Reclassified from whole unit to room/per-bedroom; snapshot price unchanged. Search summary: $650–$650; saved floor-plan envelope: $625–$625. Difference may reflect fees, timing or scope; unresolved snapshot price excluded.</t>
        </is>
      </c>
    </row>
    <row r="129">
      <c r="A129" t="inlineStr">
        <is>
          <t>ocpg8zsjmz</t>
        </is>
      </c>
      <c r="B129" t="inlineStr">
        <is>
          <t>Flex Stay | Lux Furnished | 3 Bed |  Pets OK | Utilities Incl. | International OK</t>
        </is>
      </c>
      <c r="C129" t="inlineStr">
        <is>
          <t>https://offcampus.dasa.ncsu.edu/housing/property/flex-stay-lux-furnished-3-bed-pets-ok-utilities-incl-international-ok/ocpg8zsjmz</t>
        </is>
      </c>
      <c r="D129" t="inlineStr">
        <is>
          <t>Whole unit</t>
        </is>
      </c>
      <c r="E129" s="3" t="n">
        <v>35.773384</v>
      </c>
      <c r="F129" s="3" t="n">
        <v>-78.69433100000001</v>
      </c>
      <c r="G129" s="2" t="n">
        <v>2800</v>
      </c>
      <c r="H129" s="2" t="n">
        <v>2800</v>
      </c>
      <c r="I129" s="2">
        <f>(G129+H129)/2</f>
        <v/>
      </c>
      <c r="J129" s="3" t="n">
        <v>0.8258720595425264</v>
      </c>
      <c r="K129" t="inlineStr">
        <is>
          <t>0–1 mi</t>
        </is>
      </c>
      <c r="L129" s="3" t="n">
        <v>0.9974991356134714</v>
      </c>
      <c r="M129" t="inlineStr">
        <is>
          <t>0–1 mi</t>
        </is>
      </c>
      <c r="N129" s="3" t="n">
        <v>1.817368599459345</v>
      </c>
      <c r="O129" t="inlineStr">
        <is>
          <t>&gt;1–3 mi</t>
        </is>
      </c>
      <c r="P129" t="n">
        <v>1</v>
      </c>
      <c r="Q129" t="n">
        <v>0</v>
      </c>
      <c r="R129" s="5" t="inlineStr">
        <is>
          <t>Included in rent means | Source pricing flag retained; automated consistency checks passed. This is not independent landlord verification.</t>
        </is>
      </c>
    </row>
    <row r="130">
      <c r="A130" t="inlineStr">
        <is>
          <t>bq6wzsb</t>
        </is>
      </c>
      <c r="B130" t="inlineStr">
        <is>
          <t>Room in House on Quartz Ct</t>
        </is>
      </c>
      <c r="C130" t="inlineStr">
        <is>
          <t>https://offcampus.dasa.ncsu.edu/housing/property/room-in-house-on-quartz-ct/bq6wzsb</t>
        </is>
      </c>
      <c r="D130" t="inlineStr">
        <is>
          <t>Per bedroom</t>
        </is>
      </c>
      <c r="E130" s="3" t="n">
        <v>35.746499</v>
      </c>
      <c r="F130" s="3" t="n">
        <v>-78.607758</v>
      </c>
      <c r="G130" s="2" t="n">
        <v>685</v>
      </c>
      <c r="H130" s="2" t="n">
        <v>685</v>
      </c>
      <c r="I130" s="2">
        <f>(G130+H130)/2</f>
        <v/>
      </c>
      <c r="J130" s="3" t="n">
        <v>4.73061912195772</v>
      </c>
      <c r="K130" t="inlineStr">
        <is>
          <t>&gt;3–5 mi</t>
        </is>
      </c>
      <c r="L130" s="3" t="n">
        <v>4.200471923458102</v>
      </c>
      <c r="M130" t="inlineStr">
        <is>
          <t>&gt;3–5 mi</t>
        </is>
      </c>
      <c r="N130" s="3" t="n">
        <v>6.484651564213896</v>
      </c>
      <c r="O130" t="inlineStr">
        <is>
          <t>Outside 5 mi</t>
        </is>
      </c>
      <c r="P130" t="n">
        <v>1</v>
      </c>
      <c r="Q130" t="n">
        <v>1</v>
      </c>
      <c r="R130" s="5" t="inlineStr">
        <is>
          <t>Included in rent means | Saved September 9 title explicitly offers a room. Reclassified from whole unit to room/per-bedroom; snapshot price unchanged.</t>
        </is>
      </c>
    </row>
    <row r="131">
      <c r="A131" t="inlineStr">
        <is>
          <t>ocp4t7wmxk</t>
        </is>
      </c>
      <c r="B131" t="inlineStr">
        <is>
          <t>University Oaks</t>
        </is>
      </c>
      <c r="C131" t="inlineStr">
        <is>
          <t>https://offcampus.dasa.ncsu.edu/housing/property/university-oaks/ocp4t7wmxk</t>
        </is>
      </c>
      <c r="D131" t="inlineStr">
        <is>
          <t>Per bedroom</t>
        </is>
      </c>
      <c r="E131" s="3" t="n">
        <v>35.782112</v>
      </c>
      <c r="F131" s="3" t="n">
        <v>-78.68917399999999</v>
      </c>
      <c r="G131" s="2" t="n">
        <v>725</v>
      </c>
      <c r="H131" s="2" t="n">
        <v>725</v>
      </c>
      <c r="I131" s="2">
        <f>(G131+H131)/2</f>
        <v/>
      </c>
      <c r="J131" s="3" t="n">
        <v>0.4569144071179652</v>
      </c>
      <c r="K131" t="inlineStr">
        <is>
          <t>0–1 mi</t>
        </is>
      </c>
      <c r="L131" s="3" t="n">
        <v>1.134452219955307</v>
      </c>
      <c r="M131" t="inlineStr">
        <is>
          <t>&gt;1–3 mi</t>
        </is>
      </c>
      <c r="N131" s="3" t="n">
        <v>1.40547147046554</v>
      </c>
      <c r="O131" t="inlineStr">
        <is>
          <t>&gt;1–3 mi</t>
        </is>
      </c>
      <c r="P131" t="n">
        <v>1</v>
      </c>
      <c r="Q131" t="n">
        <v>1</v>
      </c>
      <c r="R131" s="5" t="inlineStr">
        <is>
          <t>Included in rent means | Source pricing flag retained; automated consistency checks passed. This is not independent landlord verification.</t>
        </is>
      </c>
    </row>
    <row r="132">
      <c r="A132" t="inlineStr">
        <is>
          <t>z44390w</t>
        </is>
      </c>
      <c r="B132" t="inlineStr">
        <is>
          <t>Lofts at Lineberry</t>
        </is>
      </c>
      <c r="C132" t="inlineStr">
        <is>
          <t>https://offcampus.dasa.ncsu.edu/housing/property/lofts-at-lineberry/z44390w</t>
        </is>
      </c>
      <c r="D132" t="inlineStr">
        <is>
          <t>Whole unit</t>
        </is>
      </c>
      <c r="E132" s="3" t="n">
        <v>35.74926</v>
      </c>
      <c r="F132" s="3" t="n">
        <v>-78.679092</v>
      </c>
      <c r="G132" s="2" t="n"/>
      <c r="H132" s="2" t="n"/>
      <c r="I132" s="2" t="n"/>
      <c r="J132" s="3" t="n">
        <v>2.09510614141643</v>
      </c>
      <c r="K132" t="inlineStr">
        <is>
          <t>&gt;1–3 mi</t>
        </is>
      </c>
      <c r="L132" s="3" t="n">
        <v>1.346138685838806</v>
      </c>
      <c r="M132" t="inlineStr">
        <is>
          <t>&gt;1–3 mi</t>
        </is>
      </c>
      <c r="N132" s="3" t="n">
        <v>3.677328038667926</v>
      </c>
      <c r="O132" t="inlineStr">
        <is>
          <t>&gt;3–5 mi</t>
        </is>
      </c>
      <c r="P132" t="n">
        <v>1</v>
      </c>
      <c r="Q132" t="n">
        <v>0</v>
      </c>
      <c r="R132" s="5" t="inlineStr">
        <is>
          <t>Excluded from rent means | Missing or invalid price pair | Source pricing flag retained; automated consistency checks passed. This is not independent landlord verification.</t>
        </is>
      </c>
    </row>
    <row r="133">
      <c r="A133" t="inlineStr">
        <is>
          <t>ocp90bdzb4</t>
        </is>
      </c>
      <c r="B133" t="inlineStr">
        <is>
          <t>Brick Bungalow close to Campus</t>
        </is>
      </c>
      <c r="C133" t="inlineStr">
        <is>
          <t>https://offcampus.dasa.ncsu.edu/housing/property/brick-bungalow-close-to-campus/ocp90bdzb4</t>
        </is>
      </c>
      <c r="D133" t="inlineStr">
        <is>
          <t>Per bedroom</t>
        </is>
      </c>
      <c r="E133" s="3" t="n">
        <v>35.80608</v>
      </c>
      <c r="F133" s="3" t="n">
        <v>-78.62759200000001</v>
      </c>
      <c r="G133" s="2" t="n">
        <v>1050</v>
      </c>
      <c r="H133" s="2" t="n">
        <v>1050</v>
      </c>
      <c r="I133" s="2">
        <f>(G133+H133)/2</f>
        <v/>
      </c>
      <c r="J133" s="3" t="n">
        <v>3.543884360555975</v>
      </c>
      <c r="K133" t="inlineStr">
        <is>
          <t>&gt;3–5 mi</t>
        </is>
      </c>
      <c r="L133" s="3" t="n">
        <v>3.807228719080559</v>
      </c>
      <c r="M133" t="inlineStr">
        <is>
          <t>&gt;3–5 mi</t>
        </is>
      </c>
      <c r="N133" s="3" t="n">
        <v>4.318331684505075</v>
      </c>
      <c r="O133" t="inlineStr">
        <is>
          <t>&gt;3–5 mi</t>
        </is>
      </c>
      <c r="P133" t="n">
        <v>1</v>
      </c>
      <c r="Q133" t="n">
        <v>1</v>
      </c>
      <c r="R133" s="5" t="inlineStr">
        <is>
          <t>Included in rent means | Source pricing flag retained; automated consistency checks passed. This is not independent landlord verification.</t>
        </is>
      </c>
    </row>
    <row r="134">
      <c r="A134" t="inlineStr">
        <is>
          <t>ocp9blcpd7</t>
        </is>
      </c>
      <c r="B134" t="inlineStr">
        <is>
          <t>Studio, One and Two Bedrooms at Westgrove Towers</t>
        </is>
      </c>
      <c r="C134" t="inlineStr">
        <is>
          <t>https://offcampus.dasa.ncsu.edu/housing/property/studio-one-and-two-bedrooms-at-westgrove-towers/ocp9blcpd7</t>
        </is>
      </c>
      <c r="D134" t="inlineStr">
        <is>
          <t>Whole unit</t>
        </is>
      </c>
      <c r="E134" s="3" t="n">
        <v>35.787608</v>
      </c>
      <c r="F134" s="3" t="n">
        <v>-78.700346</v>
      </c>
      <c r="G134" s="2" t="n">
        <v>805</v>
      </c>
      <c r="H134" s="2" t="n">
        <v>1050</v>
      </c>
      <c r="I134" s="2">
        <f>(G134+H134)/2</f>
        <v/>
      </c>
      <c r="J134" s="3" t="n">
        <v>1.186459724506116</v>
      </c>
      <c r="K134" t="inlineStr">
        <is>
          <t>&gt;1–3 mi</t>
        </is>
      </c>
      <c r="L134" s="3" t="n">
        <v>1.829405344203867</v>
      </c>
      <c r="M134" t="inlineStr">
        <is>
          <t>&gt;1–3 mi</t>
        </is>
      </c>
      <c r="N134" s="3" t="n">
        <v>0.7791230108928013</v>
      </c>
      <c r="O134" t="inlineStr">
        <is>
          <t>0–1 mi</t>
        </is>
      </c>
      <c r="P134" t="n">
        <v>1</v>
      </c>
      <c r="Q134" t="n">
        <v>0</v>
      </c>
      <c r="R134" s="5" t="inlineStr">
        <is>
          <t>Included in rent means | Source pricing flag retained; automated consistency checks passed. This is not independent landlord verification.</t>
        </is>
      </c>
    </row>
    <row r="135">
      <c r="A135" t="inlineStr">
        <is>
          <t>ocpq99qjpx</t>
        </is>
      </c>
      <c r="B135" t="inlineStr">
        <is>
          <t>Apartment close to NCSU</t>
        </is>
      </c>
      <c r="C135" t="inlineStr">
        <is>
          <t>https://offcampus.dasa.ncsu.edu/housing/property/apartment-close-to-ncsu/ocpq99qjpx</t>
        </is>
      </c>
      <c r="D135" t="inlineStr">
        <is>
          <t>Per bedroom</t>
        </is>
      </c>
      <c r="E135" s="3" t="n">
        <v>35.762406</v>
      </c>
      <c r="F135" s="3" t="n">
        <v>-78.702305</v>
      </c>
      <c r="G135" s="2" t="n">
        <v>645</v>
      </c>
      <c r="H135" s="2" t="n">
        <v>645</v>
      </c>
      <c r="I135" s="2">
        <f>(G135+H135)/2</f>
        <v/>
      </c>
      <c r="J135" s="3" t="n">
        <v>1.653317243176871</v>
      </c>
      <c r="K135" t="inlineStr">
        <is>
          <t>&gt;1–3 mi</t>
        </is>
      </c>
      <c r="L135" s="3" t="n">
        <v>1.457063602955496</v>
      </c>
      <c r="M135" t="inlineStr">
        <is>
          <t>&gt;1–3 mi</t>
        </is>
      </c>
      <c r="N135" s="3" t="n">
        <v>2.493770610048423</v>
      </c>
      <c r="O135" t="inlineStr">
        <is>
          <t>&gt;1–3 mi</t>
        </is>
      </c>
      <c r="P135" t="n">
        <v>1</v>
      </c>
      <c r="Q135" t="n">
        <v>1</v>
      </c>
      <c r="R135" s="5" t="inlineStr">
        <is>
          <t>Included in rent means | Source pricing flag retained; automated consistency checks passed. This is not independent landlord verification.</t>
        </is>
      </c>
    </row>
    <row r="136">
      <c r="A136" t="inlineStr">
        <is>
          <t>gdtz0ww</t>
        </is>
      </c>
      <c r="B136" t="inlineStr">
        <is>
          <t>3111 Kentish Town Ln (Raleigh, NC)</t>
        </is>
      </c>
      <c r="C136" t="inlineStr">
        <is>
          <t>https://offcampus.dasa.ncsu.edu/housing/property/3111-kentish-town-ln-raleigh-nc/gdtz0ww</t>
        </is>
      </c>
      <c r="D136" t="inlineStr">
        <is>
          <t>Whole unit</t>
        </is>
      </c>
      <c r="E136" s="3" t="n">
        <v>35.825827</v>
      </c>
      <c r="F136" s="3" t="n">
        <v>-78.70206899999999</v>
      </c>
      <c r="G136" s="2" t="n">
        <v>2700</v>
      </c>
      <c r="H136" s="2" t="n">
        <v>2700</v>
      </c>
      <c r="I136" s="2">
        <f>(G136+H136)/2</f>
        <v/>
      </c>
      <c r="J136" s="3" t="n">
        <v>3.398041585097167</v>
      </c>
      <c r="K136" t="inlineStr">
        <is>
          <t>&gt;3–5 mi</t>
        </is>
      </c>
      <c r="L136" s="3" t="n">
        <v>4.180356155935011</v>
      </c>
      <c r="M136" t="inlineStr">
        <is>
          <t>&gt;3–5 mi</t>
        </is>
      </c>
      <c r="N136" s="3" t="n">
        <v>1.893544139889694</v>
      </c>
      <c r="O136" t="inlineStr">
        <is>
          <t>&gt;1–3 mi</t>
        </is>
      </c>
      <c r="P136" t="n">
        <v>1</v>
      </c>
      <c r="Q136" t="n">
        <v>0</v>
      </c>
      <c r="R136" s="5" t="inlineStr">
        <is>
          <t>Excluded from rent means | Search/detail price mismatch | Source pricing flag retained; automated consistency checks passed. This is not independent landlord verification. Search summary: $2700–$2700; saved floor-plan envelope: $2675–$2675. Difference may reflect fees, timing or scope; unresolved snapshot price excluded.</t>
        </is>
      </c>
    </row>
    <row r="137">
      <c r="A137" t="inlineStr">
        <is>
          <t>ocps6ymwl7</t>
        </is>
      </c>
      <c r="B137" t="inlineStr">
        <is>
          <t>University Woods</t>
        </is>
      </c>
      <c r="C137" t="inlineStr">
        <is>
          <t>https://offcampus.dasa.ncsu.edu/housing/property/university-woods/ocps6ymwl7</t>
        </is>
      </c>
      <c r="D137" t="inlineStr">
        <is>
          <t>Per bedroom</t>
        </is>
      </c>
      <c r="E137" s="3" t="n">
        <v>35.750831</v>
      </c>
      <c r="F137" s="3" t="n">
        <v>-78.69530399999999</v>
      </c>
      <c r="G137" s="2" t="n">
        <v>600</v>
      </c>
      <c r="H137" s="2" t="n">
        <v>600</v>
      </c>
      <c r="I137" s="2">
        <f>(G137+H137)/2</f>
        <v/>
      </c>
      <c r="J137" s="3" t="n">
        <v>2.123645671208585</v>
      </c>
      <c r="K137" t="inlineStr">
        <is>
          <t>&gt;1–3 mi</t>
        </is>
      </c>
      <c r="L137" s="3" t="n">
        <v>1.587692689347536</v>
      </c>
      <c r="M137" t="inlineStr">
        <is>
          <t>&gt;1–3 mi</t>
        </is>
      </c>
      <c r="N137" s="3" t="n">
        <v>3.32810246527714</v>
      </c>
      <c r="O137" t="inlineStr">
        <is>
          <t>&gt;3–5 mi</t>
        </is>
      </c>
      <c r="P137" t="n">
        <v>1</v>
      </c>
      <c r="Q137" t="n">
        <v>1</v>
      </c>
      <c r="R137" s="5" t="inlineStr">
        <is>
          <t>Included in rent means | Source pricing flag retained; automated consistency checks passed. This is not independent landlord verification.</t>
        </is>
      </c>
    </row>
    <row r="138">
      <c r="A138" t="inlineStr">
        <is>
          <t>9m73sq5</t>
        </is>
      </c>
      <c r="B138" t="inlineStr">
        <is>
          <t>Room in Townhome on Macedonia Lake Dr</t>
        </is>
      </c>
      <c r="C138" t="inlineStr">
        <is>
          <t>https://offcampus.dasa.ncsu.edu/housing/property/room-in-townhome-on-macedonia-lake-dr/9m73sq5</t>
        </is>
      </c>
      <c r="D138" t="inlineStr">
        <is>
          <t>Per bedroom</t>
        </is>
      </c>
      <c r="E138" s="3" t="n">
        <v>35.748332</v>
      </c>
      <c r="F138" s="3" t="n">
        <v>-78.742572</v>
      </c>
      <c r="G138" s="2" t="n">
        <v>800</v>
      </c>
      <c r="H138" s="2" t="n">
        <v>800</v>
      </c>
      <c r="I138" s="2">
        <f>(G138+H138)/2</f>
        <v/>
      </c>
      <c r="J138" s="3" t="n">
        <v>4.036728025563669</v>
      </c>
      <c r="K138" t="inlineStr">
        <is>
          <t>&gt;3–5 mi</t>
        </is>
      </c>
      <c r="L138" s="3" t="n">
        <v>3.910487836729603</v>
      </c>
      <c r="M138" t="inlineStr">
        <is>
          <t>&gt;3–5 mi</t>
        </is>
      </c>
      <c r="N138" s="3" t="n">
        <v>4.081267407142264</v>
      </c>
      <c r="O138" t="inlineStr">
        <is>
          <t>&gt;3–5 mi</t>
        </is>
      </c>
      <c r="P138" t="n">
        <v>1</v>
      </c>
      <c r="Q138" t="n">
        <v>1</v>
      </c>
      <c r="R138" s="5" t="inlineStr">
        <is>
          <t>Included in rent means | Saved September 9 title explicitly offers a room. Reclassified from whole unit to room/per-bedroom; snapshot price unchanged.</t>
        </is>
      </c>
    </row>
    <row r="139">
      <c r="A139" t="inlineStr">
        <is>
          <t>ocpvgtpebg</t>
        </is>
      </c>
      <c r="B139" t="inlineStr">
        <is>
          <t>Lake Park Condos- Room Rental with Utilities</t>
        </is>
      </c>
      <c r="C139" t="inlineStr">
        <is>
          <t>https://offcampus.dasa.ncsu.edu/housing/property/lake-park-condos-room-rental-with-utilities/ocpvgtpebg</t>
        </is>
      </c>
      <c r="D139" t="inlineStr">
        <is>
          <t>Per bedroom</t>
        </is>
      </c>
      <c r="E139" s="3" t="n">
        <v>35.762115</v>
      </c>
      <c r="F139" s="3" t="n">
        <v>-78.701515</v>
      </c>
      <c r="G139" s="2" t="n">
        <v>500</v>
      </c>
      <c r="H139" s="2" t="n">
        <v>600</v>
      </c>
      <c r="I139" s="2">
        <f>(G139+H139)/2</f>
        <v/>
      </c>
      <c r="J139" s="3" t="n">
        <v>1.637356935904425</v>
      </c>
      <c r="K139" t="inlineStr">
        <is>
          <t>&gt;1–3 mi</t>
        </is>
      </c>
      <c r="L139" s="3" t="n">
        <v>1.421164890099371</v>
      </c>
      <c r="M139" t="inlineStr">
        <is>
          <t>&gt;1–3 mi</t>
        </is>
      </c>
      <c r="N139" s="3" t="n">
        <v>2.516002625317165</v>
      </c>
      <c r="O139" t="inlineStr">
        <is>
          <t>&gt;1–3 mi</t>
        </is>
      </c>
      <c r="P139" t="n">
        <v>1</v>
      </c>
      <c r="Q139" t="n">
        <v>1</v>
      </c>
      <c r="R139" s="5" t="inlineStr">
        <is>
          <t>Included in rent means | Source pricing flag retained; automated consistency checks passed. This is not independent landlord verification.</t>
        </is>
      </c>
    </row>
    <row r="140">
      <c r="A140" t="inlineStr">
        <is>
          <t>5hme2mn</t>
        </is>
      </c>
      <c r="B140" t="inlineStr">
        <is>
          <t>The Station Raleigh</t>
        </is>
      </c>
      <c r="C140" t="inlineStr">
        <is>
          <t>https://offcampus.dasa.ncsu.edu/housing/property/the-station-raleigh/5hme2mn</t>
        </is>
      </c>
      <c r="D140" t="inlineStr">
        <is>
          <t>Per bedroom</t>
        </is>
      </c>
      <c r="E140" s="3" t="n">
        <v>35.799954</v>
      </c>
      <c r="F140" s="3" t="n">
        <v>-78.71115899999999</v>
      </c>
      <c r="G140" s="2" t="n">
        <v>749</v>
      </c>
      <c r="H140" s="2" t="n">
        <v>1930</v>
      </c>
      <c r="I140" s="2">
        <f>(G140+H140)/2</f>
        <v/>
      </c>
      <c r="J140" s="3" t="n">
        <v>2.173712249435797</v>
      </c>
      <c r="K140" t="inlineStr">
        <is>
          <t>&gt;1–3 mi</t>
        </is>
      </c>
      <c r="L140" s="3" t="n">
        <v>2.867480525477387</v>
      </c>
      <c r="M140" t="inlineStr">
        <is>
          <t>&gt;1–3 mi</t>
        </is>
      </c>
      <c r="N140" s="3" t="n">
        <v>0.4097418636325941</v>
      </c>
      <c r="O140" t="inlineStr">
        <is>
          <t>0–1 mi</t>
        </is>
      </c>
      <c r="P140" t="n">
        <v>1</v>
      </c>
      <c r="Q140" t="n">
        <v>1</v>
      </c>
      <c r="R140" s="5" t="inlineStr">
        <is>
          <t>Included in rent means | Source pricing flag retained; automated consistency checks passed. This is not independent landlord verification.</t>
        </is>
      </c>
    </row>
    <row r="141">
      <c r="A141" t="inlineStr">
        <is>
          <t>ocp1kxjde4</t>
        </is>
      </c>
      <c r="B141" t="inlineStr">
        <is>
          <t>Rent a WHOLE unit with water, electric, washer and dryer! 4 Bed 4 Bath! Lake Park Condos!</t>
        </is>
      </c>
      <c r="C141" t="inlineStr">
        <is>
          <t>https://offcampus.dasa.ncsu.edu/housing/property/rent-a-whole-unit-with-water-electric-washer-and-dryer-4-bed-4-bath-lake-park-condos/ocp1kxjde4</t>
        </is>
      </c>
      <c r="D141" t="inlineStr">
        <is>
          <t>Whole unit</t>
        </is>
      </c>
      <c r="E141" s="3" t="n">
        <v>35.762115</v>
      </c>
      <c r="F141" s="3" t="n">
        <v>-78.701515</v>
      </c>
      <c r="G141" s="2" t="n">
        <v>2000</v>
      </c>
      <c r="H141" s="2" t="n">
        <v>2000</v>
      </c>
      <c r="I141" s="2">
        <f>(G141+H141)/2</f>
        <v/>
      </c>
      <c r="J141" s="3" t="n">
        <v>1.637356935904425</v>
      </c>
      <c r="K141" t="inlineStr">
        <is>
          <t>&gt;1–3 mi</t>
        </is>
      </c>
      <c r="L141" s="3" t="n">
        <v>1.421164890099371</v>
      </c>
      <c r="M141" t="inlineStr">
        <is>
          <t>&gt;1–3 mi</t>
        </is>
      </c>
      <c r="N141" s="3" t="n">
        <v>2.516002625317165</v>
      </c>
      <c r="O141" t="inlineStr">
        <is>
          <t>&gt;1–3 mi</t>
        </is>
      </c>
      <c r="P141" t="n">
        <v>1</v>
      </c>
      <c r="Q141" t="n">
        <v>0</v>
      </c>
      <c r="R141" s="5" t="inlineStr">
        <is>
          <t>Included in rent means | Source pricing flag retained; automated consistency checks passed. This is not independent landlord verification.</t>
        </is>
      </c>
    </row>
    <row r="142">
      <c r="A142" t="inlineStr">
        <is>
          <t>lpl9fce</t>
        </is>
      </c>
      <c r="B142" t="inlineStr">
        <is>
          <t>2850 Sanderford Rd (Raleigh, NC)</t>
        </is>
      </c>
      <c r="C142" t="inlineStr">
        <is>
          <t>https://offcampus.dasa.ncsu.edu/housing/property/2850-sanderford-rd-raleigh-nc/lpl9fce</t>
        </is>
      </c>
      <c r="D142" t="inlineStr">
        <is>
          <t>Per bedroom</t>
        </is>
      </c>
      <c r="E142" s="3" t="n">
        <v>35.739414</v>
      </c>
      <c r="F142" s="3" t="n">
        <v>-78.61236</v>
      </c>
      <c r="G142" s="2" t="n">
        <v>650</v>
      </c>
      <c r="H142" s="2" t="n">
        <v>650</v>
      </c>
      <c r="I142" s="2">
        <f>(G142+H142)/2</f>
        <v/>
      </c>
      <c r="J142" s="3" t="n">
        <v>4.772916888366553</v>
      </c>
      <c r="K142" t="inlineStr">
        <is>
          <t>&gt;3–5 mi</t>
        </is>
      </c>
      <c r="L142" s="3" t="n">
        <v>4.175547503871908</v>
      </c>
      <c r="M142" t="inlineStr">
        <is>
          <t>&gt;3–5 mi</t>
        </is>
      </c>
      <c r="N142" s="3" t="n">
        <v>6.564210403905217</v>
      </c>
      <c r="O142" t="inlineStr">
        <is>
          <t>Outside 5 mi</t>
        </is>
      </c>
      <c r="P142" t="n">
        <v>1</v>
      </c>
      <c r="Q142" t="n">
        <v>1</v>
      </c>
      <c r="R142" s="5" t="inlineStr">
        <is>
          <t>Included in rent means | September 13 source description identifies a room in a five-bedroom house with shared kitchen/bathroom. Reclassified as room/per-bedroom; September 9 price retained.</t>
        </is>
      </c>
    </row>
    <row r="143">
      <c r="A143" t="inlineStr">
        <is>
          <t>ocp706k96x</t>
        </is>
      </c>
      <c r="B143" t="inlineStr">
        <is>
          <t>Six Forks townhome</t>
        </is>
      </c>
      <c r="C143" t="inlineStr">
        <is>
          <t>https://offcampus.dasa.ncsu.edu/housing/property/six-forks-townhome/ocp706k96x</t>
        </is>
      </c>
      <c r="D143" t="inlineStr">
        <is>
          <t>Per bedroom</t>
        </is>
      </c>
      <c r="E143" s="3" t="n">
        <v>35.872656</v>
      </c>
      <c r="F143" s="3" t="n">
        <v>-78.646275</v>
      </c>
      <c r="G143" s="2" t="n">
        <v>900</v>
      </c>
      <c r="H143" s="2" t="n">
        <v>900</v>
      </c>
      <c r="I143" s="2">
        <f>(G143+H143)/2</f>
        <v/>
      </c>
      <c r="J143" s="3" t="n">
        <v>6.734474107328608</v>
      </c>
      <c r="K143" t="inlineStr">
        <is>
          <t>Outside 5 mi</t>
        </is>
      </c>
      <c r="L143" s="3" t="n">
        <v>7.392639013087954</v>
      </c>
      <c r="M143" t="inlineStr">
        <is>
          <t>Outside 5 mi</t>
        </is>
      </c>
      <c r="N143" s="3" t="n">
        <v>6.062789084804523</v>
      </c>
      <c r="O143" t="inlineStr">
        <is>
          <t>Outside 5 mi</t>
        </is>
      </c>
      <c r="P143" t="n">
        <v>0</v>
      </c>
      <c r="Q143" t="n">
        <v>0</v>
      </c>
      <c r="R143" s="5" t="inlineStr">
        <is>
          <t>Included in rent means | Source pricing flag retained; automated consistency checks passed. This is not independent landlord verification.</t>
        </is>
      </c>
    </row>
    <row r="144">
      <c r="A144" t="inlineStr">
        <is>
          <t>k8k3t7b</t>
        </is>
      </c>
      <c r="B144" t="inlineStr">
        <is>
          <t>Room in House on Old Farm Rd</t>
        </is>
      </c>
      <c r="C144" t="inlineStr">
        <is>
          <t>https://offcampus.dasa.ncsu.edu/housing/property/room-in-house-on-old-farm-rd/k8k3t7b</t>
        </is>
      </c>
      <c r="D144" t="inlineStr">
        <is>
          <t>Per bedroom</t>
        </is>
      </c>
      <c r="E144" s="3" t="n">
        <v>35.774776</v>
      </c>
      <c r="F144" s="3" t="n">
        <v>-78.735782</v>
      </c>
      <c r="G144" s="2" t="n">
        <v>650</v>
      </c>
      <c r="H144" s="2" t="n">
        <v>650</v>
      </c>
      <c r="I144" s="2">
        <f>(G144+H144)/2</f>
        <v/>
      </c>
      <c r="J144" s="3" t="n">
        <v>3.050291164297898</v>
      </c>
      <c r="K144" t="inlineStr">
        <is>
          <t>&gt;3–5 mi</t>
        </is>
      </c>
      <c r="L144" s="3" t="n">
        <v>3.294097173497815</v>
      </c>
      <c r="M144" t="inlineStr">
        <is>
          <t>&gt;3–5 mi</t>
        </is>
      </c>
      <c r="N144" s="3" t="n">
        <v>2.416050680569727</v>
      </c>
      <c r="O144" t="inlineStr">
        <is>
          <t>&gt;1–3 mi</t>
        </is>
      </c>
      <c r="P144" t="n">
        <v>1</v>
      </c>
      <c r="Q144" t="n">
        <v>0</v>
      </c>
      <c r="R144" s="5" t="inlineStr">
        <is>
          <t>Excluded from rent means | Search/detail price mismatch | Saved September 9 title explicitly offers a room. Reclassified from whole unit to room/per-bedroom; snapshot price unchanged. Search summary: $650–$650; saved floor-plan envelope: $630–$630. Difference may reflect fees, timing or scope; unresolved snapshot price excluded.</t>
        </is>
      </c>
    </row>
    <row r="145">
      <c r="A145" t="inlineStr">
        <is>
          <t>ocpssgbbl7</t>
        </is>
      </c>
      <c r="B145" t="inlineStr">
        <is>
          <t>Inona Place</t>
        </is>
      </c>
      <c r="C145" t="inlineStr">
        <is>
          <t>https://offcampus.dasa.ncsu.edu/housing/property/inona-place/ocpssgbbl7</t>
        </is>
      </c>
      <c r="D145" t="inlineStr">
        <is>
          <t>Whole unit</t>
        </is>
      </c>
      <c r="E145" s="3" t="n">
        <v>35.786004</v>
      </c>
      <c r="F145" s="3" t="n">
        <v>-78.739121</v>
      </c>
      <c r="G145" s="2" t="n">
        <v>1800</v>
      </c>
      <c r="H145" s="2" t="n">
        <v>1800</v>
      </c>
      <c r="I145" s="2">
        <f>(G145+H145)/2</f>
        <v/>
      </c>
      <c r="J145" s="3" t="n">
        <v>3.250759336352898</v>
      </c>
      <c r="K145" t="inlineStr">
        <is>
          <t>&gt;3–5 mi</t>
        </is>
      </c>
      <c r="L145" s="3" t="n">
        <v>3.655237205823014</v>
      </c>
      <c r="M145" t="inlineStr">
        <is>
          <t>&gt;3–5 mi</t>
        </is>
      </c>
      <c r="N145" s="3" t="n">
        <v>2.144438775740245</v>
      </c>
      <c r="O145" t="inlineStr">
        <is>
          <t>&gt;1–3 mi</t>
        </is>
      </c>
      <c r="P145" t="n">
        <v>1</v>
      </c>
      <c r="Q145" t="n">
        <v>0</v>
      </c>
      <c r="R145" s="5" t="inlineStr">
        <is>
          <t>Included in rent means | Source pricing flag retained; automated consistency checks passed. This is not independent landlord verification.</t>
        </is>
      </c>
    </row>
    <row r="146">
      <c r="A146" t="inlineStr">
        <is>
          <t>3zb9brd</t>
        </is>
      </c>
      <c r="B146" t="inlineStr">
        <is>
          <t>Room in House on Slippery Elm Dr</t>
        </is>
      </c>
      <c r="C146" t="inlineStr">
        <is>
          <t>https://offcampus.dasa.ncsu.edu/housing/property/room-in-house-on-slippery-elm-dr/3zb9brd</t>
        </is>
      </c>
      <c r="D146" t="inlineStr">
        <is>
          <t>Per bedroom</t>
        </is>
      </c>
      <c r="E146" s="3" t="n">
        <v>35.739297</v>
      </c>
      <c r="F146" s="3" t="n">
        <v>-78.598298</v>
      </c>
      <c r="G146" s="2" t="n">
        <v>720</v>
      </c>
      <c r="H146" s="2" t="n">
        <v>720</v>
      </c>
      <c r="I146" s="2">
        <f>(G146+H146)/2</f>
        <v/>
      </c>
      <c r="J146" s="3" t="n">
        <v>5.43836794512648</v>
      </c>
      <c r="K146" t="inlineStr">
        <is>
          <t>Outside 5 mi</t>
        </is>
      </c>
      <c r="L146" s="3" t="n">
        <v>4.88359910158691</v>
      </c>
      <c r="M146" t="inlineStr">
        <is>
          <t>&gt;3–5 mi</t>
        </is>
      </c>
      <c r="N146" s="3" t="n">
        <v>7.203018714807151</v>
      </c>
      <c r="O146" t="inlineStr">
        <is>
          <t>Outside 5 mi</t>
        </is>
      </c>
      <c r="P146" t="n">
        <v>1</v>
      </c>
      <c r="Q146" t="n">
        <v>1</v>
      </c>
      <c r="R146" s="5" t="inlineStr">
        <is>
          <t>Included in rent means | Saved September 9 title explicitly offers a room. Reclassified from whole unit to room/per-bedroom; snapshot price unchanged.</t>
        </is>
      </c>
    </row>
    <row r="147">
      <c r="A147" t="inlineStr">
        <is>
          <t>ocpd9wnxdk</t>
        </is>
      </c>
      <c r="B147" t="inlineStr">
        <is>
          <t>$3600 saving on 2*2 Sublet at Stanhope Apartment for NC STATE</t>
        </is>
      </c>
      <c r="C147" t="inlineStr">
        <is>
          <t>https://offcampus.dasa.ncsu.edu/housing/property/3600-saving-on-2-2-sublet-at-stanhope-apartment-for-nc-state/ocpd9wnxdk</t>
        </is>
      </c>
      <c r="D147" t="inlineStr">
        <is>
          <t>Per bedroom</t>
        </is>
      </c>
      <c r="E147" s="3" t="n">
        <v>35.78914</v>
      </c>
      <c r="F147" s="3" t="n">
        <v>-78.677661</v>
      </c>
      <c r="G147" s="2" t="n">
        <v>550</v>
      </c>
      <c r="H147" s="2" t="n">
        <v>550</v>
      </c>
      <c r="I147" s="2">
        <f>(G147+H147)/2</f>
        <v/>
      </c>
      <c r="J147" s="3" t="n">
        <v>0.7024681108580499</v>
      </c>
      <c r="K147" t="inlineStr">
        <is>
          <t>0–1 mi</t>
        </is>
      </c>
      <c r="L147" s="3" t="n">
        <v>1.412298318639059</v>
      </c>
      <c r="M147" t="inlineStr">
        <is>
          <t>&gt;1–3 mi</t>
        </is>
      </c>
      <c r="N147" s="3" t="n">
        <v>1.614862709977065</v>
      </c>
      <c r="O147" t="inlineStr">
        <is>
          <t>&gt;1–3 mi</t>
        </is>
      </c>
      <c r="P147" t="n">
        <v>1</v>
      </c>
      <c r="Q147" t="n">
        <v>1</v>
      </c>
      <c r="R147" s="5" t="inlineStr">
        <is>
          <t>Included in rent means | Source pricing flag retained; automated consistency checks passed. This is not independent landlord verification.</t>
        </is>
      </c>
    </row>
    <row r="148">
      <c r="A148" t="inlineStr">
        <is>
          <t>0nhgh82</t>
        </is>
      </c>
      <c r="B148" t="inlineStr">
        <is>
          <t>Room in Condo on Carlton Ave</t>
        </is>
      </c>
      <c r="C148" t="inlineStr">
        <is>
          <t>https://offcampus.dasa.ncsu.edu/housing/property/room-in-condo-on-carlton-ave/0nhgh82</t>
        </is>
      </c>
      <c r="D148" t="inlineStr">
        <is>
          <t>Per bedroom</t>
        </is>
      </c>
      <c r="E148" s="3" t="n">
        <v>35.783494</v>
      </c>
      <c r="F148" s="3" t="n">
        <v>-78.68844900000001</v>
      </c>
      <c r="G148" s="2" t="n">
        <v>635</v>
      </c>
      <c r="H148" s="2" t="n">
        <v>635</v>
      </c>
      <c r="I148" s="2">
        <f>(G148+H148)/2</f>
        <v/>
      </c>
      <c r="J148" s="3" t="n">
        <v>0.4687538615831108</v>
      </c>
      <c r="K148" t="inlineStr">
        <is>
          <t>0–1 mi</t>
        </is>
      </c>
      <c r="L148" s="3" t="n">
        <v>1.192277532530652</v>
      </c>
      <c r="M148" t="inlineStr">
        <is>
          <t>&gt;1–3 mi</t>
        </is>
      </c>
      <c r="N148" s="3" t="n">
        <v>1.35578492696445</v>
      </c>
      <c r="O148" t="inlineStr">
        <is>
          <t>&gt;1–3 mi</t>
        </is>
      </c>
      <c r="P148" t="n">
        <v>1</v>
      </c>
      <c r="Q148" t="n">
        <v>0</v>
      </c>
      <c r="R148" s="5" t="inlineStr">
        <is>
          <t>Excluded from rent means | Search/detail price mismatch | Saved September 9 title explicitly offers a room. Reclassified from whole unit to room/per-bedroom; snapshot price unchanged. Search summary: $635–$635; saved floor-plan envelope: $600–$600. Difference may reflect fees, timing or scope; unresolved snapshot price excluded.</t>
        </is>
      </c>
    </row>
    <row r="149">
      <c r="A149" t="inlineStr">
        <is>
          <t>ocp67ldb5s</t>
        </is>
      </c>
      <c r="B149" t="inlineStr">
        <is>
          <t>The Wilde</t>
        </is>
      </c>
      <c r="C149" t="inlineStr">
        <is>
          <t>https://offcampus.dasa.ncsu.edu/housing/property/the-wilde/ocp67ldb5s</t>
        </is>
      </c>
      <c r="D149" t="inlineStr">
        <is>
          <t>Per bedroom</t>
        </is>
      </c>
      <c r="E149" s="3" t="n">
        <v>35.751416</v>
      </c>
      <c r="F149" s="3" t="n">
        <v>-78.69277099999999</v>
      </c>
      <c r="G149" s="2" t="n">
        <v>860</v>
      </c>
      <c r="H149" s="2" t="n">
        <v>860</v>
      </c>
      <c r="I149" s="2">
        <f>(G149+H149)/2</f>
        <v/>
      </c>
      <c r="J149" s="3" t="n">
        <v>2.038270327954621</v>
      </c>
      <c r="K149" t="inlineStr">
        <is>
          <t>&gt;1–3 mi</t>
        </is>
      </c>
      <c r="L149" s="3" t="n">
        <v>1.469430093164432</v>
      </c>
      <c r="M149" t="inlineStr">
        <is>
          <t>&gt;1–3 mi</t>
        </is>
      </c>
      <c r="N149" s="3" t="n">
        <v>3.31235280006617</v>
      </c>
      <c r="O149" t="inlineStr">
        <is>
          <t>&gt;3–5 mi</t>
        </is>
      </c>
      <c r="P149" t="n">
        <v>1</v>
      </c>
      <c r="Q149" t="n">
        <v>1</v>
      </c>
      <c r="R149" s="5" t="inlineStr">
        <is>
          <t>Included in rent means | Source pricing flag retained; automated consistency checks passed. This is not independent landlord verification.</t>
        </is>
      </c>
    </row>
    <row r="150">
      <c r="A150" t="inlineStr">
        <is>
          <t>w6v7z0h</t>
        </is>
      </c>
      <c r="B150" t="inlineStr">
        <is>
          <t>Room in Condo on University Ct</t>
        </is>
      </c>
      <c r="C150" t="inlineStr">
        <is>
          <t>https://offcampus.dasa.ncsu.edu/housing/property/room-in-condo-on-university-ct/w6v7z0h</t>
        </is>
      </c>
      <c r="D150" t="inlineStr">
        <is>
          <t>Per bedroom</t>
        </is>
      </c>
      <c r="E150" s="3" t="n">
        <v>35.763461</v>
      </c>
      <c r="F150" s="3" t="n">
        <v>-78.703185</v>
      </c>
      <c r="G150" s="2" t="n">
        <v>650</v>
      </c>
      <c r="H150" s="2" t="n">
        <v>650</v>
      </c>
      <c r="I150" s="2">
        <f>(G150+H150)/2</f>
        <v/>
      </c>
      <c r="J150" s="3" t="n">
        <v>1.637979805314169</v>
      </c>
      <c r="K150" t="inlineStr">
        <is>
          <t>&gt;1–3 mi</t>
        </is>
      </c>
      <c r="L150" s="3" t="n">
        <v>1.484780627778311</v>
      </c>
      <c r="M150" t="inlineStr">
        <is>
          <t>&gt;1–3 mi</t>
        </is>
      </c>
      <c r="N150" s="3" t="n">
        <v>2.419411674212322</v>
      </c>
      <c r="O150" t="inlineStr">
        <is>
          <t>&gt;1–3 mi</t>
        </is>
      </c>
      <c r="P150" t="n">
        <v>1</v>
      </c>
      <c r="Q150" t="n">
        <v>0</v>
      </c>
      <c r="R150" s="5" t="inlineStr">
        <is>
          <t>Excluded from rent means | Search/detail price mismatch | Saved September 9 title explicitly offers a room. Reclassified from whole unit to room/per-bedroom; snapshot price unchanged. Search summary: $650–$650; saved floor-plan envelope: $575–$575. Difference may reflect fees, timing or scope; unresolved snapshot price excluded.</t>
        </is>
      </c>
    </row>
    <row r="151">
      <c r="A151" t="inlineStr">
        <is>
          <t>ocp0psn632</t>
        </is>
      </c>
      <c r="B151" t="inlineStr">
        <is>
          <t>An apartments with 3 bed and 3 bath for NC State Students www.ncstudentsliving.com</t>
        </is>
      </c>
      <c r="C151" t="inlineStr">
        <is>
          <t>https://offcampus.dasa.ncsu.edu/housing/property/an-apartments-with-3-bed-and-3-bath-for-nc-state-students-www-ncstudentsliving-com/ocp0psn632</t>
        </is>
      </c>
      <c r="D151" t="inlineStr">
        <is>
          <t>Per bedroom</t>
        </is>
      </c>
      <c r="E151" s="3" t="n">
        <v>35.748959</v>
      </c>
      <c r="F151" s="3" t="n">
        <v>-78.69618</v>
      </c>
      <c r="G151" s="2" t="n">
        <v>650</v>
      </c>
      <c r="H151" s="2" t="n">
        <v>650</v>
      </c>
      <c r="I151" s="2">
        <f>(G151+H151)/2</f>
        <v/>
      </c>
      <c r="J151" s="3" t="n">
        <v>2.262000465006402</v>
      </c>
      <c r="K151" t="inlineStr">
        <is>
          <t>&gt;1–3 mi</t>
        </is>
      </c>
      <c r="L151" s="3" t="n">
        <v>1.719701472470099</v>
      </c>
      <c r="M151" t="inlineStr">
        <is>
          <t>&gt;1–3 mi</t>
        </is>
      </c>
      <c r="N151" s="3" t="n">
        <v>3.449430457882558</v>
      </c>
      <c r="O151" t="inlineStr">
        <is>
          <t>&gt;3–5 mi</t>
        </is>
      </c>
      <c r="P151" t="n">
        <v>1</v>
      </c>
      <c r="Q151" t="n">
        <v>1</v>
      </c>
      <c r="R151" s="5" t="inlineStr">
        <is>
          <t>Included in rent means | Source pricing flag retained; automated consistency checks passed. This is not independent landlord verification.</t>
        </is>
      </c>
    </row>
    <row r="152">
      <c r="A152" t="inlineStr">
        <is>
          <t>l1e6hxd</t>
        </is>
      </c>
      <c r="B152" t="inlineStr">
        <is>
          <t>707 E Martin St (Raleigh, NC)</t>
        </is>
      </c>
      <c r="C152" t="inlineStr">
        <is>
          <t>https://offcampus.dasa.ncsu.edu/housing/property/707-e-martin-st-raleigh-nc/l1e6hxd</t>
        </is>
      </c>
      <c r="D152" t="inlineStr">
        <is>
          <t>Whole unit</t>
        </is>
      </c>
      <c r="E152" s="3" t="n">
        <v>35.776606</v>
      </c>
      <c r="F152" s="3" t="n">
        <v>-78.62745</v>
      </c>
      <c r="G152" s="2" t="n">
        <v>2650</v>
      </c>
      <c r="H152" s="2" t="n">
        <v>2650</v>
      </c>
      <c r="I152" s="2">
        <f>(G152+H152)/2</f>
        <v/>
      </c>
      <c r="J152" s="3" t="n">
        <v>3.046458166604769</v>
      </c>
      <c r="K152" t="inlineStr">
        <is>
          <t>&gt;3–5 mi</t>
        </is>
      </c>
      <c r="L152" s="3" t="n">
        <v>2.85840666565821</v>
      </c>
      <c r="M152" t="inlineStr">
        <is>
          <t>&gt;1–3 mi</t>
        </is>
      </c>
      <c r="N152" s="3" t="n">
        <v>4.552881362554294</v>
      </c>
      <c r="O152" t="inlineStr">
        <is>
          <t>&gt;3–5 mi</t>
        </is>
      </c>
      <c r="P152" t="n">
        <v>1</v>
      </c>
      <c r="Q152" t="n">
        <v>0</v>
      </c>
      <c r="R152" s="5" t="inlineStr">
        <is>
          <t>Included in rent means | Source pricing flag retained; automated consistency checks passed. This is not independent landlord verification.</t>
        </is>
      </c>
    </row>
    <row r="153">
      <c r="A153" t="inlineStr">
        <is>
          <t>ocpsqjgls7</t>
        </is>
      </c>
      <c r="B153" t="inlineStr">
        <is>
          <t>Cozy private apt</t>
        </is>
      </c>
      <c r="C153" t="inlineStr">
        <is>
          <t>https://offcampus.dasa.ncsu.edu/housing/property/cozy-private-apt/ocpsqjgls7</t>
        </is>
      </c>
      <c r="D153" t="inlineStr">
        <is>
          <t>Whole unit</t>
        </is>
      </c>
      <c r="E153" s="3" t="n">
        <v>35.793768</v>
      </c>
      <c r="F153" s="3" t="n">
        <v>-78.620987</v>
      </c>
      <c r="G153" s="2" t="n">
        <v>1595</v>
      </c>
      <c r="H153" s="2" t="n">
        <v>1595</v>
      </c>
      <c r="I153" s="2">
        <f>(G153+H153)/2</f>
        <v/>
      </c>
      <c r="J153" s="3" t="n">
        <v>3.541531015291821</v>
      </c>
      <c r="K153" t="inlineStr">
        <is>
          <t>&gt;3–5 mi</t>
        </is>
      </c>
      <c r="L153" s="3" t="n">
        <v>3.610290617200805</v>
      </c>
      <c r="M153" t="inlineStr">
        <is>
          <t>&gt;3–5 mi</t>
        </is>
      </c>
      <c r="N153" s="3" t="n">
        <v>4.668009157832532</v>
      </c>
      <c r="O153" t="inlineStr">
        <is>
          <t>&gt;3–5 mi</t>
        </is>
      </c>
      <c r="P153" t="n">
        <v>1</v>
      </c>
      <c r="Q153" t="n">
        <v>0</v>
      </c>
      <c r="R153" s="5" t="inlineStr">
        <is>
          <t>Included in rent means | Source pricing flag retained; automated consistency checks passed. This is not independent landlord verification.</t>
        </is>
      </c>
    </row>
    <row r="154">
      <c r="A154" t="inlineStr">
        <is>
          <t>y6ff3gt</t>
        </is>
      </c>
      <c r="B154" t="inlineStr">
        <is>
          <t>Room in Condo on Trailwood Heights Ln</t>
        </is>
      </c>
      <c r="C154" t="inlineStr">
        <is>
          <t>https://offcampus.dasa.ncsu.edu/housing/property/room-in-condo-on-trailwood-heights-ln/y6ff3gt</t>
        </is>
      </c>
      <c r="D154" t="inlineStr">
        <is>
          <t>Per bedroom</t>
        </is>
      </c>
      <c r="E154" s="3" t="n">
        <v>35.75105</v>
      </c>
      <c r="F154" s="3" t="n">
        <v>-78.68598</v>
      </c>
      <c r="G154" s="2" t="n">
        <v>875</v>
      </c>
      <c r="H154" s="2" t="n">
        <v>875</v>
      </c>
      <c r="I154" s="2">
        <f>(G154+H154)/2</f>
        <v/>
      </c>
      <c r="J154" s="3" t="n">
        <v>1.981120994609882</v>
      </c>
      <c r="K154" t="inlineStr">
        <is>
          <t>&gt;1–3 mi</t>
        </is>
      </c>
      <c r="L154" s="3" t="n">
        <v>1.308904929308355</v>
      </c>
      <c r="M154" t="inlineStr">
        <is>
          <t>&gt;1–3 mi</t>
        </is>
      </c>
      <c r="N154" s="3" t="n">
        <v>3.429918117935639</v>
      </c>
      <c r="O154" t="inlineStr">
        <is>
          <t>&gt;3–5 mi</t>
        </is>
      </c>
      <c r="P154" t="n">
        <v>1</v>
      </c>
      <c r="Q154" t="n">
        <v>0</v>
      </c>
      <c r="R154" s="5" t="inlineStr">
        <is>
          <t>Excluded from rent means | Search/detail price mismatch | Saved September 9 title explicitly offers a room. Reclassified from whole unit to room/per-bedroom; snapshot price unchanged. Search summary: $875–$875; saved floor-plan envelope: $850–$850. Difference may reflect fees, timing or scope; unresolved snapshot price excluded.</t>
        </is>
      </c>
    </row>
    <row r="155">
      <c r="A155" t="inlineStr">
        <is>
          <t>ocpk5yz73b</t>
        </is>
      </c>
      <c r="B155" t="inlineStr">
        <is>
          <t>Stanhope Student Apartments</t>
        </is>
      </c>
      <c r="C155" t="inlineStr">
        <is>
          <t>https://offcampus.dasa.ncsu.edu/housing/property/stanhope-student-apartments/ocpk5yz73b</t>
        </is>
      </c>
      <c r="D155" t="inlineStr">
        <is>
          <t>Per bedroom</t>
        </is>
      </c>
      <c r="E155" s="3" t="n">
        <v>35.78914</v>
      </c>
      <c r="F155" s="3" t="n">
        <v>-78.677661</v>
      </c>
      <c r="G155" s="2" t="n">
        <v>1300</v>
      </c>
      <c r="H155" s="2" t="n">
        <v>1300</v>
      </c>
      <c r="I155" s="2">
        <f>(G155+H155)/2</f>
        <v/>
      </c>
      <c r="J155" s="3" t="n">
        <v>0.7024681108580499</v>
      </c>
      <c r="K155" t="inlineStr">
        <is>
          <t>0–1 mi</t>
        </is>
      </c>
      <c r="L155" s="3" t="n">
        <v>1.412298318639059</v>
      </c>
      <c r="M155" t="inlineStr">
        <is>
          <t>&gt;1–3 mi</t>
        </is>
      </c>
      <c r="N155" s="3" t="n">
        <v>1.614862709977065</v>
      </c>
      <c r="O155" t="inlineStr">
        <is>
          <t>&gt;1–3 mi</t>
        </is>
      </c>
      <c r="P155" t="n">
        <v>1</v>
      </c>
      <c r="Q155" t="n">
        <v>1</v>
      </c>
      <c r="R155" s="5" t="inlineStr">
        <is>
          <t>Included in rent means | Source pricing flag retained; automated consistency checks passed. This is not independent landlord verification.</t>
        </is>
      </c>
    </row>
    <row r="156">
      <c r="A156" t="inlineStr">
        <is>
          <t>hp3tns3</t>
        </is>
      </c>
      <c r="B156" t="inlineStr">
        <is>
          <t>Room in House on Ravel St</t>
        </is>
      </c>
      <c r="C156" t="inlineStr">
        <is>
          <t>https://offcampus.dasa.ncsu.edu/housing/property/room-in-house-on-ravel-st/hp3tns3</t>
        </is>
      </c>
      <c r="D156" t="inlineStr">
        <is>
          <t>Per bedroom</t>
        </is>
      </c>
      <c r="E156" s="3" t="n">
        <v>35.772749</v>
      </c>
      <c r="F156" s="3" t="n">
        <v>-78.70971299999999</v>
      </c>
      <c r="G156" s="2" t="n">
        <v>600</v>
      </c>
      <c r="H156" s="2" t="n">
        <v>600</v>
      </c>
      <c r="I156" s="2">
        <f>(G156+H156)/2</f>
        <v/>
      </c>
      <c r="J156" s="3" t="n">
        <v>1.639382470052049</v>
      </c>
      <c r="K156" t="inlineStr">
        <is>
          <t>&gt;1–3 mi</t>
        </is>
      </c>
      <c r="L156" s="3" t="n">
        <v>1.827396224312826</v>
      </c>
      <c r="M156" t="inlineStr">
        <is>
          <t>&gt;1–3 mi</t>
        </is>
      </c>
      <c r="N156" s="3" t="n">
        <v>1.804979617760345</v>
      </c>
      <c r="O156" t="inlineStr">
        <is>
          <t>&gt;1–3 mi</t>
        </is>
      </c>
      <c r="P156" t="n">
        <v>1</v>
      </c>
      <c r="Q156" t="n">
        <v>0</v>
      </c>
      <c r="R156" s="5" t="inlineStr">
        <is>
          <t>Excluded from rent means | Search/detail price mismatch | Saved September 9 title explicitly offers a room. Reclassified from whole unit to room/per-bedroom; snapshot price unchanged. Search summary: $600–$600; saved floor-plan envelope: $550–$550. Difference may reflect fees, timing or scope; unresolved snapshot price excluded.</t>
        </is>
      </c>
    </row>
    <row r="157">
      <c r="A157" t="inlineStr">
        <is>
          <t>ocp5lwrmvq</t>
        </is>
      </c>
      <c r="B157" t="inlineStr">
        <is>
          <t>Convenient Kaplan Dr property near NCSU buses, park, grocery, with parking space &amp; private bathroom</t>
        </is>
      </c>
      <c r="C157" t="inlineStr">
        <is>
          <t>https://offcampus.dasa.ncsu.edu/housing/property/convenient-kaplan-dr-property-near-ncsu-buses-park-grocery-with-parking-space-and-private-bathroom/ocp5lwrmvq</t>
        </is>
      </c>
      <c r="D157" t="inlineStr">
        <is>
          <t>Per bedroom</t>
        </is>
      </c>
      <c r="E157" s="3" t="n">
        <v>35.774772</v>
      </c>
      <c r="F157" s="3" t="n">
        <v>-78.693057</v>
      </c>
      <c r="G157" s="2" t="n">
        <v>675</v>
      </c>
      <c r="H157" s="2" t="n">
        <v>675</v>
      </c>
      <c r="I157" s="2">
        <f>(G157+H157)/2</f>
        <v/>
      </c>
      <c r="J157" s="3" t="n">
        <v>0.7168551166717222</v>
      </c>
      <c r="K157" t="inlineStr">
        <is>
          <t>0–1 mi</t>
        </is>
      </c>
      <c r="L157" s="3" t="n">
        <v>0.9677748822425947</v>
      </c>
      <c r="M157" t="inlineStr">
        <is>
          <t>0–1 mi</t>
        </is>
      </c>
      <c r="N157" s="3" t="n">
        <v>1.750058826831014</v>
      </c>
      <c r="O157" t="inlineStr">
        <is>
          <t>&gt;1–3 mi</t>
        </is>
      </c>
      <c r="P157" t="n">
        <v>1</v>
      </c>
      <c r="Q157" t="n">
        <v>1</v>
      </c>
      <c r="R157" s="5" t="inlineStr">
        <is>
          <t>Included in rent means | Source pricing flag retained; automated consistency checks passed. This is not independent landlord verification.</t>
        </is>
      </c>
    </row>
    <row r="158">
      <c r="A158" t="inlineStr">
        <is>
          <t>ocpf3gzfct</t>
        </is>
      </c>
      <c r="B158" t="inlineStr">
        <is>
          <t>Champion Court Condo</t>
        </is>
      </c>
      <c r="C158" t="inlineStr">
        <is>
          <t>https://offcampus.dasa.ncsu.edu/housing/property/champion-court-condo/ocpf3gzfct</t>
        </is>
      </c>
      <c r="D158" t="inlineStr">
        <is>
          <t>Whole unit</t>
        </is>
      </c>
      <c r="E158" s="3" t="n">
        <v>35.778144</v>
      </c>
      <c r="F158" s="3" t="n">
        <v>-78.679261</v>
      </c>
      <c r="G158" s="2" t="n">
        <v>1500</v>
      </c>
      <c r="H158" s="2" t="n">
        <v>1500</v>
      </c>
      <c r="I158" s="2">
        <f>(G158+H158)/2</f>
        <v/>
      </c>
      <c r="J158" s="3" t="n">
        <v>0.1652085324040062</v>
      </c>
      <c r="K158" t="inlineStr">
        <is>
          <t>0–1 mi</t>
        </is>
      </c>
      <c r="L158" s="3" t="n">
        <v>0.6599434113088434</v>
      </c>
      <c r="M158" t="inlineStr">
        <is>
          <t>0–1 mi</t>
        </is>
      </c>
      <c r="N158" s="3" t="n">
        <v>1.976692682790218</v>
      </c>
      <c r="O158" t="inlineStr">
        <is>
          <t>&gt;1–3 mi</t>
        </is>
      </c>
      <c r="P158" t="n">
        <v>1</v>
      </c>
      <c r="Q158" t="n">
        <v>0</v>
      </c>
      <c r="R158" s="5" t="inlineStr">
        <is>
          <t>Included in rent means | Source pricing flag retained; automated consistency checks passed. This is not independent landlord verification.</t>
        </is>
      </c>
    </row>
    <row r="159">
      <c r="A159" t="inlineStr">
        <is>
          <t>ocpvee4m9g</t>
        </is>
      </c>
      <c r="B159" t="inlineStr">
        <is>
          <t>Furnished 4 bed 3 baths Ranch House, walk to NCSU, free parking</t>
        </is>
      </c>
      <c r="C159" t="inlineStr">
        <is>
          <t>https://offcampus.dasa.ncsu.edu/housing/property/furnished-4-bed-3-baths-ranch-house-walk-to-ncsu-free-parking/ocpvee4m9g</t>
        </is>
      </c>
      <c r="D159" t="inlineStr">
        <is>
          <t>Whole unit</t>
        </is>
      </c>
      <c r="E159" s="3" t="n">
        <v>35.781248</v>
      </c>
      <c r="F159" s="3" t="n">
        <v>-78.68822</v>
      </c>
      <c r="G159" s="2" t="n">
        <v>2495</v>
      </c>
      <c r="H159" s="2" t="n">
        <v>2495</v>
      </c>
      <c r="I159" s="2">
        <f>(G159+H159)/2</f>
        <v/>
      </c>
      <c r="J159" s="3" t="n">
        <v>0.385753873087993</v>
      </c>
      <c r="K159" t="inlineStr">
        <is>
          <t>0–1 mi</t>
        </is>
      </c>
      <c r="L159" s="3" t="n">
        <v>1.054882664978826</v>
      </c>
      <c r="M159" t="inlineStr">
        <is>
          <t>&gt;1–3 mi</t>
        </is>
      </c>
      <c r="N159" s="3" t="n">
        <v>1.485281027328575</v>
      </c>
      <c r="O159" t="inlineStr">
        <is>
          <t>&gt;1–3 mi</t>
        </is>
      </c>
      <c r="P159" t="n">
        <v>1</v>
      </c>
      <c r="Q159" t="n">
        <v>0</v>
      </c>
      <c r="R159" s="5" t="inlineStr">
        <is>
          <t>Included in rent means | Source pricing flag retained; automated consistency checks passed. This is not independent landlord verification.</t>
        </is>
      </c>
    </row>
    <row r="160">
      <c r="A160" t="inlineStr">
        <is>
          <t>ocpkrnvkk8</t>
        </is>
      </c>
      <c r="B160" t="inlineStr">
        <is>
          <t>The Hub Raleigh</t>
        </is>
      </c>
      <c r="C160" t="inlineStr">
        <is>
          <t>https://offcampus.dasa.ncsu.edu/housing/property/the-hub-raleigh/ocpkrnvkk8</t>
        </is>
      </c>
      <c r="D160" t="inlineStr">
        <is>
          <t>Whole unit</t>
        </is>
      </c>
      <c r="E160" s="3" t="n">
        <v>35.785129</v>
      </c>
      <c r="F160" s="3" t="n">
        <v>-78.66049</v>
      </c>
      <c r="G160" s="2" t="n">
        <v>1500</v>
      </c>
      <c r="H160" s="2" t="n">
        <v>1500</v>
      </c>
      <c r="I160" s="2">
        <f>(G160+H160)/2</f>
        <v/>
      </c>
      <c r="J160" s="3" t="n">
        <v>1.249575868353012</v>
      </c>
      <c r="K160" t="inlineStr">
        <is>
          <t>&gt;1–3 mi</t>
        </is>
      </c>
      <c r="L160" s="3" t="n">
        <v>1.48246472439382</v>
      </c>
      <c r="M160" t="inlineStr">
        <is>
          <t>&gt;1–3 mi</t>
        </is>
      </c>
      <c r="N160" s="3" t="n">
        <v>2.611114095902443</v>
      </c>
      <c r="O160" t="inlineStr">
        <is>
          <t>&gt;1–3 mi</t>
        </is>
      </c>
      <c r="P160" t="n">
        <v>1</v>
      </c>
      <c r="Q160" t="n">
        <v>0</v>
      </c>
      <c r="R160" s="5" t="inlineStr">
        <is>
          <t>Included in rent means | Source pricing flag retained; automated consistency checks passed. This is not independent landlord verification.</t>
        </is>
      </c>
    </row>
    <row r="161">
      <c r="A161" t="inlineStr">
        <is>
          <t>ocpq292qyw</t>
        </is>
      </c>
      <c r="B161" t="inlineStr">
        <is>
          <t>1st Month FREE!</t>
        </is>
      </c>
      <c r="C161" t="inlineStr">
        <is>
          <t>https://offcampus.dasa.ncsu.edu/housing/property/1st-month-free/ocpq292qyw</t>
        </is>
      </c>
      <c r="D161" t="inlineStr">
        <is>
          <t>Per bedroom</t>
        </is>
      </c>
      <c r="E161" s="3" t="n">
        <v>35.749033</v>
      </c>
      <c r="F161" s="3" t="n">
        <v>-78.693983</v>
      </c>
      <c r="G161" s="2" t="n">
        <v>625</v>
      </c>
      <c r="H161" s="2" t="n">
        <v>625</v>
      </c>
      <c r="I161" s="2">
        <f>(G161+H161)/2</f>
        <v/>
      </c>
      <c r="J161" s="3" t="n">
        <v>2.215850713288853</v>
      </c>
      <c r="K161" t="inlineStr">
        <is>
          <t>&gt;1–3 mi</t>
        </is>
      </c>
      <c r="L161" s="3" t="n">
        <v>1.643348579672279</v>
      </c>
      <c r="M161" t="inlineStr">
        <is>
          <t>&gt;1–3 mi</t>
        </is>
      </c>
      <c r="N161" s="3" t="n">
        <v>3.462349811168599</v>
      </c>
      <c r="O161" t="inlineStr">
        <is>
          <t>&gt;3–5 mi</t>
        </is>
      </c>
      <c r="P161" t="n">
        <v>1</v>
      </c>
      <c r="Q161" t="n">
        <v>1</v>
      </c>
      <c r="R161" s="5" t="inlineStr">
        <is>
          <t>Included in rent means | Source pricing flag retained; automated consistency checks passed. This is not independent landlord verification.</t>
        </is>
      </c>
    </row>
    <row r="162">
      <c r="A162" t="inlineStr">
        <is>
          <t>ocpqh8kxbz</t>
        </is>
      </c>
      <c r="B162" t="inlineStr">
        <is>
          <t>Falcon Ridge subdivision</t>
        </is>
      </c>
      <c r="C162" t="inlineStr">
        <is>
          <t>https://offcampus.dasa.ncsu.edu/housing/property/falcon-ridge-subdivision/ocpqh8kxbz</t>
        </is>
      </c>
      <c r="D162" t="inlineStr">
        <is>
          <t>Per bedroom</t>
        </is>
      </c>
      <c r="E162" s="3" t="n">
        <v>35.775196</v>
      </c>
      <c r="F162" s="3" t="n">
        <v>-78.693388</v>
      </c>
      <c r="G162" s="2" t="n">
        <v>650</v>
      </c>
      <c r="H162" s="2" t="n">
        <v>650</v>
      </c>
      <c r="I162" s="2">
        <f>(G162+H162)/2</f>
        <v/>
      </c>
      <c r="J162" s="3" t="n">
        <v>0.7208095757678291</v>
      </c>
      <c r="K162" t="inlineStr">
        <is>
          <t>0–1 mi</t>
        </is>
      </c>
      <c r="L162" s="3" t="n">
        <v>0.997362849847382</v>
      </c>
      <c r="M162" t="inlineStr">
        <is>
          <t>0–1 mi</t>
        </is>
      </c>
      <c r="N162" s="3" t="n">
        <v>1.71611383757442</v>
      </c>
      <c r="O162" t="inlineStr">
        <is>
          <t>&gt;1–3 mi</t>
        </is>
      </c>
      <c r="P162" t="n">
        <v>1</v>
      </c>
      <c r="Q162" t="n">
        <v>0</v>
      </c>
      <c r="R162" s="5" t="inlineStr">
        <is>
          <t>Excluded from article analysis | Bedroom occupancy review: Unclear | September 20 manual bedroom review could not determine bedroom exclusivity from the saved photos and description. Preserved in the 76-listing bedroom audit but excluded from article rent means.</t>
        </is>
      </c>
    </row>
    <row r="163">
      <c r="A163" t="inlineStr">
        <is>
          <t>ocpqfg7r3z</t>
        </is>
      </c>
      <c r="B163" t="inlineStr">
        <is>
          <t>University Commons PRELEASING FOR 2026-2027</t>
        </is>
      </c>
      <c r="C163" t="inlineStr">
        <is>
          <t>https://offcampus.dasa.ncsu.edu/housing/property/university-commons-preleasing-for-2026-2027/ocpqfg7r3z</t>
        </is>
      </c>
      <c r="D163" t="inlineStr">
        <is>
          <t>Whole unit</t>
        </is>
      </c>
      <c r="E163" s="3" t="n">
        <v>35.772759</v>
      </c>
      <c r="F163" s="3" t="n">
        <v>-78.69035</v>
      </c>
      <c r="G163" s="2" t="n">
        <v>2200</v>
      </c>
      <c r="H163" s="2" t="n">
        <v>2700</v>
      </c>
      <c r="I163" s="2">
        <f>(G163+H163)/2</f>
        <v/>
      </c>
      <c r="J163" s="3" t="n">
        <v>0.6736294824904357</v>
      </c>
      <c r="K163" t="inlineStr">
        <is>
          <t>0–1 mi</t>
        </is>
      </c>
      <c r="L163" s="3" t="n">
        <v>0.7730350658450665</v>
      </c>
      <c r="M163" t="inlineStr">
        <is>
          <t>0–1 mi</t>
        </is>
      </c>
      <c r="N163" s="3" t="n">
        <v>1.935983335411726</v>
      </c>
      <c r="O163" t="inlineStr">
        <is>
          <t>&gt;1–3 mi</t>
        </is>
      </c>
      <c r="P163" t="n">
        <v>1</v>
      </c>
      <c r="Q163" t="n">
        <v>0</v>
      </c>
      <c r="R163" s="5" t="inlineStr">
        <is>
          <t>Included in rent means | Source pricing flag retained; automated consistency checks passed. This is not independent landlord verification.</t>
        </is>
      </c>
    </row>
    <row r="164">
      <c r="A164" t="inlineStr">
        <is>
          <t>ocpqsb7fkz</t>
        </is>
      </c>
      <c r="B164" t="inlineStr">
        <is>
          <t>TWO BEDROOM TOWNHOUSE IN EXCELLENT CONDITION</t>
        </is>
      </c>
      <c r="C164" t="inlineStr">
        <is>
          <t>https://offcampus.dasa.ncsu.edu/housing/property/two-bedroom-townhouse-in-excellent-condition/ocpqsb7fkz</t>
        </is>
      </c>
      <c r="D164" t="inlineStr">
        <is>
          <t>Whole unit</t>
        </is>
      </c>
      <c r="E164" s="3" t="n">
        <v>35.774959</v>
      </c>
      <c r="F164" s="3" t="n">
        <v>-78.693428</v>
      </c>
      <c r="G164" s="2" t="n">
        <v>1550</v>
      </c>
      <c r="H164" s="2" t="n">
        <v>1550</v>
      </c>
      <c r="I164" s="2">
        <f>(G164+H164)/2</f>
        <v/>
      </c>
      <c r="J164" s="3" t="n">
        <v>0.7297573871830531</v>
      </c>
      <c r="K164" t="inlineStr">
        <is>
          <t>0–1 mi</t>
        </is>
      </c>
      <c r="L164" s="3" t="n">
        <v>0.9921205802987337</v>
      </c>
      <c r="M164" t="inlineStr">
        <is>
          <t>0–1 mi</t>
        </is>
      </c>
      <c r="N164" s="3" t="n">
        <v>1.730693203097831</v>
      </c>
      <c r="O164" t="inlineStr">
        <is>
          <t>&gt;1–3 mi</t>
        </is>
      </c>
      <c r="P164" t="n">
        <v>1</v>
      </c>
      <c r="Q164" t="n">
        <v>0</v>
      </c>
      <c r="R164" s="5" t="inlineStr">
        <is>
          <t>Included in rent means | Source pricing flag retained; automated consistency checks passed. This is not independent landlord verification.</t>
        </is>
      </c>
    </row>
    <row r="165">
      <c r="A165" t="inlineStr">
        <is>
          <t>ocp8d9cwv0</t>
        </is>
      </c>
      <c r="B165" t="inlineStr">
        <is>
          <t>Bright 2 BR, 2 BA unit in vibrant Person St district</t>
        </is>
      </c>
      <c r="C165" t="inlineStr">
        <is>
          <t>https://offcampus.dasa.ncsu.edu/housing/property/bright-2-br-2-ba-unit-in-vibrant-person-st-district/ocp8d9cwv0</t>
        </is>
      </c>
      <c r="D165" t="inlineStr">
        <is>
          <t>Whole unit</t>
        </is>
      </c>
      <c r="E165" s="3" t="n">
        <v>35.789176</v>
      </c>
      <c r="F165" s="3" t="n">
        <v>-78.63423899999999</v>
      </c>
      <c r="G165" s="2" t="n">
        <v>1950</v>
      </c>
      <c r="H165" s="2" t="n">
        <v>1950</v>
      </c>
      <c r="I165" s="2">
        <f>(G165+H165)/2</f>
        <v/>
      </c>
      <c r="J165" s="3" t="n">
        <v>2.74166552276931</v>
      </c>
      <c r="K165" t="inlineStr">
        <is>
          <t>&gt;1–3 mi</t>
        </is>
      </c>
      <c r="L165" s="3" t="n">
        <v>2.807478358926449</v>
      </c>
      <c r="M165" t="inlineStr">
        <is>
          <t>&gt;1–3 mi</t>
        </is>
      </c>
      <c r="N165" s="3" t="n">
        <v>3.966462269159492</v>
      </c>
      <c r="O165" t="inlineStr">
        <is>
          <t>&gt;3–5 mi</t>
        </is>
      </c>
      <c r="P165" t="n">
        <v>1</v>
      </c>
      <c r="Q165" t="n">
        <v>0</v>
      </c>
      <c r="R165" s="5" t="inlineStr">
        <is>
          <t>Included in rent means | Source pricing flag retained; automated consistency checks passed. This is not independent landlord verification.</t>
        </is>
      </c>
    </row>
    <row r="166">
      <c r="A166" t="inlineStr">
        <is>
          <t>ocp9g1mkz6</t>
        </is>
      </c>
      <c r="B166" t="inlineStr">
        <is>
          <t>Stylish Studio Condo on NC State University Campus</t>
        </is>
      </c>
      <c r="C166" t="inlineStr">
        <is>
          <t>https://offcampus.dasa.ncsu.edu/housing/property/stylish-studio-condo-on-nc-state-university-campus/ocp9g1mkz6</t>
        </is>
      </c>
      <c r="D166" t="inlineStr">
        <is>
          <t>Whole unit</t>
        </is>
      </c>
      <c r="E166" s="3" t="n">
        <v>35.773862</v>
      </c>
      <c r="F166" s="3" t="n">
        <v>-78.68279800000001</v>
      </c>
      <c r="G166" s="2" t="n">
        <v>1630</v>
      </c>
      <c r="H166" s="2" t="n">
        <v>1630</v>
      </c>
      <c r="I166" s="2">
        <f>(G166+H166)/2</f>
        <v/>
      </c>
      <c r="J166" s="3" t="n">
        <v>0.3952398260405798</v>
      </c>
      <c r="K166" t="inlineStr">
        <is>
          <t>0–1 mi</t>
        </is>
      </c>
      <c r="L166" s="3" t="n">
        <v>0.4641305828202864</v>
      </c>
      <c r="M166" t="inlineStr">
        <is>
          <t>0–1 mi</t>
        </is>
      </c>
      <c r="N166" s="3" t="n">
        <v>2.076945886414931</v>
      </c>
      <c r="O166" t="inlineStr">
        <is>
          <t>&gt;1–3 mi</t>
        </is>
      </c>
      <c r="P166" t="n">
        <v>1</v>
      </c>
      <c r="Q166" t="n">
        <v>0</v>
      </c>
      <c r="R166" s="5" t="inlineStr">
        <is>
          <t>Included in rent means | Source pricing flag retained; automated consistency checks passed. This is not independent landlord verification.</t>
        </is>
      </c>
    </row>
    <row r="167">
      <c r="A167" t="inlineStr">
        <is>
          <t>ocpeg5yhcm</t>
        </is>
      </c>
      <c r="B167" t="inlineStr">
        <is>
          <t>Avery Close</t>
        </is>
      </c>
      <c r="C167" t="inlineStr">
        <is>
          <t>https://offcampus.dasa.ncsu.edu/housing/property/avery-close/ocpeg5yhcm</t>
        </is>
      </c>
      <c r="D167" t="inlineStr">
        <is>
          <t>Whole unit</t>
        </is>
      </c>
      <c r="E167" s="3" t="n">
        <v>35.774037</v>
      </c>
      <c r="F167" s="3" t="n">
        <v>-78.68301099999999</v>
      </c>
      <c r="G167" s="2" t="n">
        <v>1295</v>
      </c>
      <c r="H167" s="2" t="n">
        <v>1650</v>
      </c>
      <c r="I167" s="2">
        <f>(G167+H167)/2</f>
        <v/>
      </c>
      <c r="J167" s="3" t="n">
        <v>0.3854384079265769</v>
      </c>
      <c r="K167" t="inlineStr">
        <is>
          <t>0–1 mi</t>
        </is>
      </c>
      <c r="L167" s="3" t="n">
        <v>0.4810650599383101</v>
      </c>
      <c r="M167" t="inlineStr">
        <is>
          <t>0–1 mi</t>
        </is>
      </c>
      <c r="N167" s="3" t="n">
        <v>2.060192255143996</v>
      </c>
      <c r="O167" t="inlineStr">
        <is>
          <t>&gt;1–3 mi</t>
        </is>
      </c>
      <c r="P167" t="n">
        <v>1</v>
      </c>
      <c r="Q167" t="n">
        <v>0</v>
      </c>
      <c r="R167" s="5" t="inlineStr">
        <is>
          <t>Included in rent means | Source pricing flag retained; automated consistency checks passed. This is not independent landlord verification.</t>
        </is>
      </c>
    </row>
    <row r="168">
      <c r="A168" t="inlineStr">
        <is>
          <t>ocpsnmx4w4</t>
        </is>
      </c>
      <c r="B168" t="inlineStr">
        <is>
          <t>"Avery Close " condos room available across from Centennial Campus NCSU NC State Raleigh</t>
        </is>
      </c>
      <c r="C168" t="inlineStr">
        <is>
          <t>https://offcampus.dasa.ncsu.edu/housing/property/avery-close-condos-room-available-across-from-centennial-campus-ncsu-nc-state-raleigh/ocpsnmx4w4</t>
        </is>
      </c>
      <c r="D168" t="inlineStr">
        <is>
          <t>Per bedroom</t>
        </is>
      </c>
      <c r="E168" s="3" t="n">
        <v>35.774124</v>
      </c>
      <c r="F168" s="3" t="n">
        <v>-78.68264499999999</v>
      </c>
      <c r="G168" s="2" t="n">
        <v>750</v>
      </c>
      <c r="H168" s="2" t="n">
        <v>750</v>
      </c>
      <c r="I168" s="2">
        <f>(G168+H168)/2</f>
        <v/>
      </c>
      <c r="J168" s="3" t="n">
        <v>0.3760481046808826</v>
      </c>
      <c r="K168" t="inlineStr">
        <is>
          <t>0–1 mi</t>
        </is>
      </c>
      <c r="L168" s="3" t="n">
        <v>0.4729019086752427</v>
      </c>
      <c r="M168" t="inlineStr">
        <is>
          <t>0–1 mi</t>
        </is>
      </c>
      <c r="N168" s="3" t="n">
        <v>2.067123955503036</v>
      </c>
      <c r="O168" t="inlineStr">
        <is>
          <t>&gt;1–3 mi</t>
        </is>
      </c>
      <c r="P168" t="n">
        <v>1</v>
      </c>
      <c r="Q168" t="n">
        <v>1</v>
      </c>
      <c r="R168" s="5" t="inlineStr">
        <is>
          <t>Included in rent means | Source pricing flag retained; automated consistency checks passed. This is not independent landlord verification.</t>
        </is>
      </c>
    </row>
    <row r="169">
      <c r="A169" t="inlineStr">
        <is>
          <t>ocp2k6k5g8</t>
        </is>
      </c>
      <c r="B169" t="inlineStr">
        <is>
          <t>Furnished Room for Rent (Between Central and Centennial Campus)</t>
        </is>
      </c>
      <c r="C169" t="inlineStr">
        <is>
          <t>https://offcampus.dasa.ncsu.edu/housing/property/furnished-room-for-rent-between-central-and-centennial-campus/ocp2k6k5g8</t>
        </is>
      </c>
      <c r="D169" t="inlineStr">
        <is>
          <t>Per bedroom</t>
        </is>
      </c>
      <c r="E169" s="3" t="n">
        <v>35.777321</v>
      </c>
      <c r="F169" s="3" t="n">
        <v>-78.67903</v>
      </c>
      <c r="G169" s="2" t="n">
        <v>600</v>
      </c>
      <c r="H169" s="2" t="n">
        <v>600</v>
      </c>
      <c r="I169" s="2">
        <f>(G169+H169)/2</f>
        <v/>
      </c>
      <c r="J169" s="3" t="n">
        <v>0.2119918921207049</v>
      </c>
      <c r="K169" t="inlineStr">
        <is>
          <t>0–1 mi</t>
        </is>
      </c>
      <c r="L169" s="3" t="n">
        <v>0.6017976844833649</v>
      </c>
      <c r="M169" t="inlineStr">
        <is>
          <t>0–1 mi</t>
        </is>
      </c>
      <c r="N169" s="3" t="n">
        <v>2.02644354476544</v>
      </c>
      <c r="O169" t="inlineStr">
        <is>
          <t>&gt;1–3 mi</t>
        </is>
      </c>
      <c r="P169" t="n">
        <v>1</v>
      </c>
      <c r="Q169" t="n">
        <v>0</v>
      </c>
      <c r="R169" s="5" t="inlineStr">
        <is>
          <t>Excluded from article analysis | Bedroom occupancy review: Shared bedroom | September 20 manual bedroom review found the listing explicitly offered one of two beds in a shared furnished master bedroom. Preserved in the 76-listing bedroom audit but excluded from article rent means.</t>
        </is>
      </c>
    </row>
  </sheetData>
  <autoFilter ref="A1:R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2026-09-21T03:24:51Z</dcterms:created>
  <dcterms:modified xsi:type="dcterms:W3CDTF">2026-09-21T03:24:51Z</dcterms:modified>
</cp:coreProperties>
</file>