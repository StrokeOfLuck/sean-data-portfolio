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50bad8c38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5c373e9e98d4857"/>
    <x:sheet xmlns:r="http://schemas.openxmlformats.org/officeDocument/2006/relationships" name="Kept" sheetId="2" r:id="Rbb1ab90ebf234bd9"/>
    <x:sheet xmlns:r="http://schemas.openxmlformats.org/officeDocument/2006/relationships" name="Excluded" sheetId="3" r:id="R521bd9339a344e96"/>
    <x:sheet xmlns:r="http://schemas.openxmlformats.org/officeDocument/2006/relationships" name="Raw properties" sheetId="4" r:id="Rbc8ba3f78d8541ab"/>
    <x:sheet xmlns:r="http://schemas.openxmlformats.org/officeDocument/2006/relationships" name="Raw floorplans" sheetId="5" r:id="R3264e452dc7e47a8"/>
    <x:sheet xmlns:r="http://schemas.openxmlformats.org/officeDocument/2006/relationships" name="Listings" sheetId="6" r:id="R407235f1bef24caa"/>
    <x:sheet xmlns:r="http://schemas.openxmlformats.org/officeDocument/2006/relationships" name="Summary" sheetId="7" r:id="Rdda5f07529924b4e"/>
    <x:sheet xmlns:r="http://schemas.openxmlformats.org/officeDocument/2006/relationships" name="Sensitivity" sheetId="8" r:id="Rd4986fcba8e54222"/>
    <x:sheet xmlns:r="http://schemas.openxmlformats.org/officeDocument/2006/relationships" name="Budget" sheetId="9" r:id="Ra1ebca4ba8d64361"/>
    <x:sheet xmlns:r="http://schemas.openxmlformats.org/officeDocument/2006/relationships" name="Housing rates" sheetId="10" r:id="R3d5b61fd46364dbe"/>
  </x:sheets>
</x:workbook>
</file>

<file path=xl/comments1.xml><?xml version="1.0" encoding="utf-8"?>
<x:comments xmlns:x="http://schemas.openxmlformats.org/spreadsheetml/2006/main">
  <x:authors>
    <x:author/>
  </x:authors>
  <x:commentList>
    <x:comment ref="L1" authorId="0">
      <x:text>
        <x:r>
          <x:t>Documented editorial exclusion input. Resolve pricing basis against evidence before changing from 1 to 0. See reviewed-rentals.json and review-decisions.json.</x:t>
        </x:r>
      </x:text>
    </x:comment>
    <x:comment ref="J1" authorId="0">
      <x:text>
        <x:r>
          <x:t>Envelope from saved floor-plan price_low fields. Used only to detect search/detail inconsistencies, not substitute rent.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;($#,##0.00);&quot;$0.00&quot;"/>
    <x:numFmt numFmtId="201" formatCode="0.000000"/>
    <x:numFmt numFmtId="202" formatCode="0.00"/>
    <x:numFmt numFmtId="203" formatCode="0.00%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D485D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wrapText="1"/>
    </x:xf>
    <x:xf numFmtId="203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5a310fa724c37" /><Relationship Type="http://schemas.openxmlformats.org/officeDocument/2006/relationships/theme" Target="/xl/theme/theme1.xml" Id="R338a455ff93a4e2c" /><Relationship Type="http://schemas.openxmlformats.org/officeDocument/2006/relationships/sharedStrings" Target="/xl/sharedStrings.xml" Id="Rd6e9bb7d834c4f66" /><Relationship Type="http://schemas.openxmlformats.org/officeDocument/2006/relationships/worksheet" Target="/xl/worksheets/sheet1.xml" Id="R55c373e9e98d4857" /><Relationship Type="http://schemas.openxmlformats.org/officeDocument/2006/relationships/worksheet" Target="/xl/worksheets/sheet2.xml" Id="Rbb1ab90ebf234bd9" /><Relationship Type="http://schemas.openxmlformats.org/officeDocument/2006/relationships/worksheet" Target="/xl/worksheets/sheet3.xml" Id="R521bd9339a344e96" /><Relationship Type="http://schemas.openxmlformats.org/officeDocument/2006/relationships/worksheet" Target="/xl/worksheets/sheet4.xml" Id="Rbc8ba3f78d8541ab" /><Relationship Type="http://schemas.openxmlformats.org/officeDocument/2006/relationships/worksheet" Target="/xl/worksheets/sheet5.xml" Id="R3264e452dc7e47a8" /><Relationship Type="http://schemas.openxmlformats.org/officeDocument/2006/relationships/worksheet" Target="/xl/worksheets/sheet6.xml" Id="R407235f1bef24caa" /><Relationship Type="http://schemas.openxmlformats.org/officeDocument/2006/relationships/worksheet" Target="/xl/worksheets/sheet7.xml" Id="Rdda5f07529924b4e" /><Relationship Type="http://schemas.openxmlformats.org/officeDocument/2006/relationships/worksheet" Target="/xl/worksheets/sheet8.xml" Id="Rd4986fcba8e54222" /><Relationship Type="http://schemas.openxmlformats.org/officeDocument/2006/relationships/worksheet" Target="/xl/worksheets/sheet9.xml" Id="Ra1ebca4ba8d64361" /><Relationship Type="http://schemas.openxmlformats.org/officeDocument/2006/relationships/worksheet" Target="/xl/worksheets/sheet10.xml" Id="R3d5b61fd46364dbe" /></Relationships>
</file>

<file path=xl/tables/table1.xml><?xml version="1.0" encoding="utf-8"?>
<x:table xmlns:x="http://schemas.openxmlformats.org/spreadsheetml/2006/main" id="4" name="KeptListings" displayName="KeptListings" ref="A1:K132" headerRowCount="1" totalsRowCount="0" totalsRowShown="0">
  <x:autoFilter ref="A1:K132"/>
  <x:tableColumns count="11">
    <x:tableColumn id="1" name="Listing name"/>
    <x:tableColumn id="2" name="Price basis"/>
    <x:tableColumn id="3" name="Low price ($/mo)"/>
    <x:tableColumn id="4" name="High price ($/mo)"/>
    <x:tableColumn id="5" name="Published decision"/>
    <x:tableColumn id="6" name="Main band"/>
    <x:tableColumn id="7" name="Centennial band"/>
    <x:tableColumn id="8" name="Biomedical band"/>
    <x:tableColumn id="9" name="Listing ID"/>
    <x:tableColumn id="10" name="Source URL"/>
    <x:tableColumn id="11" name="Review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ExcludedListings" displayName="ExcludedListings" ref="A1:K38" headerRowCount="1" totalsRowCount="0" totalsRowShown="0">
  <x:autoFilter ref="A1:K38"/>
  <x:tableColumns count="11">
    <x:tableColumn id="1" name="Listing name"/>
    <x:tableColumn id="2" name="Price basis"/>
    <x:tableColumn id="3" name="Low price ($/mo)"/>
    <x:tableColumn id="4" name="High price ($/mo)"/>
    <x:tableColumn id="5" name="Published decision"/>
    <x:tableColumn id="6" name="Main band"/>
    <x:tableColumn id="7" name="Centennial band"/>
    <x:tableColumn id="8" name="Biomedical band"/>
    <x:tableColumn id="9" name="Listing ID"/>
    <x:tableColumn id="10" name="Source URL"/>
    <x:tableColumn id="11" name="Review 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RawProperties" displayName="RawProperties" ref="A1:AG169" headerRowCount="1" totalsRowCount="0" totalsRowShown="0">
  <x:tableColumns count="33">
    <x:tableColumn id="1" name="site_id"/>
    <x:tableColumn id="2" name="ocp_id"/>
    <x:tableColumn id="3" name="apartments_listing_key"/>
    <x:tableColumn id="4" name="name"/>
    <x:tableColumn id="5" name="street_address"/>
    <x:tableColumn id="6" name="city"/>
    <x:tableColumn id="7" name="state"/>
    <x:tableColumn id="8" name="zip"/>
    <x:tableColumn id="9" name="latitude"/>
    <x:tableColumn id="10" name="longitude"/>
    <x:tableColumn id="11" name="target_campus"/>
    <x:tableColumn id="12" name="api_distance_to_campus_miles"/>
    <x:tableColumn id="13" name="rent_low"/>
    <x:tableColumn id="14" name="rent_high"/>
    <x:tableColumn id="15" name="rent_display"/>
    <x:tableColumn id="16" name="beds_low"/>
    <x:tableColumn id="17" name="beds_high"/>
    <x:tableColumn id="18" name="beds_display"/>
    <x:tableColumn id="19" name="per_bed_pricing"/>
    <x:tableColumn id="20" name="per_semester_pricing"/>
    <x:tableColumn id="21" name="total_monthly_price"/>
    <x:tableColumn id="22" name="total_monthly_price_verified"/>
    <x:tableColumn id="23" name="shared_space"/>
    <x:tableColumn id="24" name="sublet"/>
    <x:tableColumn id="25" name="lease_term"/>
    <x:tableColumn id="26" name="hide_address"/>
    <x:tableColumn id="27" name="hide_map_pin"/>
    <x:tableColumn id="28" name="last_updated"/>
    <x:tableColumn id="29" name="property_type"/>
    <x:tableColumn id="30" name="total_units"/>
    <x:tableColumn id="31" name="active"/>
    <x:tableColumn id="32" name="image_count"/>
    <x:tableColumn id="33" name="listing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awFloorplans" displayName="RawFloorplans" ref="A1:Z538" headerRowCount="1" totalsRowCount="0" totalsRowShown="0">
  <x:tableColumns count="26">
    <x:tableColumn id="1" name="site_id"/>
    <x:tableColumn id="2" name="property_name"/>
    <x:tableColumn id="3" name="floorplan_id"/>
    <x:tableColumn id="4" name="unit_key"/>
    <x:tableColumn id="5" name="name"/>
    <x:tableColumn id="6" name="beds"/>
    <x:tableColumn id="7" name="baths"/>
    <x:tableColumn id="8" name="price_low"/>
    <x:tableColumn id="9" name="price_high"/>
    <x:tableColumn id="10" name="price_range"/>
    <x:tableColumn id="11" name="all_in_price_range"/>
    <x:tableColumn id="12" name="per_bed_pricing"/>
    <x:tableColumn id="13" name="square_feet"/>
    <x:tableColumn id="14" name="units_available"/>
    <x:tableColumn id="15" name="availability"/>
    <x:tableColumn id="16" name="availability_description"/>
    <x:tableColumn id="17" name="available_date"/>
    <x:tableColumn id="18" name="deposit"/>
    <x:tableColumn id="19" name="deposit_description"/>
    <x:tableColumn id="20" name="application_fees"/>
    <x:tableColumn id="21" name="admin_fee"/>
    <x:tableColumn id="22" name="max_occupants"/>
    <x:tableColumn id="23" name="unit_number"/>
    <x:tableColumn id="24" name="is_unit"/>
    <x:tableColumn id="25" name="is_new"/>
    <x:tableColumn id="26" name="raw_unit_floorpla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3" name="ReviewedListings" displayName="ReviewedListings" ref="A1:AL169" headerRowCount="1" totalsRowCount="0" totalsRowShown="0">
  <x:tableColumns count="38">
    <x:tableColumn id="1" name="Listing ID"/>
    <x:tableColumn id="2" name="Listing name"/>
    <x:tableColumn id="3" name="Source URL"/>
    <x:tableColumn id="4" name="Original basis"/>
    <x:tableColumn id="5" name="Reviewed basis"/>
    <x:tableColumn id="6" name="Latitude"/>
    <x:tableColumn id="7" name="Longitude"/>
    <x:tableColumn id="8" name="Source low ($/mo)"/>
    <x:tableColumn id="9" name="Source high ($/mo)"/>
    <x:tableColumn id="10" name="Floor-plan low ($/mo)"/>
    <x:tableColumn id="11" name="Floor-plan high ($/mo)"/>
    <x:tableColumn id="12" name="Basis review flag"/>
    <x:tableColumn id="13" name="Price mismatch flag"/>
    <x:tableColumn id="14" name="Valid price pair"/>
    <x:tableColumn id="15" name="Use price (1=yes)"/>
    <x:tableColumn id="16" name="Main distance (mi)"/>
    <x:tableColumn id="17" name="Main band"/>
    <x:tableColumn id="18" name="Centennial distance (mi)"/>
    <x:tableColumn id="19" name="Centennial band"/>
    <x:tableColumn id="20" name="Biomedical distance (mi)"/>
    <x:tableColumn id="21" name="Biomedical band"/>
    <x:tableColumn id="22" name="In combined 5 mi"/>
    <x:tableColumn id="23" name="Included midpoint ($/mo)"/>
    <x:tableColumn id="24" name="Use in combined mean"/>
    <x:tableColumn id="25" name="All plans 2027+"/>
    <x:tableColumn id="26" name="Waitlist mentioned"/>
    <x:tableColumn id="27" name="Endpoint review flag"/>
    <x:tableColumn id="28" name="All-in price differs"/>
    <x:tableColumn id="29" name="Source sublet flag"/>
    <x:tableColumn id="30" name="Source lease term"/>
    <x:tableColumn id="31" name="Earliest saved date"/>
    <x:tableColumn id="32" name="Price status"/>
    <x:tableColumn id="33" name="Review evidence / reason"/>
    <x:tableColumn id="34" name="Source rent display"/>
    <x:tableColumn id="35" name="Main edge (feet)"/>
    <x:tableColumn id="36" name="Centennial edge (feet)"/>
    <x:tableColumn id="37" name="Biomedical edge (feet)"/>
    <x:tableColumn id="38" name="Within 100 feet of ed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7810a20d6d43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15ca3745964b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542a38ea1242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a87fb12828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64e22ab9df13464b" /><Relationship Type="http://schemas.openxmlformats.org/officeDocument/2006/relationships/vmlDrawing" Target="/xl/drawings/vmldrawing.vml" Id="Ra587ac8e835c40b5" /><Relationship Type="http://schemas.openxmlformats.org/officeDocument/2006/relationships/table" Target="/xl/tables/table5.xml" Id="Rbae3816a5ca648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18" hidden="0" customWidth="1"/>
  </x:cols>
  <x:sheetData>
    <x:row r="1" ht="38" customHeight="1">
      <x:c r="A1" s="4" t="str">
        <x:v>Audit guide</x:v>
      </x:c>
      <x:c r="B1" s="4" t="str">
        <x:v>Definition / source</x:v>
      </x:c>
    </x:row>
    <x:row r="2" ht="42" customHeight="1">
      <x:c r="A2" s="1" t="str">
        <x:v>Snapshot / revision</x:v>
      </x:c>
      <x:c r="B2" s="5" t="str">
        <x:v>2026-09-09 / 2026-09-13</x:v>
      </x:c>
    </x:row>
    <x:row r="3" ht="42" customHeight="1">
      <x:c r="A3" s="1" t="str">
        <x:v>Analysis version</x:v>
      </x:c>
      <x:c r="B3" s="5" t="str">
        <x:v>2026-09-13.1</x:v>
      </x:c>
    </x:row>
    <x:row r="4" ht="42" customHeight="1">
      <x:c r="A4" s="1" t="str">
        <x:v>Reading order</x:v>
      </x:c>
      <x:c r="B4" s="5" t="str">
        <x:v>Start with Kept and Excluded to read individual decisions. Summary shows the counts and math; Listings links to the raw source tables. Budget is a separate personal scenario.</x:v>
      </x:c>
    </x:row>
    <x:row r="5" ht="42" customHeight="1">
      <x:c r="A5" s="1" t="str">
        <x:v>Kept and Excluded</x:v>
      </x:c>
      <x:c r="B5" s="5" t="str">
        <x:v>Kept: 131 usable listings within at least one five-mile campus area. Excluded: 37 other IDs (25 price exclusions within the area plus 12 outside all three areas). Together they contain all 168 saved IDs once.</x:v>
      </x:c>
    </x:row>
    <x:row r="6" ht="42" customHeight="1">
      <x:c r="A6" s="1" t="str">
        <x:v>Match a campus</x:v>
      </x:c>
      <x:c r="B6" s="5" t="str">
        <x:v>Filter Main band to the three bands within five miles: 128 Kept and 25 Excluded. Summary rows 30–34 reconcile each campus. The combined sample counts each ID once across overlapping campus areas.</x:v>
      </x:c>
    </x:row>
    <x:row r="7" ht="42" customHeight="1">
      <x:c r="A7" s="1" t="str">
        <x:v>Published membership</x:v>
      </x:c>
      <x:c r="B7" s="5" t="str">
        <x:v>Kept/Excluded membership and decision text record the published review. Other columns use ID lookups into Listings. Rebuild after changing source inputs or review decisions to refresh membership.</x:v>
      </x:c>
    </x:row>
    <x:row r="8" ht="42" customHeight="1">
      <x:c r="A8" s="1" t="str">
        <x:v>Price versus geography</x:v>
      </x:c>
      <x:c r="B8" s="5" t="str">
        <x:v>Listings price-status labels describe the price checks. Eleven usable-price records still fall outside all three five-mile areas and therefore appear in Excluded. One outside record also has a price conflict; count it once.</x:v>
      </x:c>
    </x:row>
    <x:row r="9" ht="42" customHeight="1">
      <x:c r="A9" s="1" t="str">
        <x:v>Scope</x:v>
      </x:c>
      <x:c r="B9" s="5" t="str">
        <x:v>All advertised offers in the saved snapshot, regardless of move-in date; not an available-now inventory.</x:v>
      </x:c>
    </x:row>
    <x:row r="10" ht="42" customHeight="1">
      <x:c r="A10" s="1" t="str">
        <x:v>Unit of observation</x:v>
      </x:c>
      <x:c r="B10" s="5" t="str">
        <x:v>One portal listing ID. Not one building, tenant or available bedroom. Separate ads in a building may be related.</x:v>
      </x:c>
    </x:row>
    <x:row r="11" ht="42" customHeight="1">
      <x:c r="A11" s="1" t="str">
        <x:v>Primary inclusion rule</x:v>
      </x:c>
      <x:c r="B11" s="5" t="str">
        <x:v>Within five miles of any reference point; positive ordered price pair; no unresolved price basis or search/detail mismatch.</x:v>
      </x:c>
    </x:row>
    <x:row r="12" ht="42" customHeight="1">
      <x:c r="A12" s="1" t="str">
        <x:v>Room overrides</x:v>
      </x:c>
      <x:c r="B12" s="5" t="str">
        <x:v>23 whole-unit flags reclassified using 20 explicit saved room titles and 3 source descriptions. Snapshot prices unchanged.</x:v>
      </x:c>
    </x:row>
    <x:row r="13" ht="42" customHeight="1">
      <x:c r="A13" s="1" t="str">
        <x:v>Source flags are not proof</x:v>
      </x:c>
      <x:c r="B13" s="5" t="str">
        <x:v>Flags retained when no concrete contradiction was identified. Not every price or lease was independently verified.</x:v>
      </x:c>
    </x:row>
    <x:row r="14" ht="42" customHeight="1">
      <x:c r="A14" s="1" t="str">
        <x:v>Price coverage</x:v>
      </x:c>
      <x:c r="B14" s="5" t="str">
        <x:v>Advertised prices have varying fee coverage. Raw floorplans preserve separate all-in price ranges. Do not interpret as uniform all-in cost.</x:v>
      </x:c>
    </x:row>
    <x:row r="15" ht="42" customHeight="1">
      <x:c r="A15" s="1" t="str">
        <x:v>Dates / lease terms</x:v>
      </x:c>
      <x:c r="B15" s="5" t="str">
        <x:v>Future-only, waitlist, missing dates, sublets and different lease lengths remain in the primary advertised-offer sample.</x:v>
      </x:c>
    </x:row>
    <x:row r="16" ht="42" customHeight="1">
      <x:c r="A16" s="1" t="str">
        <x:v>Sample limitations</x:v>
      </x:c>
      <x:c r="B16" s="5" t="str">
        <x:v>Convenience sample of one portal. No claim of full-market coverage, statistical representativeness, available vacancies or student burden prevalence.</x:v>
      </x:c>
    </x:row>
    <x:row r="17" ht="42" customHeight="1">
      <x:c r="A17" s="1" t="str">
        <x:v>Distance method</x:v>
      </x:c>
      <x:c r="B17" s="5" t="str">
        <x:v>Haversine with Earth radius 3958.7613 miles; full-precision distances decide bands. Straight line, not route distance or campus-edge distance.</x:v>
      </x:c>
    </x:row>
    <x:row r="18" ht="42" customHeight="1">
      <x:c r="A18" s="1" t="str">
        <x:v>Combined sample</x:v>
      </x:c>
      <x:c r="B18" s="5" t="str">
        <x:v>Union by listing ID, not sum of campus counts. One ID appears once in the Listings table.</x:v>
      </x:c>
    </x:row>
    <x:row r="19" ht="42" customHeight="1">
      <x:c r="A19" s="1" t="str">
        <x:v>Means</x:v>
      </x:c>
      <x:c r="B19" s="5" t="str">
        <x:v>Sum low / prices used; sum high / same count. Mean midpoint = (low mean + high mean) / 2. Each included listing contributes once; band means combine in proportion to their price counts.</x:v>
      </x:c>
    </x:row>
    <x:row r="20" ht="42" customHeight="1">
      <x:c r="A20" s="1" t="str">
        <x:v>Why not weight by closeness?</x:v>
      </x:c>
      <x:c r="B20" s="5" t="str">
        <x:v>The current mean describes the included five-mile advertisements. Use the 0–1 mile row for the closest offers. A proximity-weighted measure needs a stated weighting rule and rationale; this snapshot does not measure student location preferences.</x:v>
      </x:c>
    </x:row>
    <x:row r="21" ht="42" customHeight="1">
      <x:c r="A21" s="1" t="str">
        <x:v>Medians</x:v>
      </x:c>
      <x:c r="B21" s="5" t="str">
        <x:v>Website also gives median individual midpoint as a robustness measure. Excel summary shows auditable endpoint and midpoint means.</x:v>
      </x:c>
    </x:row>
    <x:row r="22" ht="42" customHeight="1">
      <x:c r="A22" s="1" t="str">
        <x:v>Original versus revised</x:v>
      </x:c>
      <x:c r="B22" s="5" t="str">
        <x:v>Raw sheets are unchanged source values. Reviewed basis and basis-review flags are documented editorial inputs; numeric checks are formulas.</x:v>
      </x:c>
    </x:row>
    <x:row r="23" ht="42" customHeight="1">
      <x:c r="A23" s="1" t="str">
        <x:v>Missing price</x:v>
      </x:c>
      <x:c r="B23" s="5" t="str">
        <x:v>A raw zero or blank is preserved on source sheets; it fails the positive-pair test and does not lower the mean.</x:v>
      </x:c>
    </x:row>
    <x:row r="24" ht="42" customHeight="1">
      <x:c r="A24" s="1" t="str">
        <x:v>Review flag meaning</x:v>
      </x:c>
      <x:c r="B24" s="5" t="str">
        <x:v>1 means flagged; 0 means not flagged. Flags may overlap, so sum of reasons can exceed number of excluded IDs.</x:v>
      </x:c>
    </x:row>
    <x:row r="25" ht="42" customHeight="1">
      <x:c r="A25" s="1" t="str">
        <x:v>Sensitivity</x:v>
      </x:c>
      <x:c r="B25" s="5" t="str">
        <x:v>Omit future-only dates, waitlists and the flagged Centennial Ridge endpoint separately and together. Not an available-now sample.</x:v>
      </x:c>
    </x:row>
    <x:row r="26" ht="42" customHeight="1">
      <x:c r="A26" s="1" t="str">
        <x:v>Budget input color</x:v>
      </x:c>
      <x:c r="B26" s="5" t="str">
        <x:v>Pale yellow = editable scenario. Budget rows 37–53 audit the article checkboxes; rows 2–32 audit optional custom inputs. Loans are borrowed funds.</x:v>
      </x:c>
    </x:row>
    <x:row r="27" ht="42" customHeight="1">
      <x:c r="A27" s="1" t="str">
        <x:v>Aid year</x:v>
      </x:c>
      <x:c r="B27" s="5" t="str">
        <x:v>CDS 2025–26 Section H selects 2024–25 Final. Checkboxes model selected full average awards with tuition/fees covered separately, not a typical combined package.</x:v>
      </x:c>
    </x:row>
    <x:row r="28" ht="42" customHeight="1">
      <x:c r="A28" s="1" t="str">
        <x:v>HUD comparison</x:v>
      </x:c>
      <x:c r="B28" s="5" t="str">
        <x:v>Housing plus utilities / household income is the HUD basis. This personal resources model is not a formal classification.</x:v>
      </x:c>
    </x:row>
    <x:row r="29" ht="42" customHeight="1">
      <x:c r="A29" s="1" t="str">
        <x:v>Monthly periods</x:v>
      </x:c>
      <x:c r="B29" s="5" t="str">
        <x:v>52/12 is a valid steady-work conversion, not a guarantee of year-round FWS. Enter actual weeks and months; FWS award cap example is separate.</x:v>
      </x:c>
    </x:row>
    <x:row r="30" ht="42" customHeight="1">
      <x:c r="A30" s="1" t="str">
        <x:v>Source portal</x:v>
      </x:c>
      <x:c r="B30" s="5" t="str">
        <x:v>https://offcampus.dasa.ncsu.edu/housing</x:v>
      </x:c>
    </x:row>
    <x:row r="31" ht="42" customHeight="1">
      <x:c r="A31" s="1" t="str">
        <x:v>Article / full methodology</x:v>
      </x:c>
      <x:c r="B31" s="5" t="str">
        <x:v>https://strokeofluck.github.io/ncsu-rent-article/references.html</x:v>
      </x:c>
    </x:row>
    <x:row r="32" ht="42" customHeight="1">
      <x:c r="A32" s="1" t="str">
        <x:v>Raw source commit</x:v>
      </x:c>
      <x:c r="B32" s="5" t="str">
        <x:v>23a0fb6522cb13b0a4a243318599749cb406ec08</x:v>
      </x:c>
    </x:row>
    <x:row r="33" ht="42" customHeight="1">
      <x:c r="A33" s="1" t="str">
        <x:v>Property CSV SHA-256</x:v>
      </x:c>
      <x:c r="B33" s="5" t="str">
        <x:v>f8f9ac1f6412fd025a5d09b59c9f17ce49237cda15f77793955c4617169631c5</x:v>
      </x:c>
    </x:row>
    <x:row r="34" ht="42" customHeight="1">
      <x:c r="A34" s="1" t="str">
        <x:v>Floor-plan CSV SHA-256</x:v>
      </x:c>
      <x:c r="B34" s="5" t="str">
        <x:v>9c708f29f7f2429a9210462fb490abe36c9d67622c2b9c1bb65fbaa1b29d7ee5</x:v>
      </x:c>
    </x:row>
    <x:row r="35" ht="42" customHeight="1">
      <x:c r="A35" s="1" t="str">
        <x:v>Rebuild</x:v>
      </x:c>
      <x:c r="B35" s="5" t="str">
        <x:v>Use the repository rebuild instructions. The workbook builder accepts the repository root as an optional argument when run from a temporary working directory.</x:v>
      </x:c>
    </x:row>
    <x:row r="36" ht="42" customHeight="1">
      <x:c r="A36" s="1" t="str">
        <x:v>Updating raw data</x:v>
      </x:c>
      <x:c r="B36" s="5" t="str">
        <x:v>Use a new dated snapshot and update the documented review decisions. This workbook is a fixed-snapshot audit; appended source rows require a rebuild.</x:v>
      </x:c>
    </x:row>
    <x:row r="37" ht="42" customHeight="1">
      <x:c r="A37" s="1" t="str">
        <x:v>Financial aid source</x:v>
      </x:c>
      <x:c r="B37" s="5" t="str">
        <x:v>https://report.isa.ncsu.edu/ir/cds/pdfs/CDS_2025-26.v1.pdf</x:v>
      </x:c>
    </x:row>
    <x:row r="38" ht="42" customHeight="1">
      <x:c r="A38" s="1" t="str">
        <x:v>Work-study source</x:v>
      </x:c>
      <x:c r="B38" s="5" t="str">
        <x:v>https://emas.ncsu.edu/employment/federal-work-study-program/</x:v>
      </x:c>
    </x:row>
    <x:row r="39" ht="42" customHeight="1">
      <x:c r="A39" s="1" t="str">
        <x:v>Aid allocation source</x:v>
      </x:c>
      <x:c r="B39" s="5" t="str">
        <x:v>https://studentservices.ncsu.edu/finances/scholarships-and-financial-aid/receive-your-financial-aid/</x:v>
      </x:c>
    </x:row>
    <x:row r="40" ht="42" customHeight="1">
      <x:c r="A40" s="1" t="str">
        <x:v>HUD definitions</x:v>
      </x:c>
      <x:c r="B40" s="5" t="str">
        <x:v>https://www.huduser.gov/portal/datasets/cp/CHAS/bg_chas.html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6" hidden="0" customWidth="1"/>
    <x:col min="4" max="4" width="16" hidden="0" customWidth="1"/>
    <x:col min="5" max="5" width="45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38" hidden="0" customWidth="1"/>
    <x:col min="11" max="11" width="85" hidden="0" customWidth="1"/>
  </x:cols>
  <x:sheetData>
    <x:row r="1" ht="38" customHeight="1">
      <x:c r="A1" s="12" t="str">
        <x:v>Listing name</x:v>
      </x:c>
      <x:c r="B1" s="12" t="str">
        <x:v>Price basis</x:v>
      </x:c>
      <x:c r="C1" s="12" t="str">
        <x:v>Low price ($/mo)</x:v>
      </x:c>
      <x:c r="D1" s="12" t="str">
        <x:v>High price ($/mo)</x:v>
      </x:c>
      <x:c r="E1" s="12" t="str">
        <x:v>Published decision</x:v>
      </x:c>
      <x:c r="F1" s="12" t="str">
        <x:v>Main band</x:v>
      </x:c>
      <x:c r="G1" s="12" t="str">
        <x:v>Centennial band</x:v>
      </x:c>
      <x:c r="H1" s="12" t="str">
        <x:v>Biomedical band</x:v>
      </x:c>
      <x:c r="I1" s="12" t="str">
        <x:v>Listing ID</x:v>
      </x:c>
      <x:c r="J1" s="12" t="str">
        <x:v>Source URL</x:v>
      </x:c>
      <x:c r="K1" s="12" t="str">
        <x:v>Review evidence</x:v>
      </x:c>
    </x:row>
    <x:row r="2" ht="36" hidden="0" customHeight="1">
      <x:c r="A2" s="10" t="str">
        <x:f>IF(INDEX('Listings'!$B$2:$B$169,MATCH($I2,'Listings'!$A$2:$A$169,0))="","",INDEX('Listings'!$B$2:$B$169,MATCH($I2,'Listings'!$A$2:$A$169,0)))</x:f>
        <x:v>"Avery Close " condos room available across from Centennial Campus NCSU NC State Raleigh</x:v>
      </x:c>
      <x:c r="B2" s="10" t="str">
        <x:f>IF(INDEX('Listings'!$E$2:$E$169,MATCH($I2,'Listings'!$A$2:$A$169,0))="","",INDEX('Listings'!$E$2:$E$169,MATCH($I2,'Listings'!$A$2:$A$169,0)))</x:f>
        <x:v>Per bedroom</x:v>
      </x:c>
      <x:c r="C2" s="11" t="n">
        <x:f>IF(INDEX('Listings'!$H$2:$H$169,MATCH($I2,'Listings'!$A$2:$A$169,0))="","",INDEX('Listings'!$H$2:$H$169,MATCH($I2,'Listings'!$A$2:$A$169,0)))</x:f>
        <x:v>750</x:v>
      </x:c>
      <x:c r="D2" s="11" t="n">
        <x:f>IF(INDEX('Listings'!$I$2:$I$169,MATCH($I2,'Listings'!$A$2:$A$169,0))="","",INDEX('Listings'!$I$2:$I$169,MATCH($I2,'Listings'!$A$2:$A$169,0)))</x:f>
        <x:v>750</x:v>
      </x:c>
      <x:c r="E2" s="10" t="str">
        <x:v>Usable price pair within study area.</x:v>
      </x:c>
      <x:c r="F2" s="10" t="str">
        <x:f>IF(INDEX('Listings'!$Q$2:$Q$169,MATCH($I2,'Listings'!$A$2:$A$169,0))="","",INDEX('Listings'!$Q$2:$Q$169,MATCH($I2,'Listings'!$A$2:$A$169,0)))</x:f>
        <x:v>0–1 mi</x:v>
      </x:c>
      <x:c r="G2" s="10" t="str">
        <x:f>IF(INDEX('Listings'!$S$2:$S$169,MATCH($I2,'Listings'!$A$2:$A$169,0))="","",INDEX('Listings'!$S$2:$S$169,MATCH($I2,'Listings'!$A$2:$A$169,0)))</x:f>
        <x:v>0–1 mi</x:v>
      </x:c>
      <x:c r="H2" s="10" t="str">
        <x:f>IF(INDEX('Listings'!$U$2:$U$169,MATCH($I2,'Listings'!$A$2:$A$169,0))="","",INDEX('Listings'!$U$2:$U$169,MATCH($I2,'Listings'!$A$2:$A$169,0)))</x:f>
        <x:v>&gt;1–3 mi</x:v>
      </x:c>
      <x:c r="I2" s="10" t="str">
        <x:v>ocpsnmx4w4</x:v>
      </x:c>
      <x:c r="J2" s="10" t="str">
        <x:f>IF(INDEX('Listings'!$C$2:$C$169,MATCH($I2,'Listings'!$A$2:$A$169,0))="","",INDEX('Listings'!$C$2:$C$169,MATCH($I2,'Listings'!$A$2:$A$169,0)))</x:f>
        <x:v>https://offcampus.dasa.ncsu.edu/housing/property/avery-close-condos-room-available-across-from-centennial-campus-ncsu-nc-state-raleigh/ocpsnmx4w4</x:v>
      </x:c>
      <x:c r="K2" s="10" t="str">
        <x:f>IF(INDEX('Listings'!$AG$2:$AG$169,MATCH($I2,'Listings'!$A$2:$A$169,0))="","",INDEX('Listings'!$AG$2:$AG$169,MATCH($I2,'Listings'!$A$2:$A$169,0)))</x:f>
        <x:v>Source pricing flag retained; automated consistency checks passed. This is not independent landlord verification.</x:v>
      </x:c>
    </x:row>
    <x:row r="3" ht="36" hidden="0" customHeight="1">
      <x:c r="A3" s="10" t="str">
        <x:f>IF(INDEX('Listings'!$B$2:$B$169,MATCH($I3,'Listings'!$A$2:$A$169,0))="","",INDEX('Listings'!$B$2:$B$169,MATCH($I3,'Listings'!$A$2:$A$169,0)))</x:f>
        <x:v>** WAITLIST for 2026-2027 ** 4 Bedroom, 4.5 Bathroom Unit Near NCSU Campus and Cup A Joe</x:v>
      </x:c>
      <x:c r="B3" s="10" t="str">
        <x:f>IF(INDEX('Listings'!$E$2:$E$169,MATCH($I3,'Listings'!$A$2:$A$169,0))="","",INDEX('Listings'!$E$2:$E$169,MATCH($I3,'Listings'!$A$2:$A$169,0)))</x:f>
        <x:v>Whole unit</x:v>
      </x:c>
      <x:c r="C3" s="11" t="n">
        <x:f>IF(INDEX('Listings'!$H$2:$H$169,MATCH($I3,'Listings'!$A$2:$A$169,0))="","",INDEX('Listings'!$H$2:$H$169,MATCH($I3,'Listings'!$A$2:$A$169,0)))</x:f>
        <x:v>4400</x:v>
      </x:c>
      <x:c r="D3" s="11" t="n">
        <x:f>IF(INDEX('Listings'!$I$2:$I$169,MATCH($I3,'Listings'!$A$2:$A$169,0))="","",INDEX('Listings'!$I$2:$I$169,MATCH($I3,'Listings'!$A$2:$A$169,0)))</x:f>
        <x:v>4400</x:v>
      </x:c>
      <x:c r="E3" s="10" t="str">
        <x:v>Usable price pair within study area.</x:v>
      </x:c>
      <x:c r="F3" s="10" t="str">
        <x:f>IF(INDEX('Listings'!$Q$2:$Q$169,MATCH($I3,'Listings'!$A$2:$A$169,0))="","",INDEX('Listings'!$Q$2:$Q$169,MATCH($I3,'Listings'!$A$2:$A$169,0)))</x:f>
        <x:v>0–1 mi</x:v>
      </x:c>
      <x:c r="G3" s="10" t="str">
        <x:f>IF(INDEX('Listings'!$S$2:$S$169,MATCH($I3,'Listings'!$A$2:$A$169,0))="","",INDEX('Listings'!$S$2:$S$169,MATCH($I3,'Listings'!$A$2:$A$169,0)))</x:f>
        <x:v>&gt;1–3 mi</x:v>
      </x:c>
      <x:c r="H3" s="10" t="str">
        <x:f>IF(INDEX('Listings'!$U$2:$U$169,MATCH($I3,'Listings'!$A$2:$A$169,0))="","",INDEX('Listings'!$U$2:$U$169,MATCH($I3,'Listings'!$A$2:$A$169,0)))</x:f>
        <x:v>&gt;1–3 mi</x:v>
      </x:c>
      <x:c r="I3" s="10" t="str">
        <x:v>ocp913l1z6</x:v>
      </x:c>
      <x:c r="J3" s="10" t="str">
        <x:f>IF(INDEX('Listings'!$C$2:$C$169,MATCH($I3,'Listings'!$A$2:$A$169,0))="","",INDEX('Listings'!$C$2:$C$169,MATCH($I3,'Listings'!$A$2:$A$169,0)))</x:f>
        <x:v>https://offcampus.dasa.ncsu.edu/housing/property/waitlist-for-2026-2027-4-bedroom-4-5-bathroom-unit-near-ncsu-campus-and-cup-a-joe/ocp913l1z6</x:v>
      </x:c>
      <x:c r="K3" s="10" t="str">
        <x:f>IF(INDEX('Listings'!$AG$2:$AG$169,MATCH($I3,'Listings'!$A$2:$A$169,0))="","",INDEX('Listings'!$AG$2:$AG$169,MATCH($I3,'Listings'!$A$2:$A$169,0)))</x:f>
        <x:v>Source pricing flag retained; automated consistency checks passed. This is not independent landlord verification.</x:v>
      </x:c>
    </x:row>
    <x:row r="4" ht="36" hidden="0" customHeight="1">
      <x:c r="A4" s="10" t="str">
        <x:f>IF(INDEX('Listings'!$B$2:$B$169,MATCH($I4,'Listings'!$A$2:$A$169,0))="","",INDEX('Listings'!$B$2:$B$169,MATCH($I4,'Listings'!$A$2:$A$169,0)))</x:f>
        <x:v>$300 off 1st month's rent! Spacious 3BD/2.5BA Townhome Rental available near NCSU for fall semester!</x:v>
      </x:c>
      <x:c r="B4" s="10" t="str">
        <x:f>IF(INDEX('Listings'!$E$2:$E$169,MATCH($I4,'Listings'!$A$2:$A$169,0))="","",INDEX('Listings'!$E$2:$E$169,MATCH($I4,'Listings'!$A$2:$A$169,0)))</x:f>
        <x:v>Whole unit</x:v>
      </x:c>
      <x:c r="C4" s="11" t="n">
        <x:f>IF(INDEX('Listings'!$H$2:$H$169,MATCH($I4,'Listings'!$A$2:$A$169,0))="","",INDEX('Listings'!$H$2:$H$169,MATCH($I4,'Listings'!$A$2:$A$169,0)))</x:f>
        <x:v>1800</x:v>
      </x:c>
      <x:c r="D4" s="11" t="n">
        <x:f>IF(INDEX('Listings'!$I$2:$I$169,MATCH($I4,'Listings'!$A$2:$A$169,0))="","",INDEX('Listings'!$I$2:$I$169,MATCH($I4,'Listings'!$A$2:$A$169,0)))</x:f>
        <x:v>1800</x:v>
      </x:c>
      <x:c r="E4" s="10" t="str">
        <x:v>Usable price pair within study area.</x:v>
      </x:c>
      <x:c r="F4" s="10" t="str">
        <x:f>IF(INDEX('Listings'!$Q$2:$Q$169,MATCH($I4,'Listings'!$A$2:$A$169,0))="","",INDEX('Listings'!$Q$2:$Q$169,MATCH($I4,'Listings'!$A$2:$A$169,0)))</x:f>
        <x:v>0–1 mi</x:v>
      </x:c>
      <x:c r="G4" s="10" t="str">
        <x:f>IF(INDEX('Listings'!$S$2:$S$169,MATCH($I4,'Listings'!$A$2:$A$169,0))="","",INDEX('Listings'!$S$2:$S$169,MATCH($I4,'Listings'!$A$2:$A$169,0)))</x:f>
        <x:v>&gt;1–3 mi</x:v>
      </x:c>
      <x:c r="H4" s="10" t="str">
        <x:f>IF(INDEX('Listings'!$U$2:$U$169,MATCH($I4,'Listings'!$A$2:$A$169,0))="","",INDEX('Listings'!$U$2:$U$169,MATCH($I4,'Listings'!$A$2:$A$169,0)))</x:f>
        <x:v>&gt;1–3 mi</x:v>
      </x:c>
      <x:c r="I4" s="10" t="str">
        <x:v>ocp5z7c91m</x:v>
      </x:c>
      <x:c r="J4" s="10" t="str">
        <x:f>IF(INDEX('Listings'!$C$2:$C$169,MATCH($I4,'Listings'!$A$2:$A$169,0))="","",INDEX('Listings'!$C$2:$C$169,MATCH($I4,'Listings'!$A$2:$A$169,0)))</x:f>
        <x:v>https://offcampus.dasa.ncsu.edu/housing/property/300-off-1st-months-rent-spacious-3bd-2-5ba-townhome-rental-available-near-ncsu-for-fall-semester/ocp5z7c91m</x:v>
      </x:c>
      <x:c r="K4" s="10" t="str">
        <x:f>IF(INDEX('Listings'!$AG$2:$AG$169,MATCH($I4,'Listings'!$A$2:$A$169,0))="","",INDEX('Listings'!$AG$2:$AG$169,MATCH($I4,'Listings'!$A$2:$A$169,0)))</x:f>
        <x:v>Source pricing flag retained; automated consistency checks passed. This is not independent landlord verification.</x:v>
      </x:c>
    </x:row>
    <x:row r="5" ht="36" hidden="0" customHeight="1">
      <x:c r="A5" s="10" t="str">
        <x:f>IF(INDEX('Listings'!$B$2:$B$169,MATCH($I5,'Listings'!$A$2:$A$169,0))="","",INDEX('Listings'!$B$2:$B$169,MATCH($I5,'Listings'!$A$2:$A$169,0)))</x:f>
        <x:v>$3600 saving on 2*2 Sublet at Stanhope Apartment for NC STATE</x:v>
      </x:c>
      <x:c r="B5" s="10" t="str">
        <x:f>IF(INDEX('Listings'!$E$2:$E$169,MATCH($I5,'Listings'!$A$2:$A$169,0))="","",INDEX('Listings'!$E$2:$E$169,MATCH($I5,'Listings'!$A$2:$A$169,0)))</x:f>
        <x:v>Per bedroom</x:v>
      </x:c>
      <x:c r="C5" s="11" t="n">
        <x:f>IF(INDEX('Listings'!$H$2:$H$169,MATCH($I5,'Listings'!$A$2:$A$169,0))="","",INDEX('Listings'!$H$2:$H$169,MATCH($I5,'Listings'!$A$2:$A$169,0)))</x:f>
        <x:v>550</x:v>
      </x:c>
      <x:c r="D5" s="11" t="n">
        <x:f>IF(INDEX('Listings'!$I$2:$I$169,MATCH($I5,'Listings'!$A$2:$A$169,0))="","",INDEX('Listings'!$I$2:$I$169,MATCH($I5,'Listings'!$A$2:$A$169,0)))</x:f>
        <x:v>550</x:v>
      </x:c>
      <x:c r="E5" s="10" t="str">
        <x:v>Usable price pair within study area.</x:v>
      </x:c>
      <x:c r="F5" s="10" t="str">
        <x:f>IF(INDEX('Listings'!$Q$2:$Q$169,MATCH($I5,'Listings'!$A$2:$A$169,0))="","",INDEX('Listings'!$Q$2:$Q$169,MATCH($I5,'Listings'!$A$2:$A$169,0)))</x:f>
        <x:v>0–1 mi</x:v>
      </x:c>
      <x:c r="G5" s="10" t="str">
        <x:f>IF(INDEX('Listings'!$S$2:$S$169,MATCH($I5,'Listings'!$A$2:$A$169,0))="","",INDEX('Listings'!$S$2:$S$169,MATCH($I5,'Listings'!$A$2:$A$169,0)))</x:f>
        <x:v>&gt;1–3 mi</x:v>
      </x:c>
      <x:c r="H5" s="10" t="str">
        <x:f>IF(INDEX('Listings'!$U$2:$U$169,MATCH($I5,'Listings'!$A$2:$A$169,0))="","",INDEX('Listings'!$U$2:$U$169,MATCH($I5,'Listings'!$A$2:$A$169,0)))</x:f>
        <x:v>&gt;1–3 mi</x:v>
      </x:c>
      <x:c r="I5" s="10" t="str">
        <x:v>ocpd9wnxdk</x:v>
      </x:c>
      <x:c r="J5" s="10" t="str">
        <x:f>IF(INDEX('Listings'!$C$2:$C$169,MATCH($I5,'Listings'!$A$2:$A$169,0))="","",INDEX('Listings'!$C$2:$C$169,MATCH($I5,'Listings'!$A$2:$A$169,0)))</x:f>
        <x:v>https://offcampus.dasa.ncsu.edu/housing/property/3600-saving-on-2-2-sublet-at-stanhope-apartment-for-nc-state/ocpd9wnxdk</x:v>
      </x:c>
      <x:c r="K5" s="10" t="str">
        <x:f>IF(INDEX('Listings'!$AG$2:$AG$169,MATCH($I5,'Listings'!$A$2:$A$169,0))="","",INDEX('Listings'!$AG$2:$AG$169,MATCH($I5,'Listings'!$A$2:$A$169,0)))</x:f>
        <x:v>Source pricing flag retained; automated consistency checks passed. This is not independent landlord verification.</x:v>
      </x:c>
    </x:row>
    <x:row r="6" ht="36" hidden="0" customHeight="1">
      <x:c r="A6" s="10" t="str">
        <x:f>IF(INDEX('Listings'!$B$2:$B$169,MATCH($I6,'Listings'!$A$2:$A$169,0))="","",INDEX('Listings'!$B$2:$B$169,MATCH($I6,'Listings'!$A$2:$A$169,0)))</x:f>
        <x:v>105 Friendly Drive! Furnished Room Rentals with Utilities!</x:v>
      </x:c>
      <x:c r="B6" s="10" t="str">
        <x:f>IF(INDEX('Listings'!$E$2:$E$169,MATCH($I6,'Listings'!$A$2:$A$169,0))="","",INDEX('Listings'!$E$2:$E$169,MATCH($I6,'Listings'!$A$2:$A$169,0)))</x:f>
        <x:v>Per bedroom</x:v>
      </x:c>
      <x:c r="C6" s="11" t="n">
        <x:f>IF(INDEX('Listings'!$H$2:$H$169,MATCH($I6,'Listings'!$A$2:$A$169,0))="","",INDEX('Listings'!$H$2:$H$169,MATCH($I6,'Listings'!$A$2:$A$169,0)))</x:f>
        <x:v>775</x:v>
      </x:c>
      <x:c r="D6" s="11" t="n">
        <x:f>IF(INDEX('Listings'!$I$2:$I$169,MATCH($I6,'Listings'!$A$2:$A$169,0))="","",INDEX('Listings'!$I$2:$I$169,MATCH($I6,'Listings'!$A$2:$A$169,0)))</x:f>
        <x:v>1050</x:v>
      </x:c>
      <x:c r="E6" s="10" t="str">
        <x:v>Usable price pair within study area.</x:v>
      </x:c>
      <x:c r="F6" s="10" t="str">
        <x:f>IF(INDEX('Listings'!$Q$2:$Q$169,MATCH($I6,'Listings'!$A$2:$A$169,0))="","",INDEX('Listings'!$Q$2:$Q$169,MATCH($I6,'Listings'!$A$2:$A$169,0)))</x:f>
        <x:v>0–1 mi</x:v>
      </x:c>
      <x:c r="G6" s="10" t="str">
        <x:f>IF(INDEX('Listings'!$S$2:$S$169,MATCH($I6,'Listings'!$A$2:$A$169,0))="","",INDEX('Listings'!$S$2:$S$169,MATCH($I6,'Listings'!$A$2:$A$169,0)))</x:f>
        <x:v>&gt;1–3 mi</x:v>
      </x:c>
      <x:c r="H6" s="10" t="str">
        <x:f>IF(INDEX('Listings'!$U$2:$U$169,MATCH($I6,'Listings'!$A$2:$A$169,0))="","",INDEX('Listings'!$U$2:$U$169,MATCH($I6,'Listings'!$A$2:$A$169,0)))</x:f>
        <x:v>&gt;1–3 mi</x:v>
      </x:c>
      <x:c r="I6" s="10" t="str">
        <x:v>ocphdtdgk2</x:v>
      </x:c>
      <x:c r="J6" s="10" t="str">
        <x:f>IF(INDEX('Listings'!$C$2:$C$169,MATCH($I6,'Listings'!$A$2:$A$169,0))="","",INDEX('Listings'!$C$2:$C$169,MATCH($I6,'Listings'!$A$2:$A$169,0)))</x:f>
        <x:v>https://offcampus.dasa.ncsu.edu/housing/property/105-friendly-drive-furnished-room-rentals-with-utilities/ocphdtdgk2</x:v>
      </x:c>
      <x:c r="K6" s="10" t="str">
        <x:f>IF(INDEX('Listings'!$AG$2:$AG$169,MATCH($I6,'Listings'!$A$2:$A$169,0))="","",INDEX('Listings'!$AG$2:$AG$169,MATCH($I6,'Listings'!$A$2:$A$169,0)))</x:f>
        <x:v>Source pricing flag retained; automated consistency checks passed. This is not independent landlord verification.</x:v>
      </x:c>
    </x:row>
    <x:row r="7" ht="24" hidden="0" customHeight="1">
      <x:c r="A7" s="10" t="str">
        <x:f>IF(INDEX('Listings'!$B$2:$B$169,MATCH($I7,'Listings'!$A$2:$A$169,0))="","",INDEX('Listings'!$B$2:$B$169,MATCH($I7,'Listings'!$A$2:$A$169,0)))</x:f>
        <x:v>1101 Gunnison Pl (Raleigh, NC)</x:v>
      </x:c>
      <x:c r="B7" s="10" t="str">
        <x:f>IF(INDEX('Listings'!$E$2:$E$169,MATCH($I7,'Listings'!$A$2:$A$169,0))="","",INDEX('Listings'!$E$2:$E$169,MATCH($I7,'Listings'!$A$2:$A$169,0)))</x:f>
        <x:v>Whole unit</x:v>
      </x:c>
      <x:c r="C7" s="11" t="n">
        <x:f>IF(INDEX('Listings'!$H$2:$H$169,MATCH($I7,'Listings'!$A$2:$A$169,0))="","",INDEX('Listings'!$H$2:$H$169,MATCH($I7,'Listings'!$A$2:$A$169,0)))</x:f>
        <x:v>3200</x:v>
      </x:c>
      <x:c r="D7" s="11" t="n">
        <x:f>IF(INDEX('Listings'!$I$2:$I$169,MATCH($I7,'Listings'!$A$2:$A$169,0))="","",INDEX('Listings'!$I$2:$I$169,MATCH($I7,'Listings'!$A$2:$A$169,0)))</x:f>
        <x:v>3200</x:v>
      </x:c>
      <x:c r="E7" s="10" t="str">
        <x:v>Usable price pair within study area.</x:v>
      </x:c>
      <x:c r="F7" s="10" t="str">
        <x:f>IF(INDEX('Listings'!$Q$2:$Q$169,MATCH($I7,'Listings'!$A$2:$A$169,0))="","",INDEX('Listings'!$Q$2:$Q$169,MATCH($I7,'Listings'!$A$2:$A$169,0)))</x:f>
        <x:v>&gt;3–5 mi</x:v>
      </x:c>
      <x:c r="G7" s="10" t="str">
        <x:f>IF(INDEX('Listings'!$S$2:$S$169,MATCH($I7,'Listings'!$A$2:$A$169,0))="","",INDEX('Listings'!$S$2:$S$169,MATCH($I7,'Listings'!$A$2:$A$169,0)))</x:f>
        <x:v>Outside 5 mi</x:v>
      </x:c>
      <x:c r="H7" s="10" t="str">
        <x:f>IF(INDEX('Listings'!$U$2:$U$169,MATCH($I7,'Listings'!$A$2:$A$169,0))="","",INDEX('Listings'!$U$2:$U$169,MATCH($I7,'Listings'!$A$2:$A$169,0)))</x:f>
        <x:v>&gt;3–5 mi</x:v>
      </x:c>
      <x:c r="I7" s="10" t="str">
        <x:v>51px18q</x:v>
      </x:c>
      <x:c r="J7" s="10" t="str">
        <x:f>IF(INDEX('Listings'!$C$2:$C$169,MATCH($I7,'Listings'!$A$2:$A$169,0))="","",INDEX('Listings'!$C$2:$C$169,MATCH($I7,'Listings'!$A$2:$A$169,0)))</x:f>
        <x:v>https://offcampus.dasa.ncsu.edu/housing/property/1101-gunnison-pl-raleigh-nc/51px18q</x:v>
      </x:c>
      <x:c r="K7" s="10" t="str">
        <x:f>IF(INDEX('Listings'!$AG$2:$AG$169,MATCH($I7,'Listings'!$A$2:$A$169,0))="","",INDEX('Listings'!$AG$2:$AG$169,MATCH($I7,'Listings'!$A$2:$A$169,0)))</x:f>
        <x:v>Source pricing flag retained; automated consistency checks passed. This is not independent landlord verification.</x:v>
      </x:c>
    </x:row>
    <x:row r="8" ht="24" hidden="0" customHeight="1">
      <x:c r="A8" s="10" t="str">
        <x:f>IF(INDEX('Listings'!$B$2:$B$169,MATCH($I8,'Listings'!$A$2:$A$169,0))="","",INDEX('Listings'!$B$2:$B$169,MATCH($I8,'Listings'!$A$2:$A$169,0)))</x:f>
        <x:v>1st Month FREE!</x:v>
      </x:c>
      <x:c r="B8" s="10" t="str">
        <x:f>IF(INDEX('Listings'!$E$2:$E$169,MATCH($I8,'Listings'!$A$2:$A$169,0))="","",INDEX('Listings'!$E$2:$E$169,MATCH($I8,'Listings'!$A$2:$A$169,0)))</x:f>
        <x:v>Per bedroom</x:v>
      </x:c>
      <x:c r="C8" s="11" t="n">
        <x:f>IF(INDEX('Listings'!$H$2:$H$169,MATCH($I8,'Listings'!$A$2:$A$169,0))="","",INDEX('Listings'!$H$2:$H$169,MATCH($I8,'Listings'!$A$2:$A$169,0)))</x:f>
        <x:v>625</x:v>
      </x:c>
      <x:c r="D8" s="11" t="n">
        <x:f>IF(INDEX('Listings'!$I$2:$I$169,MATCH($I8,'Listings'!$A$2:$A$169,0))="","",INDEX('Listings'!$I$2:$I$169,MATCH($I8,'Listings'!$A$2:$A$169,0)))</x:f>
        <x:v>625</x:v>
      </x:c>
      <x:c r="E8" s="10" t="str">
        <x:v>Usable price pair within study area.</x:v>
      </x:c>
      <x:c r="F8" s="10" t="str">
        <x:f>IF(INDEX('Listings'!$Q$2:$Q$169,MATCH($I8,'Listings'!$A$2:$A$169,0))="","",INDEX('Listings'!$Q$2:$Q$169,MATCH($I8,'Listings'!$A$2:$A$169,0)))</x:f>
        <x:v>&gt;1–3 mi</x:v>
      </x:c>
      <x:c r="G8" s="10" t="str">
        <x:f>IF(INDEX('Listings'!$S$2:$S$169,MATCH($I8,'Listings'!$A$2:$A$169,0))="","",INDEX('Listings'!$S$2:$S$169,MATCH($I8,'Listings'!$A$2:$A$169,0)))</x:f>
        <x:v>&gt;1–3 mi</x:v>
      </x:c>
      <x:c r="H8" s="10" t="str">
        <x:f>IF(INDEX('Listings'!$U$2:$U$169,MATCH($I8,'Listings'!$A$2:$A$169,0))="","",INDEX('Listings'!$U$2:$U$169,MATCH($I8,'Listings'!$A$2:$A$169,0)))</x:f>
        <x:v>&gt;3–5 mi</x:v>
      </x:c>
      <x:c r="I8" s="10" t="str">
        <x:v>ocpq292qyw</x:v>
      </x:c>
      <x:c r="J8" s="10" t="str">
        <x:f>IF(INDEX('Listings'!$C$2:$C$169,MATCH($I8,'Listings'!$A$2:$A$169,0))="","",INDEX('Listings'!$C$2:$C$169,MATCH($I8,'Listings'!$A$2:$A$169,0)))</x:f>
        <x:v>https://offcampus.dasa.ncsu.edu/housing/property/1st-month-free/ocpq292qyw</x:v>
      </x:c>
      <x:c r="K8" s="10" t="str">
        <x:f>IF(INDEX('Listings'!$AG$2:$AG$169,MATCH($I8,'Listings'!$A$2:$A$169,0))="","",INDEX('Listings'!$AG$2:$AG$169,MATCH($I8,'Listings'!$A$2:$A$169,0)))</x:f>
        <x:v>Source pricing flag retained; automated consistency checks passed. This is not independent landlord verification.</x:v>
      </x:c>
    </x:row>
    <x:row r="9" ht="36" hidden="0" customHeight="1">
      <x:c r="A9" s="10" t="str">
        <x:f>IF(INDEX('Listings'!$B$2:$B$169,MATCH($I9,'Listings'!$A$2:$A$169,0))="","",INDEX('Listings'!$B$2:$B$169,MATCH($I9,'Listings'!$A$2:$A$169,0)))</x:f>
        <x:v>2 blocks from central campus, 2 blocks from Village District!</x:v>
      </x:c>
      <x:c r="B9" s="10" t="str">
        <x:f>IF(INDEX('Listings'!$E$2:$E$169,MATCH($I9,'Listings'!$A$2:$A$169,0))="","",INDEX('Listings'!$E$2:$E$169,MATCH($I9,'Listings'!$A$2:$A$169,0)))</x:f>
        <x:v>Whole unit</x:v>
      </x:c>
      <x:c r="C9" s="11" t="n">
        <x:f>IF(INDEX('Listings'!$H$2:$H$169,MATCH($I9,'Listings'!$A$2:$A$169,0))="","",INDEX('Listings'!$H$2:$H$169,MATCH($I9,'Listings'!$A$2:$A$169,0)))</x:f>
        <x:v>3900</x:v>
      </x:c>
      <x:c r="D9" s="11" t="n">
        <x:f>IF(INDEX('Listings'!$I$2:$I$169,MATCH($I9,'Listings'!$A$2:$A$169,0))="","",INDEX('Listings'!$I$2:$I$169,MATCH($I9,'Listings'!$A$2:$A$169,0)))</x:f>
        <x:v>3900</x:v>
      </x:c>
      <x:c r="E9" s="10" t="str">
        <x:v>Usable price pair within study area.</x:v>
      </x:c>
      <x:c r="F9" s="10" t="str">
        <x:f>IF(INDEX('Listings'!$Q$2:$Q$169,MATCH($I9,'Listings'!$A$2:$A$169,0))="","",INDEX('Listings'!$Q$2:$Q$169,MATCH($I9,'Listings'!$A$2:$A$169,0)))</x:f>
        <x:v>&gt;1–3 mi</x:v>
      </x:c>
      <x:c r="G9" s="10" t="str">
        <x:f>IF(INDEX('Listings'!$S$2:$S$169,MATCH($I9,'Listings'!$A$2:$A$169,0))="","",INDEX('Listings'!$S$2:$S$169,MATCH($I9,'Listings'!$A$2:$A$169,0)))</x:f>
        <x:v>&gt;1–3 mi</x:v>
      </x:c>
      <x:c r="H9" s="10" t="str">
        <x:f>IF(INDEX('Listings'!$U$2:$U$169,MATCH($I9,'Listings'!$A$2:$A$169,0))="","",INDEX('Listings'!$U$2:$U$169,MATCH($I9,'Listings'!$A$2:$A$169,0)))</x:f>
        <x:v>&gt;1–3 mi</x:v>
      </x:c>
      <x:c r="I9" s="10" t="str">
        <x:v>ocp1tnqde5</x:v>
      </x:c>
      <x:c r="J9" s="10" t="str">
        <x:f>IF(INDEX('Listings'!$C$2:$C$169,MATCH($I9,'Listings'!$A$2:$A$169,0))="","",INDEX('Listings'!$C$2:$C$169,MATCH($I9,'Listings'!$A$2:$A$169,0)))</x:f>
        <x:v>https://offcampus.dasa.ncsu.edu/housing/property/2-blocks-from-central-campus-2-blocks-from-village-district/ocp1tnqde5</x:v>
      </x:c>
      <x:c r="K9" s="10" t="str">
        <x:f>IF(INDEX('Listings'!$AG$2:$AG$169,MATCH($I9,'Listings'!$A$2:$A$169,0))="","",INDEX('Listings'!$AG$2:$AG$169,MATCH($I9,'Listings'!$A$2:$A$169,0)))</x:f>
        <x:v>Source pricing flag retained; automated consistency checks passed. This is not independent landlord verification.</x:v>
      </x:c>
    </x:row>
    <x:row r="10" ht="24" hidden="0" customHeight="1">
      <x:c r="A10" s="10" t="str">
        <x:f>IF(INDEX('Listings'!$B$2:$B$169,MATCH($I10,'Listings'!$A$2:$A$169,0))="","",INDEX('Listings'!$B$2:$B$169,MATCH($I10,'Listings'!$A$2:$A$169,0)))</x:f>
        <x:v>2626 Wolf Cub Ct (Raleigh, NC)</x:v>
      </x:c>
      <x:c r="B10" s="10" t="str">
        <x:f>IF(INDEX('Listings'!$E$2:$E$169,MATCH($I10,'Listings'!$A$2:$A$169,0))="","",INDEX('Listings'!$E$2:$E$169,MATCH($I10,'Listings'!$A$2:$A$169,0)))</x:f>
        <x:v>Whole unit</x:v>
      </x:c>
      <x:c r="C10" s="11" t="n">
        <x:f>IF(INDEX('Listings'!$H$2:$H$169,MATCH($I10,'Listings'!$A$2:$A$169,0))="","",INDEX('Listings'!$H$2:$H$169,MATCH($I10,'Listings'!$A$2:$A$169,0)))</x:f>
        <x:v>1895</x:v>
      </x:c>
      <x:c r="D10" s="11" t="n">
        <x:f>IF(INDEX('Listings'!$I$2:$I$169,MATCH($I10,'Listings'!$A$2:$A$169,0))="","",INDEX('Listings'!$I$2:$I$169,MATCH($I10,'Listings'!$A$2:$A$169,0)))</x:f>
        <x:v>1895</x:v>
      </x:c>
      <x:c r="E10" s="10" t="str">
        <x:v>Usable price pair within study area.</x:v>
      </x:c>
      <x:c r="F10" s="10" t="str">
        <x:f>IF(INDEX('Listings'!$Q$2:$Q$169,MATCH($I10,'Listings'!$A$2:$A$169,0))="","",INDEX('Listings'!$Q$2:$Q$169,MATCH($I10,'Listings'!$A$2:$A$169,0)))</x:f>
        <x:v>&gt;1–3 mi</x:v>
      </x:c>
      <x:c r="G10" s="10" t="str">
        <x:f>IF(INDEX('Listings'!$S$2:$S$169,MATCH($I10,'Listings'!$A$2:$A$169,0))="","",INDEX('Listings'!$S$2:$S$169,MATCH($I10,'Listings'!$A$2:$A$169,0)))</x:f>
        <x:v>&gt;1–3 mi</x:v>
      </x:c>
      <x:c r="H10" s="10" t="str">
        <x:f>IF(INDEX('Listings'!$U$2:$U$169,MATCH($I10,'Listings'!$A$2:$A$169,0))="","",INDEX('Listings'!$U$2:$U$169,MATCH($I10,'Listings'!$A$2:$A$169,0)))</x:f>
        <x:v>&gt;3–5 mi</x:v>
      </x:c>
      <x:c r="I10" s="10" t="str">
        <x:v>dnbdmqk</x:v>
      </x:c>
      <x:c r="J10" s="10" t="str">
        <x:f>IF(INDEX('Listings'!$C$2:$C$169,MATCH($I10,'Listings'!$A$2:$A$169,0))="","",INDEX('Listings'!$C$2:$C$169,MATCH($I10,'Listings'!$A$2:$A$169,0)))</x:f>
        <x:v>https://offcampus.dasa.ncsu.edu/housing/property/2626-wolf-cub-ct-raleigh-nc/dnbdmqk</x:v>
      </x:c>
      <x:c r="K10" s="10" t="str">
        <x:f>IF(INDEX('Listings'!$AG$2:$AG$169,MATCH($I10,'Listings'!$A$2:$A$169,0))="","",INDEX('Listings'!$AG$2:$AG$169,MATCH($I10,'Listings'!$A$2:$A$169,0)))</x:f>
        <x:v>Source pricing flag retained; automated consistency checks passed. This is not independent landlord verification.</x:v>
      </x:c>
    </x:row>
    <x:row r="11" ht="24" hidden="0" customHeight="1">
      <x:c r="A11" s="10" t="str">
        <x:f>IF(INDEX('Listings'!$B$2:$B$169,MATCH($I11,'Listings'!$A$2:$A$169,0))="","",INDEX('Listings'!$B$2:$B$169,MATCH($I11,'Listings'!$A$2:$A$169,0)))</x:f>
        <x:v>2810 Crestscene Trail (Raleigh, NC)</x:v>
      </x:c>
      <x:c r="B11" s="10" t="str">
        <x:f>IF(INDEX('Listings'!$E$2:$E$169,MATCH($I11,'Listings'!$A$2:$A$169,0))="","",INDEX('Listings'!$E$2:$E$169,MATCH($I11,'Listings'!$A$2:$A$169,0)))</x:f>
        <x:v>Whole unit</x:v>
      </x:c>
      <x:c r="C11" s="11" t="n">
        <x:f>IF(INDEX('Listings'!$H$2:$H$169,MATCH($I11,'Listings'!$A$2:$A$169,0))="","",INDEX('Listings'!$H$2:$H$169,MATCH($I11,'Listings'!$A$2:$A$169,0)))</x:f>
        <x:v>2500</x:v>
      </x:c>
      <x:c r="D11" s="11" t="n">
        <x:f>IF(INDEX('Listings'!$I$2:$I$169,MATCH($I11,'Listings'!$A$2:$A$169,0))="","",INDEX('Listings'!$I$2:$I$169,MATCH($I11,'Listings'!$A$2:$A$169,0)))</x:f>
        <x:v>2500</x:v>
      </x:c>
      <x:c r="E11" s="10" t="str">
        <x:v>Usable price pair within study area.</x:v>
      </x:c>
      <x:c r="F11" s="10" t="str">
        <x:f>IF(INDEX('Listings'!$Q$2:$Q$169,MATCH($I11,'Listings'!$A$2:$A$169,0))="","",INDEX('Listings'!$Q$2:$Q$169,MATCH($I11,'Listings'!$A$2:$A$169,0)))</x:f>
        <x:v>&gt;1–3 mi</x:v>
      </x:c>
      <x:c r="G11" s="10" t="str">
        <x:f>IF(INDEX('Listings'!$S$2:$S$169,MATCH($I11,'Listings'!$A$2:$A$169,0))="","",INDEX('Listings'!$S$2:$S$169,MATCH($I11,'Listings'!$A$2:$A$169,0)))</x:f>
        <x:v>&gt;1–3 mi</x:v>
      </x:c>
      <x:c r="H11" s="10" t="str">
        <x:f>IF(INDEX('Listings'!$U$2:$U$169,MATCH($I11,'Listings'!$A$2:$A$169,0))="","",INDEX('Listings'!$U$2:$U$169,MATCH($I11,'Listings'!$A$2:$A$169,0)))</x:f>
        <x:v>&gt;3–5 mi</x:v>
      </x:c>
      <x:c r="I11" s="10" t="str">
        <x:v>6lbm6br</x:v>
      </x:c>
      <x:c r="J11" s="10" t="str">
        <x:f>IF(INDEX('Listings'!$C$2:$C$169,MATCH($I11,'Listings'!$A$2:$A$169,0))="","",INDEX('Listings'!$C$2:$C$169,MATCH($I11,'Listings'!$A$2:$A$169,0)))</x:f>
        <x:v>https://offcampus.dasa.ncsu.edu/housing/property/2810-crestscene-trail-raleigh-nc/6lbm6br</x:v>
      </x:c>
      <x:c r="K11" s="10" t="str">
        <x:f>IF(INDEX('Listings'!$AG$2:$AG$169,MATCH($I11,'Listings'!$A$2:$A$169,0))="","",INDEX('Listings'!$AG$2:$AG$169,MATCH($I11,'Listings'!$A$2:$A$169,0)))</x:f>
        <x:v>Source pricing flag retained; automated consistency checks passed. This is not independent landlord verification.</x:v>
      </x:c>
    </x:row>
    <x:row r="12" ht="24" hidden="0" customHeight="1">
      <x:c r="A12" s="10" t="str">
        <x:f>IF(INDEX('Listings'!$B$2:$B$169,MATCH($I12,'Listings'!$A$2:$A$169,0))="","",INDEX('Listings'!$B$2:$B$169,MATCH($I12,'Listings'!$A$2:$A$169,0)))</x:f>
        <x:v>2850 Sanderford Rd (Raleigh, NC)</x:v>
      </x:c>
      <x:c r="B12" s="10" t="str">
        <x:f>IF(INDEX('Listings'!$E$2:$E$169,MATCH($I12,'Listings'!$A$2:$A$169,0))="","",INDEX('Listings'!$E$2:$E$169,MATCH($I12,'Listings'!$A$2:$A$169,0)))</x:f>
        <x:v>Per bedroom</x:v>
      </x:c>
      <x:c r="C12" s="11" t="n">
        <x:f>IF(INDEX('Listings'!$H$2:$H$169,MATCH($I12,'Listings'!$A$2:$A$169,0))="","",INDEX('Listings'!$H$2:$H$169,MATCH($I12,'Listings'!$A$2:$A$169,0)))</x:f>
        <x:v>650</x:v>
      </x:c>
      <x:c r="D12" s="11" t="n">
        <x:f>IF(INDEX('Listings'!$I$2:$I$169,MATCH($I12,'Listings'!$A$2:$A$169,0))="","",INDEX('Listings'!$I$2:$I$169,MATCH($I12,'Listings'!$A$2:$A$169,0)))</x:f>
        <x:v>650</x:v>
      </x:c>
      <x:c r="E12" s="10" t="str">
        <x:v>Kept after room/per-bedroom correction.</x:v>
      </x:c>
      <x:c r="F12" s="10" t="str">
        <x:f>IF(INDEX('Listings'!$Q$2:$Q$169,MATCH($I12,'Listings'!$A$2:$A$169,0))="","",INDEX('Listings'!$Q$2:$Q$169,MATCH($I12,'Listings'!$A$2:$A$169,0)))</x:f>
        <x:v>&gt;3–5 mi</x:v>
      </x:c>
      <x:c r="G12" s="10" t="str">
        <x:f>IF(INDEX('Listings'!$S$2:$S$169,MATCH($I12,'Listings'!$A$2:$A$169,0))="","",INDEX('Listings'!$S$2:$S$169,MATCH($I12,'Listings'!$A$2:$A$169,0)))</x:f>
        <x:v>&gt;3–5 mi</x:v>
      </x:c>
      <x:c r="H12" s="10" t="str">
        <x:f>IF(INDEX('Listings'!$U$2:$U$169,MATCH($I12,'Listings'!$A$2:$A$169,0))="","",INDEX('Listings'!$U$2:$U$169,MATCH($I12,'Listings'!$A$2:$A$169,0)))</x:f>
        <x:v>Outside 5 mi</x:v>
      </x:c>
      <x:c r="I12" s="10" t="str">
        <x:v>lpl9fce</x:v>
      </x:c>
      <x:c r="J12" s="10" t="str">
        <x:f>IF(INDEX('Listings'!$C$2:$C$169,MATCH($I12,'Listings'!$A$2:$A$169,0))="","",INDEX('Listings'!$C$2:$C$169,MATCH($I12,'Listings'!$A$2:$A$169,0)))</x:f>
        <x:v>https://offcampus.dasa.ncsu.edu/housing/property/2850-sanderford-rd-raleigh-nc/lpl9fce</x:v>
      </x:c>
      <x:c r="K12" s="10" t="str">
        <x:f>IF(INDEX('Listings'!$AG$2:$AG$169,MATCH($I12,'Listings'!$A$2:$A$169,0))="","",INDEX('Listings'!$AG$2:$AG$169,MATCH($I12,'Listings'!$A$2:$A$169,0)))</x:f>
        <x:v>September 13 source description identifies a room in a five-bedroom house with shared kitchen/bathroom. Reclassified as room/per-bedroom; September 9 price retained.</x:v>
      </x:c>
    </x:row>
    <x:row r="13" ht="36" hidden="0" customHeight="1">
      <x:c r="A13" s="10" t="str">
        <x:f>IF(INDEX('Listings'!$B$2:$B$169,MATCH($I13,'Listings'!$A$2:$A$169,0))="","",INDEX('Listings'!$B$2:$B$169,MATCH($I13,'Listings'!$A$2:$A$169,0)))</x:f>
        <x:v>3 bedroom home close to campus and downtown Raleigh(Utilities included)</x:v>
      </x:c>
      <x:c r="B13" s="10" t="str">
        <x:f>IF(INDEX('Listings'!$E$2:$E$169,MATCH($I13,'Listings'!$A$2:$A$169,0))="","",INDEX('Listings'!$E$2:$E$169,MATCH($I13,'Listings'!$A$2:$A$169,0)))</x:f>
        <x:v>Whole unit</x:v>
      </x:c>
      <x:c r="C13" s="11" t="n">
        <x:f>IF(INDEX('Listings'!$H$2:$H$169,MATCH($I13,'Listings'!$A$2:$A$169,0))="","",INDEX('Listings'!$H$2:$H$169,MATCH($I13,'Listings'!$A$2:$A$169,0)))</x:f>
        <x:v>2000</x:v>
      </x:c>
      <x:c r="D13" s="11" t="n">
        <x:f>IF(INDEX('Listings'!$I$2:$I$169,MATCH($I13,'Listings'!$A$2:$A$169,0))="","",INDEX('Listings'!$I$2:$I$169,MATCH($I13,'Listings'!$A$2:$A$169,0)))</x:f>
        <x:v>2000</x:v>
      </x:c>
      <x:c r="E13" s="10" t="str">
        <x:v>Usable price pair within study area.</x:v>
      </x:c>
      <x:c r="F13" s="10" t="str">
        <x:f>IF(INDEX('Listings'!$Q$2:$Q$169,MATCH($I13,'Listings'!$A$2:$A$169,0))="","",INDEX('Listings'!$Q$2:$Q$169,MATCH($I13,'Listings'!$A$2:$A$169,0)))</x:f>
        <x:v>&gt;3–5 mi</x:v>
      </x:c>
      <x:c r="G13" s="10" t="str">
        <x:f>IF(INDEX('Listings'!$S$2:$S$169,MATCH($I13,'Listings'!$A$2:$A$169,0))="","",INDEX('Listings'!$S$2:$S$169,MATCH($I13,'Listings'!$A$2:$A$169,0)))</x:f>
        <x:v>&gt;3–5 mi</x:v>
      </x:c>
      <x:c r="H13" s="10" t="str">
        <x:f>IF(INDEX('Listings'!$U$2:$U$169,MATCH($I13,'Listings'!$A$2:$A$169,0))="","",INDEX('Listings'!$U$2:$U$169,MATCH($I13,'Listings'!$A$2:$A$169,0)))</x:f>
        <x:v>Outside 5 mi</x:v>
      </x:c>
      <x:c r="I13" s="10" t="str">
        <x:v>ocpn54lxfn</x:v>
      </x:c>
      <x:c r="J13" s="10" t="str">
        <x:f>IF(INDEX('Listings'!$C$2:$C$169,MATCH($I13,'Listings'!$A$2:$A$169,0))="","",INDEX('Listings'!$C$2:$C$169,MATCH($I13,'Listings'!$A$2:$A$169,0)))</x:f>
        <x:v>https://offcampus.dasa.ncsu.edu/housing/property/3-bedroom-home-close-to-campus-and-downtown-raleigh-utilities-included/ocpn54lxfn</x:v>
      </x:c>
      <x:c r="K13" s="10" t="str">
        <x:f>IF(INDEX('Listings'!$AG$2:$AG$169,MATCH($I13,'Listings'!$A$2:$A$169,0))="","",INDEX('Listings'!$AG$2:$AG$169,MATCH($I13,'Listings'!$A$2:$A$169,0)))</x:f>
        <x:v>Source pricing flag retained; automated consistency checks passed. This is not independent landlord verification.</x:v>
      </x:c>
    </x:row>
    <x:row r="14" ht="36" hidden="0" customHeight="1">
      <x:c r="A14" s="10" t="str">
        <x:f>IF(INDEX('Listings'!$B$2:$B$169,MATCH($I14,'Listings'!$A$2:$A$169,0))="","",INDEX('Listings'!$B$2:$B$169,MATCH($I14,'Listings'!$A$2:$A$169,0)))</x:f>
        <x:v>4BD/3.5BA townhome near NCSU &amp; Downtown Raleigh available August 2026!</x:v>
      </x:c>
      <x:c r="B14" s="10" t="str">
        <x:f>IF(INDEX('Listings'!$E$2:$E$169,MATCH($I14,'Listings'!$A$2:$A$169,0))="","",INDEX('Listings'!$E$2:$E$169,MATCH($I14,'Listings'!$A$2:$A$169,0)))</x:f>
        <x:v>Whole unit</x:v>
      </x:c>
      <x:c r="C14" s="11" t="n">
        <x:f>IF(INDEX('Listings'!$H$2:$H$169,MATCH($I14,'Listings'!$A$2:$A$169,0))="","",INDEX('Listings'!$H$2:$H$169,MATCH($I14,'Listings'!$A$2:$A$169,0)))</x:f>
        <x:v>2200</x:v>
      </x:c>
      <x:c r="D14" s="11" t="n">
        <x:f>IF(INDEX('Listings'!$I$2:$I$169,MATCH($I14,'Listings'!$A$2:$A$169,0))="","",INDEX('Listings'!$I$2:$I$169,MATCH($I14,'Listings'!$A$2:$A$169,0)))</x:f>
        <x:v>2200</x:v>
      </x:c>
      <x:c r="E14" s="10" t="str">
        <x:v>Usable price pair within study area.</x:v>
      </x:c>
      <x:c r="F14" s="10" t="str">
        <x:f>IF(INDEX('Listings'!$Q$2:$Q$169,MATCH($I14,'Listings'!$A$2:$A$169,0))="","",INDEX('Listings'!$Q$2:$Q$169,MATCH($I14,'Listings'!$A$2:$A$169,0)))</x:f>
        <x:v>0–1 mi</x:v>
      </x:c>
      <x:c r="G14" s="10" t="str">
        <x:f>IF(INDEX('Listings'!$S$2:$S$169,MATCH($I14,'Listings'!$A$2:$A$169,0))="","",INDEX('Listings'!$S$2:$S$169,MATCH($I14,'Listings'!$A$2:$A$169,0)))</x:f>
        <x:v>0–1 mi</x:v>
      </x:c>
      <x:c r="H14" s="10" t="str">
        <x:f>IF(INDEX('Listings'!$U$2:$U$169,MATCH($I14,'Listings'!$A$2:$A$169,0))="","",INDEX('Listings'!$U$2:$U$169,MATCH($I14,'Listings'!$A$2:$A$169,0)))</x:f>
        <x:v>&gt;1–3 mi</x:v>
      </x:c>
      <x:c r="I14" s="10" t="str">
        <x:v>ocpjh4j574</x:v>
      </x:c>
      <x:c r="J14" s="10" t="str">
        <x:f>IF(INDEX('Listings'!$C$2:$C$169,MATCH($I14,'Listings'!$A$2:$A$169,0))="","",INDEX('Listings'!$C$2:$C$169,MATCH($I14,'Listings'!$A$2:$A$169,0)))</x:f>
        <x:v>https://offcampus.dasa.ncsu.edu/housing/property/4bd-3-5ba-townhome-near-ncsu-and-downtown-raleigh-available-august-2026/ocpjh4j574</x:v>
      </x:c>
      <x:c r="K14" s="10" t="str">
        <x:f>IF(INDEX('Listings'!$AG$2:$AG$169,MATCH($I14,'Listings'!$A$2:$A$169,0))="","",INDEX('Listings'!$AG$2:$AG$169,MATCH($I14,'Listings'!$A$2:$A$169,0)))</x:f>
        <x:v>Source pricing flag retained; automated consistency checks passed. This is not independent landlord verification.</x:v>
      </x:c>
    </x:row>
    <x:row r="15" ht="24" hidden="0" customHeight="1">
      <x:c r="A15" s="10" t="str">
        <x:f>IF(INDEX('Listings'!$B$2:$B$169,MATCH($I15,'Listings'!$A$2:$A$169,0))="","",INDEX('Listings'!$B$2:$B$169,MATCH($I15,'Listings'!$A$2:$A$169,0)))</x:f>
        <x:v>4bed 4bath Apartment Near Centennial Campus</x:v>
      </x:c>
      <x:c r="B15" s="10" t="str">
        <x:f>IF(INDEX('Listings'!$E$2:$E$169,MATCH($I15,'Listings'!$A$2:$A$169,0))="","",INDEX('Listings'!$E$2:$E$169,MATCH($I15,'Listings'!$A$2:$A$169,0)))</x:f>
        <x:v>Per bedroom</x:v>
      </x:c>
      <x:c r="C15" s="11" t="n">
        <x:f>IF(INDEX('Listings'!$H$2:$H$169,MATCH($I15,'Listings'!$A$2:$A$169,0))="","",INDEX('Listings'!$H$2:$H$169,MATCH($I15,'Listings'!$A$2:$A$169,0)))</x:f>
        <x:v>725</x:v>
      </x:c>
      <x:c r="D15" s="11" t="n">
        <x:f>IF(INDEX('Listings'!$I$2:$I$169,MATCH($I15,'Listings'!$A$2:$A$169,0))="","",INDEX('Listings'!$I$2:$I$169,MATCH($I15,'Listings'!$A$2:$A$169,0)))</x:f>
        <x:v>725</x:v>
      </x:c>
      <x:c r="E15" s="10" t="str">
        <x:v>Usable price pair within study area.</x:v>
      </x:c>
      <x:c r="F15" s="10" t="str">
        <x:f>IF(INDEX('Listings'!$Q$2:$Q$169,MATCH($I15,'Listings'!$A$2:$A$169,0))="","",INDEX('Listings'!$Q$2:$Q$169,MATCH($I15,'Listings'!$A$2:$A$169,0)))</x:f>
        <x:v>&gt;1–3 mi</x:v>
      </x:c>
      <x:c r="G15" s="10" t="str">
        <x:f>IF(INDEX('Listings'!$S$2:$S$169,MATCH($I15,'Listings'!$A$2:$A$169,0))="","",INDEX('Listings'!$S$2:$S$169,MATCH($I15,'Listings'!$A$2:$A$169,0)))</x:f>
        <x:v>&gt;1–3 mi</x:v>
      </x:c>
      <x:c r="H15" s="10" t="str">
        <x:f>IF(INDEX('Listings'!$U$2:$U$169,MATCH($I15,'Listings'!$A$2:$A$169,0))="","",INDEX('Listings'!$U$2:$U$169,MATCH($I15,'Listings'!$A$2:$A$169,0)))</x:f>
        <x:v>&gt;1–3 mi</x:v>
      </x:c>
      <x:c r="I15" s="10" t="str">
        <x:v>ocpsq86tm4</x:v>
      </x:c>
      <x:c r="J15" s="10" t="str">
        <x:f>IF(INDEX('Listings'!$C$2:$C$169,MATCH($I15,'Listings'!$A$2:$A$169,0))="","",INDEX('Listings'!$C$2:$C$169,MATCH($I15,'Listings'!$A$2:$A$169,0)))</x:f>
        <x:v>https://offcampus.dasa.ncsu.edu/housing/property/4bed-4bath-apartment-near-centennial-campus/ocpsq86tm4</x:v>
      </x:c>
      <x:c r="K15" s="10" t="str">
        <x:f>IF(INDEX('Listings'!$AG$2:$AG$169,MATCH($I15,'Listings'!$A$2:$A$169,0))="","",INDEX('Listings'!$AG$2:$AG$169,MATCH($I15,'Listings'!$A$2:$A$169,0)))</x:f>
        <x:v>Source pricing flag retained; automated consistency checks passed. This is not independent landlord verification.</x:v>
      </x:c>
    </x:row>
    <x:row r="16" ht="36" hidden="0" customHeight="1">
      <x:c r="A16" s="10" t="str">
        <x:f>IF(INDEX('Listings'!$B$2:$B$169,MATCH($I16,'Listings'!$A$2:$A$169,0))="","",INDEX('Listings'!$B$2:$B$169,MATCH($I16,'Listings'!$A$2:$A$169,0)))</x:f>
        <x:v>4BR/4BA Condo| On Wolfline | Preleasing 27-28 Special $850 Util/Parking Incld | Mile to Campus</x:v>
      </x:c>
      <x:c r="B16" s="10" t="str">
        <x:f>IF(INDEX('Listings'!$E$2:$E$169,MATCH($I16,'Listings'!$A$2:$A$169,0))="","",INDEX('Listings'!$E$2:$E$169,MATCH($I16,'Listings'!$A$2:$A$169,0)))</x:f>
        <x:v>Per bedroom</x:v>
      </x:c>
      <x:c r="C16" s="11" t="n">
        <x:f>IF(INDEX('Listings'!$H$2:$H$169,MATCH($I16,'Listings'!$A$2:$A$169,0))="","",INDEX('Listings'!$H$2:$H$169,MATCH($I16,'Listings'!$A$2:$A$169,0)))</x:f>
        <x:v>875</x:v>
      </x:c>
      <x:c r="D16" s="11" t="n">
        <x:f>IF(INDEX('Listings'!$I$2:$I$169,MATCH($I16,'Listings'!$A$2:$A$169,0))="","",INDEX('Listings'!$I$2:$I$169,MATCH($I16,'Listings'!$A$2:$A$169,0)))</x:f>
        <x:v>875</x:v>
      </x:c>
      <x:c r="E16" s="10" t="str">
        <x:v>Usable price pair within study area.</x:v>
      </x:c>
      <x:c r="F16" s="10" t="str">
        <x:f>IF(INDEX('Listings'!$Q$2:$Q$169,MATCH($I16,'Listings'!$A$2:$A$169,0))="","",INDEX('Listings'!$Q$2:$Q$169,MATCH($I16,'Listings'!$A$2:$A$169,0)))</x:f>
        <x:v>0–1 mi</x:v>
      </x:c>
      <x:c r="G16" s="10" t="str">
        <x:f>IF(INDEX('Listings'!$S$2:$S$169,MATCH($I16,'Listings'!$A$2:$A$169,0))="","",INDEX('Listings'!$S$2:$S$169,MATCH($I16,'Listings'!$A$2:$A$169,0)))</x:f>
        <x:v>0–1 mi</x:v>
      </x:c>
      <x:c r="H16" s="10" t="str">
        <x:f>IF(INDEX('Listings'!$U$2:$U$169,MATCH($I16,'Listings'!$A$2:$A$169,0))="","",INDEX('Listings'!$U$2:$U$169,MATCH($I16,'Listings'!$A$2:$A$169,0)))</x:f>
        <x:v>&gt;1–3 mi</x:v>
      </x:c>
      <x:c r="I16" s="10" t="str">
        <x:v>ocpxdxd79p</x:v>
      </x:c>
      <x:c r="J16" s="10" t="str">
        <x:f>IF(INDEX('Listings'!$C$2:$C$169,MATCH($I16,'Listings'!$A$2:$A$169,0))="","",INDEX('Listings'!$C$2:$C$169,MATCH($I16,'Listings'!$A$2:$A$169,0)))</x:f>
        <x:v>https://offcampus.dasa.ncsu.edu/housing/property/4br-4ba-condo-on-wolfline-preleasing-27-28-special-850-util-parking-incld-mile-to-campus/ocpxdxd79p</x:v>
      </x:c>
      <x:c r="K16" s="10" t="str">
        <x:f>IF(INDEX('Listings'!$AG$2:$AG$169,MATCH($I16,'Listings'!$A$2:$A$169,0))="","",INDEX('Listings'!$AG$2:$AG$169,MATCH($I16,'Listings'!$A$2:$A$169,0)))</x:f>
        <x:v>Source pricing flag retained; automated consistency checks passed. This is not independent landlord verification.</x:v>
      </x:c>
    </x:row>
    <x:row r="17" ht="36" hidden="0" customHeight="1">
      <x:c r="A17" s="10" t="str">
        <x:f>IF(INDEX('Listings'!$B$2:$B$169,MATCH($I17,'Listings'!$A$2:$A$169,0))="","",INDEX('Listings'!$B$2:$B$169,MATCH($I17,'Listings'!$A$2:$A$169,0)))</x:f>
        <x:v>5 bedroom 5 full Bath luxury house with 1Gig AT&amp;T Fiber and 1 free parking space per bedroom</x:v>
      </x:c>
      <x:c r="B17" s="10" t="str">
        <x:f>IF(INDEX('Listings'!$E$2:$E$169,MATCH($I17,'Listings'!$A$2:$A$169,0))="","",INDEX('Listings'!$E$2:$E$169,MATCH($I17,'Listings'!$A$2:$A$169,0)))</x:f>
        <x:v>Whole unit</x:v>
      </x:c>
      <x:c r="C17" s="11" t="n">
        <x:f>IF(INDEX('Listings'!$H$2:$H$169,MATCH($I17,'Listings'!$A$2:$A$169,0))="","",INDEX('Listings'!$H$2:$H$169,MATCH($I17,'Listings'!$A$2:$A$169,0)))</x:f>
        <x:v>6000</x:v>
      </x:c>
      <x:c r="D17" s="11" t="n">
        <x:f>IF(INDEX('Listings'!$I$2:$I$169,MATCH($I17,'Listings'!$A$2:$A$169,0))="","",INDEX('Listings'!$I$2:$I$169,MATCH($I17,'Listings'!$A$2:$A$169,0)))</x:f>
        <x:v>6000</x:v>
      </x:c>
      <x:c r="E17" s="10" t="str">
        <x:v>Usable price pair within study area.</x:v>
      </x:c>
      <x:c r="F17" s="10" t="str">
        <x:f>IF(INDEX('Listings'!$Q$2:$Q$169,MATCH($I17,'Listings'!$A$2:$A$169,0))="","",INDEX('Listings'!$Q$2:$Q$169,MATCH($I17,'Listings'!$A$2:$A$169,0)))</x:f>
        <x:v>&gt;1–3 mi</x:v>
      </x:c>
      <x:c r="G17" s="10" t="str">
        <x:f>IF(INDEX('Listings'!$S$2:$S$169,MATCH($I17,'Listings'!$A$2:$A$169,0))="","",INDEX('Listings'!$S$2:$S$169,MATCH($I17,'Listings'!$A$2:$A$169,0)))</x:f>
        <x:v>&gt;1–3 mi</x:v>
      </x:c>
      <x:c r="H17" s="10" t="str">
        <x:f>IF(INDEX('Listings'!$U$2:$U$169,MATCH($I17,'Listings'!$A$2:$A$169,0))="","",INDEX('Listings'!$U$2:$U$169,MATCH($I17,'Listings'!$A$2:$A$169,0)))</x:f>
        <x:v>0–1 mi</x:v>
      </x:c>
      <x:c r="I17" s="10" t="str">
        <x:v>ocp032vj21</x:v>
      </x:c>
      <x:c r="J17" s="10" t="str">
        <x:f>IF(INDEX('Listings'!$C$2:$C$169,MATCH($I17,'Listings'!$A$2:$A$169,0))="","",INDEX('Listings'!$C$2:$C$169,MATCH($I17,'Listings'!$A$2:$A$169,0)))</x:f>
        <x:v>https://offcampus.dasa.ncsu.edu/housing/property/5-bedroom-5-full-bath-luxury-house-with-1gig-at-and-t-fiber-and-1-free-parking-space-per-bedroom/ocp032vj21</x:v>
      </x:c>
      <x:c r="K17" s="10" t="str">
        <x:f>IF(INDEX('Listings'!$AG$2:$AG$169,MATCH($I17,'Listings'!$A$2:$A$169,0))="","",INDEX('Listings'!$AG$2:$AG$169,MATCH($I17,'Listings'!$A$2:$A$169,0)))</x:f>
        <x:v>Source pricing flag retained; automated consistency checks passed. This is not independent landlord verification.</x:v>
      </x:c>
    </x:row>
    <x:row r="18" ht="24" hidden="0" customHeight="1">
      <x:c r="A18" s="10" t="str">
        <x:f>IF(INDEX('Listings'!$B$2:$B$169,MATCH($I18,'Listings'!$A$2:$A$169,0))="","",INDEX('Listings'!$B$2:$B$169,MATCH($I18,'Listings'!$A$2:$A$169,0)))</x:f>
        <x:v>5 bedroom townhome available near NC State</x:v>
      </x:c>
      <x:c r="B18" s="10" t="str">
        <x:f>IF(INDEX('Listings'!$E$2:$E$169,MATCH($I18,'Listings'!$A$2:$A$169,0))="","",INDEX('Listings'!$E$2:$E$169,MATCH($I18,'Listings'!$A$2:$A$169,0)))</x:f>
        <x:v>Per bedroom</x:v>
      </x:c>
      <x:c r="C18" s="11" t="n">
        <x:f>IF(INDEX('Listings'!$H$2:$H$169,MATCH($I18,'Listings'!$A$2:$A$169,0))="","",INDEX('Listings'!$H$2:$H$169,MATCH($I18,'Listings'!$A$2:$A$169,0)))</x:f>
        <x:v>650</x:v>
      </x:c>
      <x:c r="D18" s="11" t="n">
        <x:f>IF(INDEX('Listings'!$I$2:$I$169,MATCH($I18,'Listings'!$A$2:$A$169,0))="","",INDEX('Listings'!$I$2:$I$169,MATCH($I18,'Listings'!$A$2:$A$169,0)))</x:f>
        <x:v>650</x:v>
      </x:c>
      <x:c r="E18" s="10" t="str">
        <x:v>Usable price pair within study area.</x:v>
      </x:c>
      <x:c r="F18" s="10" t="str">
        <x:f>IF(INDEX('Listings'!$Q$2:$Q$169,MATCH($I18,'Listings'!$A$2:$A$169,0))="","",INDEX('Listings'!$Q$2:$Q$169,MATCH($I18,'Listings'!$A$2:$A$169,0)))</x:f>
        <x:v>&gt;1–3 mi</x:v>
      </x:c>
      <x:c r="G18" s="10" t="str">
        <x:f>IF(INDEX('Listings'!$S$2:$S$169,MATCH($I18,'Listings'!$A$2:$A$169,0))="","",INDEX('Listings'!$S$2:$S$169,MATCH($I18,'Listings'!$A$2:$A$169,0)))</x:f>
        <x:v>&gt;1–3 mi</x:v>
      </x:c>
      <x:c r="H18" s="10" t="str">
        <x:f>IF(INDEX('Listings'!$U$2:$U$169,MATCH($I18,'Listings'!$A$2:$A$169,0))="","",INDEX('Listings'!$U$2:$U$169,MATCH($I18,'Listings'!$A$2:$A$169,0)))</x:f>
        <x:v>&gt;3–5 mi</x:v>
      </x:c>
      <x:c r="I18" s="10" t="str">
        <x:v>ocppbmmgnt</x:v>
      </x:c>
      <x:c r="J18" s="10" t="str">
        <x:f>IF(INDEX('Listings'!$C$2:$C$169,MATCH($I18,'Listings'!$A$2:$A$169,0))="","",INDEX('Listings'!$C$2:$C$169,MATCH($I18,'Listings'!$A$2:$A$169,0)))</x:f>
        <x:v>https://offcampus.dasa.ncsu.edu/housing/property/5-bedroom-townhome-available-near-nc-state/ocppbmmgnt</x:v>
      </x:c>
      <x:c r="K18" s="10" t="str">
        <x:f>IF(INDEX('Listings'!$AG$2:$AG$169,MATCH($I18,'Listings'!$A$2:$A$169,0))="","",INDEX('Listings'!$AG$2:$AG$169,MATCH($I18,'Listings'!$A$2:$A$169,0)))</x:f>
        <x:v>Source pricing flag retained; automated consistency checks passed. This is not independent landlord verification.</x:v>
      </x:c>
    </x:row>
    <x:row r="19" ht="24" hidden="0" customHeight="1">
      <x:c r="A19" s="10" t="str">
        <x:f>IF(INDEX('Listings'!$B$2:$B$169,MATCH($I19,'Listings'!$A$2:$A$169,0))="","",INDEX('Listings'!$B$2:$B$169,MATCH($I19,'Listings'!$A$2:$A$169,0)))</x:f>
        <x:v>591 E Cabarrus St (Raleigh, NC)</x:v>
      </x:c>
      <x:c r="B19" s="10" t="str">
        <x:f>IF(INDEX('Listings'!$E$2:$E$169,MATCH($I19,'Listings'!$A$2:$A$169,0))="","",INDEX('Listings'!$E$2:$E$169,MATCH($I19,'Listings'!$A$2:$A$169,0)))</x:f>
        <x:v>Whole unit</x:v>
      </x:c>
      <x:c r="C19" s="11" t="n">
        <x:f>IF(INDEX('Listings'!$H$2:$H$169,MATCH($I19,'Listings'!$A$2:$A$169,0))="","",INDEX('Listings'!$H$2:$H$169,MATCH($I19,'Listings'!$A$2:$A$169,0)))</x:f>
        <x:v>2600</x:v>
      </x:c>
      <x:c r="D19" s="11" t="n">
        <x:f>IF(INDEX('Listings'!$I$2:$I$169,MATCH($I19,'Listings'!$A$2:$A$169,0))="","",INDEX('Listings'!$I$2:$I$169,MATCH($I19,'Listings'!$A$2:$A$169,0)))</x:f>
        <x:v>2600</x:v>
      </x:c>
      <x:c r="E19" s="10" t="str">
        <x:v>Usable price pair within study area.</x:v>
      </x:c>
      <x:c r="F19" s="10" t="str">
        <x:f>IF(INDEX('Listings'!$Q$2:$Q$169,MATCH($I19,'Listings'!$A$2:$A$169,0))="","",INDEX('Listings'!$Q$2:$Q$169,MATCH($I19,'Listings'!$A$2:$A$169,0)))</x:f>
        <x:v>&gt;3–5 mi</x:v>
      </x:c>
      <x:c r="G19" s="10" t="str">
        <x:f>IF(INDEX('Listings'!$S$2:$S$169,MATCH($I19,'Listings'!$A$2:$A$169,0))="","",INDEX('Listings'!$S$2:$S$169,MATCH($I19,'Listings'!$A$2:$A$169,0)))</x:f>
        <x:v>&gt;1–3 mi</x:v>
      </x:c>
      <x:c r="H19" s="10" t="str">
        <x:f>IF(INDEX('Listings'!$U$2:$U$169,MATCH($I19,'Listings'!$A$2:$A$169,0))="","",INDEX('Listings'!$U$2:$U$169,MATCH($I19,'Listings'!$A$2:$A$169,0)))</x:f>
        <x:v>&gt;3–5 mi</x:v>
      </x:c>
      <x:c r="I19" s="10" t="str">
        <x:v>gc0phpz</x:v>
      </x:c>
      <x:c r="J19" s="10" t="str">
        <x:f>IF(INDEX('Listings'!$C$2:$C$169,MATCH($I19,'Listings'!$A$2:$A$169,0))="","",INDEX('Listings'!$C$2:$C$169,MATCH($I19,'Listings'!$A$2:$A$169,0)))</x:f>
        <x:v>https://offcampus.dasa.ncsu.edu/housing/property/591-e-cabarrus-st-raleigh-nc/gc0phpz</x:v>
      </x:c>
      <x:c r="K19" s="10" t="str">
        <x:f>IF(INDEX('Listings'!$AG$2:$AG$169,MATCH($I19,'Listings'!$A$2:$A$169,0))="","",INDEX('Listings'!$AG$2:$AG$169,MATCH($I19,'Listings'!$A$2:$A$169,0)))</x:f>
        <x:v>Source pricing flag retained; automated consistency checks passed. This is not independent landlord verification.</x:v>
      </x:c>
    </x:row>
    <x:row r="20" ht="24" hidden="0" customHeight="1">
      <x:c r="A20" s="10" t="str">
        <x:f>IF(INDEX('Listings'!$B$2:$B$169,MATCH($I20,'Listings'!$A$2:$A$169,0))="","",INDEX('Listings'!$B$2:$B$169,MATCH($I20,'Listings'!$A$2:$A$169,0)))</x:f>
        <x:v>644 Coleman St (Raleigh, NC)</x:v>
      </x:c>
      <x:c r="B20" s="10" t="str">
        <x:f>IF(INDEX('Listings'!$E$2:$E$169,MATCH($I20,'Listings'!$A$2:$A$169,0))="","",INDEX('Listings'!$E$2:$E$169,MATCH($I20,'Listings'!$A$2:$A$169,0)))</x:f>
        <x:v>Whole unit</x:v>
      </x:c>
      <x:c r="C20" s="11" t="n">
        <x:f>IF(INDEX('Listings'!$H$2:$H$169,MATCH($I20,'Listings'!$A$2:$A$169,0))="","",INDEX('Listings'!$H$2:$H$169,MATCH($I20,'Listings'!$A$2:$A$169,0)))</x:f>
        <x:v>2150</x:v>
      </x:c>
      <x:c r="D20" s="11" t="n">
        <x:f>IF(INDEX('Listings'!$I$2:$I$169,MATCH($I20,'Listings'!$A$2:$A$169,0))="","",INDEX('Listings'!$I$2:$I$169,MATCH($I20,'Listings'!$A$2:$A$169,0)))</x:f>
        <x:v>2150</x:v>
      </x:c>
      <x:c r="E20" s="10" t="str">
        <x:v>Usable price pair within study area.</x:v>
      </x:c>
      <x:c r="F20" s="10" t="str">
        <x:f>IF(INDEX('Listings'!$Q$2:$Q$169,MATCH($I20,'Listings'!$A$2:$A$169,0))="","",INDEX('Listings'!$Q$2:$Q$169,MATCH($I20,'Listings'!$A$2:$A$169,0)))</x:f>
        <x:v>&gt;3–5 mi</x:v>
      </x:c>
      <x:c r="G20" s="10" t="str">
        <x:f>IF(INDEX('Listings'!$S$2:$S$169,MATCH($I20,'Listings'!$A$2:$A$169,0))="","",INDEX('Listings'!$S$2:$S$169,MATCH($I20,'Listings'!$A$2:$A$169,0)))</x:f>
        <x:v>&gt;3–5 mi</x:v>
      </x:c>
      <x:c r="H20" s="10" t="str">
        <x:f>IF(INDEX('Listings'!$U$2:$U$169,MATCH($I20,'Listings'!$A$2:$A$169,0))="","",INDEX('Listings'!$U$2:$U$169,MATCH($I20,'Listings'!$A$2:$A$169,0)))</x:f>
        <x:v>&gt;3–5 mi</x:v>
      </x:c>
      <x:c r="I20" s="10" t="str">
        <x:v>35cz5ed</x:v>
      </x:c>
      <x:c r="J20" s="10" t="str">
        <x:f>IF(INDEX('Listings'!$C$2:$C$169,MATCH($I20,'Listings'!$A$2:$A$169,0))="","",INDEX('Listings'!$C$2:$C$169,MATCH($I20,'Listings'!$A$2:$A$169,0)))</x:f>
        <x:v>https://offcampus.dasa.ncsu.edu/housing/property/644-coleman-st-raleigh-nc/35cz5ed</x:v>
      </x:c>
      <x:c r="K20" s="10" t="str">
        <x:f>IF(INDEX('Listings'!$AG$2:$AG$169,MATCH($I20,'Listings'!$A$2:$A$169,0))="","",INDEX('Listings'!$AG$2:$AG$169,MATCH($I20,'Listings'!$A$2:$A$169,0)))</x:f>
        <x:v>Source pricing flag retained; automated consistency checks passed. This is not independent landlord verification.</x:v>
      </x:c>
    </x:row>
    <x:row r="21" ht="24" hidden="0" customHeight="1">
      <x:c r="A21" s="10" t="str">
        <x:f>IF(INDEX('Listings'!$B$2:$B$169,MATCH($I21,'Listings'!$A$2:$A$169,0))="","",INDEX('Listings'!$B$2:$B$169,MATCH($I21,'Listings'!$A$2:$A$169,0)))</x:f>
        <x:v>707 E Martin St (Raleigh, NC)</x:v>
      </x:c>
      <x:c r="B21" s="10" t="str">
        <x:f>IF(INDEX('Listings'!$E$2:$E$169,MATCH($I21,'Listings'!$A$2:$A$169,0))="","",INDEX('Listings'!$E$2:$E$169,MATCH($I21,'Listings'!$A$2:$A$169,0)))</x:f>
        <x:v>Whole unit</x:v>
      </x:c>
      <x:c r="C21" s="11" t="n">
        <x:f>IF(INDEX('Listings'!$H$2:$H$169,MATCH($I21,'Listings'!$A$2:$A$169,0))="","",INDEX('Listings'!$H$2:$H$169,MATCH($I21,'Listings'!$A$2:$A$169,0)))</x:f>
        <x:v>2650</x:v>
      </x:c>
      <x:c r="D21" s="11" t="n">
        <x:f>IF(INDEX('Listings'!$I$2:$I$169,MATCH($I21,'Listings'!$A$2:$A$169,0))="","",INDEX('Listings'!$I$2:$I$169,MATCH($I21,'Listings'!$A$2:$A$169,0)))</x:f>
        <x:v>2650</x:v>
      </x:c>
      <x:c r="E21" s="10" t="str">
        <x:v>Usable price pair within study area.</x:v>
      </x:c>
      <x:c r="F21" s="10" t="str">
        <x:f>IF(INDEX('Listings'!$Q$2:$Q$169,MATCH($I21,'Listings'!$A$2:$A$169,0))="","",INDEX('Listings'!$Q$2:$Q$169,MATCH($I21,'Listings'!$A$2:$A$169,0)))</x:f>
        <x:v>&gt;3–5 mi</x:v>
      </x:c>
      <x:c r="G21" s="10" t="str">
        <x:f>IF(INDEX('Listings'!$S$2:$S$169,MATCH($I21,'Listings'!$A$2:$A$169,0))="","",INDEX('Listings'!$S$2:$S$169,MATCH($I21,'Listings'!$A$2:$A$169,0)))</x:f>
        <x:v>&gt;1–3 mi</x:v>
      </x:c>
      <x:c r="H21" s="10" t="str">
        <x:f>IF(INDEX('Listings'!$U$2:$U$169,MATCH($I21,'Listings'!$A$2:$A$169,0))="","",INDEX('Listings'!$U$2:$U$169,MATCH($I21,'Listings'!$A$2:$A$169,0)))</x:f>
        <x:v>&gt;3–5 mi</x:v>
      </x:c>
      <x:c r="I21" s="10" t="str">
        <x:v>l1e6hxd</x:v>
      </x:c>
      <x:c r="J21" s="10" t="str">
        <x:f>IF(INDEX('Listings'!$C$2:$C$169,MATCH($I21,'Listings'!$A$2:$A$169,0))="","",INDEX('Listings'!$C$2:$C$169,MATCH($I21,'Listings'!$A$2:$A$169,0)))</x:f>
        <x:v>https://offcampus.dasa.ncsu.edu/housing/property/707-e-martin-st-raleigh-nc/l1e6hxd</x:v>
      </x:c>
      <x:c r="K21" s="10" t="str">
        <x:f>IF(INDEX('Listings'!$AG$2:$AG$169,MATCH($I21,'Listings'!$A$2:$A$169,0))="","",INDEX('Listings'!$AG$2:$AG$169,MATCH($I21,'Listings'!$A$2:$A$169,0)))</x:f>
        <x:v>Source pricing flag retained; automated consistency checks passed. This is not independent landlord verification.</x:v>
      </x:c>
    </x:row>
    <x:row r="22" ht="24" hidden="0" customHeight="1">
      <x:c r="A22" s="10" t="str">
        <x:f>IF(INDEX('Listings'!$B$2:$B$169,MATCH($I22,'Listings'!$A$2:$A$169,0))="","",INDEX('Listings'!$B$2:$B$169,MATCH($I22,'Listings'!$A$2:$A$169,0)))</x:f>
        <x:v>912 Chaney Rd. #100</x:v>
      </x:c>
      <x:c r="B22" s="10" t="str">
        <x:f>IF(INDEX('Listings'!$E$2:$E$169,MATCH($I22,'Listings'!$A$2:$A$169,0))="","",INDEX('Listings'!$E$2:$E$169,MATCH($I22,'Listings'!$A$2:$A$169,0)))</x:f>
        <x:v>Whole unit</x:v>
      </x:c>
      <x:c r="C22" s="11" t="n">
        <x:f>IF(INDEX('Listings'!$H$2:$H$169,MATCH($I22,'Listings'!$A$2:$A$169,0))="","",INDEX('Listings'!$H$2:$H$169,MATCH($I22,'Listings'!$A$2:$A$169,0)))</x:f>
        <x:v>2600</x:v>
      </x:c>
      <x:c r="D22" s="11" t="n">
        <x:f>IF(INDEX('Listings'!$I$2:$I$169,MATCH($I22,'Listings'!$A$2:$A$169,0))="","",INDEX('Listings'!$I$2:$I$169,MATCH($I22,'Listings'!$A$2:$A$169,0)))</x:f>
        <x:v>2600</x:v>
      </x:c>
      <x:c r="E22" s="10" t="str">
        <x:v>Usable price pair within study area.</x:v>
      </x:c>
      <x:c r="F22" s="10" t="str">
        <x:f>IF(INDEX('Listings'!$Q$2:$Q$169,MATCH($I22,'Listings'!$A$2:$A$169,0))="","",INDEX('Listings'!$Q$2:$Q$169,MATCH($I22,'Listings'!$A$2:$A$169,0)))</x:f>
        <x:v>0–1 mi</x:v>
      </x:c>
      <x:c r="G22" s="10" t="str">
        <x:f>IF(INDEX('Listings'!$S$2:$S$169,MATCH($I22,'Listings'!$A$2:$A$169,0))="","",INDEX('Listings'!$S$2:$S$169,MATCH($I22,'Listings'!$A$2:$A$169,0)))</x:f>
        <x:v>&gt;1–3 mi</x:v>
      </x:c>
      <x:c r="H22" s="10" t="str">
        <x:f>IF(INDEX('Listings'!$U$2:$U$169,MATCH($I22,'Listings'!$A$2:$A$169,0))="","",INDEX('Listings'!$U$2:$U$169,MATCH($I22,'Listings'!$A$2:$A$169,0)))</x:f>
        <x:v>0–1 mi</x:v>
      </x:c>
      <x:c r="I22" s="10" t="str">
        <x:v>ocpbnn75s8</x:v>
      </x:c>
      <x:c r="J22" s="10" t="str">
        <x:f>IF(INDEX('Listings'!$C$2:$C$169,MATCH($I22,'Listings'!$A$2:$A$169,0))="","",INDEX('Listings'!$C$2:$C$169,MATCH($I22,'Listings'!$A$2:$A$169,0)))</x:f>
        <x:v>https://offcampus.dasa.ncsu.edu/housing/property/912-chaney-rd-100/ocpbnn75s8</x:v>
      </x:c>
      <x:c r="K22" s="10" t="str">
        <x:f>IF(INDEX('Listings'!$AG$2:$AG$169,MATCH($I22,'Listings'!$A$2:$A$169,0))="","",INDEX('Listings'!$AG$2:$AG$169,MATCH($I22,'Listings'!$A$2:$A$169,0)))</x:f>
        <x:v>Source pricing flag retained; automated consistency checks passed. This is not independent landlord verification.</x:v>
      </x:c>
    </x:row>
    <x:row r="23" ht="24" hidden="0" customHeight="1">
      <x:c r="A23" s="10" t="str">
        <x:f>IF(INDEX('Listings'!$B$2:$B$169,MATCH($I23,'Listings'!$A$2:$A$169,0))="","",INDEX('Listings'!$B$2:$B$169,MATCH($I23,'Listings'!$A$2:$A$169,0)))</x:f>
        <x:v>912 Chaney Rd. #102</x:v>
      </x:c>
      <x:c r="B23" s="10" t="str">
        <x:f>IF(INDEX('Listings'!$E$2:$E$169,MATCH($I23,'Listings'!$A$2:$A$169,0))="","",INDEX('Listings'!$E$2:$E$169,MATCH($I23,'Listings'!$A$2:$A$169,0)))</x:f>
        <x:v>Whole unit</x:v>
      </x:c>
      <x:c r="C23" s="11" t="n">
        <x:f>IF(INDEX('Listings'!$H$2:$H$169,MATCH($I23,'Listings'!$A$2:$A$169,0))="","",INDEX('Listings'!$H$2:$H$169,MATCH($I23,'Listings'!$A$2:$A$169,0)))</x:f>
        <x:v>2600</x:v>
      </x:c>
      <x:c r="D23" s="11" t="n">
        <x:f>IF(INDEX('Listings'!$I$2:$I$169,MATCH($I23,'Listings'!$A$2:$A$169,0))="","",INDEX('Listings'!$I$2:$I$169,MATCH($I23,'Listings'!$A$2:$A$169,0)))</x:f>
        <x:v>2600</x:v>
      </x:c>
      <x:c r="E23" s="10" t="str">
        <x:v>Usable price pair within study area.</x:v>
      </x:c>
      <x:c r="F23" s="10" t="str">
        <x:f>IF(INDEX('Listings'!$Q$2:$Q$169,MATCH($I23,'Listings'!$A$2:$A$169,0))="","",INDEX('Listings'!$Q$2:$Q$169,MATCH($I23,'Listings'!$A$2:$A$169,0)))</x:f>
        <x:v>0–1 mi</x:v>
      </x:c>
      <x:c r="G23" s="10" t="str">
        <x:f>IF(INDEX('Listings'!$S$2:$S$169,MATCH($I23,'Listings'!$A$2:$A$169,0))="","",INDEX('Listings'!$S$2:$S$169,MATCH($I23,'Listings'!$A$2:$A$169,0)))</x:f>
        <x:v>&gt;1–3 mi</x:v>
      </x:c>
      <x:c r="H23" s="10" t="str">
        <x:f>IF(INDEX('Listings'!$U$2:$U$169,MATCH($I23,'Listings'!$A$2:$A$169,0))="","",INDEX('Listings'!$U$2:$U$169,MATCH($I23,'Listings'!$A$2:$A$169,0)))</x:f>
        <x:v>0–1 mi</x:v>
      </x:c>
      <x:c r="I23" s="10" t="str">
        <x:v>ocpvv9069d</x:v>
      </x:c>
      <x:c r="J23" s="10" t="str">
        <x:f>IF(INDEX('Listings'!$C$2:$C$169,MATCH($I23,'Listings'!$A$2:$A$169,0))="","",INDEX('Listings'!$C$2:$C$169,MATCH($I23,'Listings'!$A$2:$A$169,0)))</x:f>
        <x:v>https://offcampus.dasa.ncsu.edu/housing/property/912-chaney-rd-102/ocpvv9069d</x:v>
      </x:c>
      <x:c r="K23" s="10" t="str">
        <x:f>IF(INDEX('Listings'!$AG$2:$AG$169,MATCH($I23,'Listings'!$A$2:$A$169,0))="","",INDEX('Listings'!$AG$2:$AG$169,MATCH($I23,'Listings'!$A$2:$A$169,0)))</x:f>
        <x:v>Source pricing flag retained; automated consistency checks passed. This is not independent landlord verification.</x:v>
      </x:c>
    </x:row>
    <x:row r="24" ht="36" hidden="0" customHeight="1">
      <x:c r="A24" s="10" t="str">
        <x:f>IF(INDEX('Listings'!$B$2:$B$169,MATCH($I24,'Listings'!$A$2:$A$169,0))="","",INDEX('Listings'!$B$2:$B$169,MATCH($I24,'Listings'!$A$2:$A$169,0)))</x:f>
        <x:v>Affordable Student Housing 1 Block from Campus on Wolf Line</x:v>
      </x:c>
      <x:c r="B24" s="10" t="str">
        <x:f>IF(INDEX('Listings'!$E$2:$E$169,MATCH($I24,'Listings'!$A$2:$A$169,0))="","",INDEX('Listings'!$E$2:$E$169,MATCH($I24,'Listings'!$A$2:$A$169,0)))</x:f>
        <x:v>Per bedroom</x:v>
      </x:c>
      <x:c r="C24" s="11" t="n">
        <x:f>IF(INDEX('Listings'!$H$2:$H$169,MATCH($I24,'Listings'!$A$2:$A$169,0))="","",INDEX('Listings'!$H$2:$H$169,MATCH($I24,'Listings'!$A$2:$A$169,0)))</x:f>
        <x:v>640</x:v>
      </x:c>
      <x:c r="D24" s="11" t="n">
        <x:f>IF(INDEX('Listings'!$I$2:$I$169,MATCH($I24,'Listings'!$A$2:$A$169,0))="","",INDEX('Listings'!$I$2:$I$169,MATCH($I24,'Listings'!$A$2:$A$169,0)))</x:f>
        <x:v>640</x:v>
      </x:c>
      <x:c r="E24" s="10" t="str">
        <x:v>Usable price pair within study area.</x:v>
      </x:c>
      <x:c r="F24" s="10" t="str">
        <x:f>IF(INDEX('Listings'!$Q$2:$Q$169,MATCH($I24,'Listings'!$A$2:$A$169,0))="","",INDEX('Listings'!$Q$2:$Q$169,MATCH($I24,'Listings'!$A$2:$A$169,0)))</x:f>
        <x:v>0–1 mi</x:v>
      </x:c>
      <x:c r="G24" s="10" t="str">
        <x:f>IF(INDEX('Listings'!$S$2:$S$169,MATCH($I24,'Listings'!$A$2:$A$169,0))="","",INDEX('Listings'!$S$2:$S$169,MATCH($I24,'Listings'!$A$2:$A$169,0)))</x:f>
        <x:v>&gt;1–3 mi</x:v>
      </x:c>
      <x:c r="H24" s="10" t="str">
        <x:f>IF(INDEX('Listings'!$U$2:$U$169,MATCH($I24,'Listings'!$A$2:$A$169,0))="","",INDEX('Listings'!$U$2:$U$169,MATCH($I24,'Listings'!$A$2:$A$169,0)))</x:f>
        <x:v>&gt;1–3 mi</x:v>
      </x:c>
      <x:c r="I24" s="10" t="str">
        <x:v>ocph8n0fc0</x:v>
      </x:c>
      <x:c r="J24" s="10" t="str">
        <x:f>IF(INDEX('Listings'!$C$2:$C$169,MATCH($I24,'Listings'!$A$2:$A$169,0))="","",INDEX('Listings'!$C$2:$C$169,MATCH($I24,'Listings'!$A$2:$A$169,0)))</x:f>
        <x:v>https://offcampus.dasa.ncsu.edu/housing/property/affordable-student-housing-1-block-from-campus-on-wolf-line/ocph8n0fc0</x:v>
      </x:c>
      <x:c r="K24" s="10" t="str">
        <x:f>IF(INDEX('Listings'!$AG$2:$AG$169,MATCH($I24,'Listings'!$A$2:$A$169,0))="","",INDEX('Listings'!$AG$2:$AG$169,MATCH($I24,'Listings'!$A$2:$A$169,0)))</x:f>
        <x:v>Source pricing flag retained; automated consistency checks passed. This is not independent landlord verification.</x:v>
      </x:c>
    </x:row>
    <x:row r="25" ht="36" hidden="0" customHeight="1">
      <x:c r="A25" s="10" t="str">
        <x:f>IF(INDEX('Listings'!$B$2:$B$169,MATCH($I25,'Listings'!$A$2:$A$169,0))="","",INDEX('Listings'!$B$2:$B$169,MATCH($I25,'Listings'!$A$2:$A$169,0)))</x:f>
        <x:v>All Girls Unit - Room with Private Bathroom at  University Woods at Centennial Condominiums</x:v>
      </x:c>
      <x:c r="B25" s="10" t="str">
        <x:f>IF(INDEX('Listings'!$E$2:$E$169,MATCH($I25,'Listings'!$A$2:$A$169,0))="","",INDEX('Listings'!$E$2:$E$169,MATCH($I25,'Listings'!$A$2:$A$169,0)))</x:f>
        <x:v>Per bedroom</x:v>
      </x:c>
      <x:c r="C25" s="11" t="n">
        <x:f>IF(INDEX('Listings'!$H$2:$H$169,MATCH($I25,'Listings'!$A$2:$A$169,0))="","",INDEX('Listings'!$H$2:$H$169,MATCH($I25,'Listings'!$A$2:$A$169,0)))</x:f>
        <x:v>645</x:v>
      </x:c>
      <x:c r="D25" s="11" t="n">
        <x:f>IF(INDEX('Listings'!$I$2:$I$169,MATCH($I25,'Listings'!$A$2:$A$169,0))="","",INDEX('Listings'!$I$2:$I$169,MATCH($I25,'Listings'!$A$2:$A$169,0)))</x:f>
        <x:v>645</x:v>
      </x:c>
      <x:c r="E25" s="10" t="str">
        <x:v>Usable price pair within study area.</x:v>
      </x:c>
      <x:c r="F25" s="10" t="str">
        <x:f>IF(INDEX('Listings'!$Q$2:$Q$169,MATCH($I25,'Listings'!$A$2:$A$169,0))="","",INDEX('Listings'!$Q$2:$Q$169,MATCH($I25,'Listings'!$A$2:$A$169,0)))</x:f>
        <x:v>&gt;1–3 mi</x:v>
      </x:c>
      <x:c r="G25" s="10" t="str">
        <x:f>IF(INDEX('Listings'!$S$2:$S$169,MATCH($I25,'Listings'!$A$2:$A$169,0))="","",INDEX('Listings'!$S$2:$S$169,MATCH($I25,'Listings'!$A$2:$A$169,0)))</x:f>
        <x:v>&gt;1–3 mi</x:v>
      </x:c>
      <x:c r="H25" s="10" t="str">
        <x:f>IF(INDEX('Listings'!$U$2:$U$169,MATCH($I25,'Listings'!$A$2:$A$169,0))="","",INDEX('Listings'!$U$2:$U$169,MATCH($I25,'Listings'!$A$2:$A$169,0)))</x:f>
        <x:v>&gt;3–5 mi</x:v>
      </x:c>
      <x:c r="I25" s="10" t="str">
        <x:v>ocpjeweyz6</x:v>
      </x:c>
      <x:c r="J25" s="10" t="str">
        <x:f>IF(INDEX('Listings'!$C$2:$C$169,MATCH($I25,'Listings'!$A$2:$A$169,0))="","",INDEX('Listings'!$C$2:$C$169,MATCH($I25,'Listings'!$A$2:$A$169,0)))</x:f>
        <x:v>https://offcampus.dasa.ncsu.edu/housing/property/all-girls-unit-room-with-private-bathroom-at-university-woods-at-centennial-condominiums/ocpjeweyz6</x:v>
      </x:c>
      <x:c r="K25" s="10" t="str">
        <x:f>IF(INDEX('Listings'!$AG$2:$AG$169,MATCH($I25,'Listings'!$A$2:$A$169,0))="","",INDEX('Listings'!$AG$2:$AG$169,MATCH($I25,'Listings'!$A$2:$A$169,0)))</x:f>
        <x:v>Source pricing flag retained; automated consistency checks passed. This is not independent landlord verification.</x:v>
      </x:c>
    </x:row>
    <x:row r="26" ht="36" hidden="0" customHeight="1">
      <x:c r="A26" s="10" t="str">
        <x:f>IF(INDEX('Listings'!$B$2:$B$169,MATCH($I26,'Listings'!$A$2:$A$169,0))="","",INDEX('Listings'!$B$2:$B$169,MATCH($I26,'Listings'!$A$2:$A$169,0)))</x:f>
        <x:v>An apartments with 3 bed and 3 bath for NC State Students www.ncstudentsliving.com</x:v>
      </x:c>
      <x:c r="B26" s="10" t="str">
        <x:f>IF(INDEX('Listings'!$E$2:$E$169,MATCH($I26,'Listings'!$A$2:$A$169,0))="","",INDEX('Listings'!$E$2:$E$169,MATCH($I26,'Listings'!$A$2:$A$169,0)))</x:f>
        <x:v>Per bedroom</x:v>
      </x:c>
      <x:c r="C26" s="11" t="n">
        <x:f>IF(INDEX('Listings'!$H$2:$H$169,MATCH($I26,'Listings'!$A$2:$A$169,0))="","",INDEX('Listings'!$H$2:$H$169,MATCH($I26,'Listings'!$A$2:$A$169,0)))</x:f>
        <x:v>650</x:v>
      </x:c>
      <x:c r="D26" s="11" t="n">
        <x:f>IF(INDEX('Listings'!$I$2:$I$169,MATCH($I26,'Listings'!$A$2:$A$169,0))="","",INDEX('Listings'!$I$2:$I$169,MATCH($I26,'Listings'!$A$2:$A$169,0)))</x:f>
        <x:v>650</x:v>
      </x:c>
      <x:c r="E26" s="10" t="str">
        <x:v>Usable price pair within study area.</x:v>
      </x:c>
      <x:c r="F26" s="10" t="str">
        <x:f>IF(INDEX('Listings'!$Q$2:$Q$169,MATCH($I26,'Listings'!$A$2:$A$169,0))="","",INDEX('Listings'!$Q$2:$Q$169,MATCH($I26,'Listings'!$A$2:$A$169,0)))</x:f>
        <x:v>&gt;1–3 mi</x:v>
      </x:c>
      <x:c r="G26" s="10" t="str">
        <x:f>IF(INDEX('Listings'!$S$2:$S$169,MATCH($I26,'Listings'!$A$2:$A$169,0))="","",INDEX('Listings'!$S$2:$S$169,MATCH($I26,'Listings'!$A$2:$A$169,0)))</x:f>
        <x:v>&gt;1–3 mi</x:v>
      </x:c>
      <x:c r="H26" s="10" t="str">
        <x:f>IF(INDEX('Listings'!$U$2:$U$169,MATCH($I26,'Listings'!$A$2:$A$169,0))="","",INDEX('Listings'!$U$2:$U$169,MATCH($I26,'Listings'!$A$2:$A$169,0)))</x:f>
        <x:v>&gt;3–5 mi</x:v>
      </x:c>
      <x:c r="I26" s="10" t="str">
        <x:v>ocp0psn632</x:v>
      </x:c>
      <x:c r="J26" s="10" t="str">
        <x:f>IF(INDEX('Listings'!$C$2:$C$169,MATCH($I26,'Listings'!$A$2:$A$169,0))="","",INDEX('Listings'!$C$2:$C$169,MATCH($I26,'Listings'!$A$2:$A$169,0)))</x:f>
        <x:v>https://offcampus.dasa.ncsu.edu/housing/property/an-apartments-with-3-bed-and-3-bath-for-nc-state-students-www-ncstudentsliving-com/ocp0psn632</x:v>
      </x:c>
      <x:c r="K26" s="10" t="str">
        <x:f>IF(INDEX('Listings'!$AG$2:$AG$169,MATCH($I26,'Listings'!$A$2:$A$169,0))="","",INDEX('Listings'!$AG$2:$AG$169,MATCH($I26,'Listings'!$A$2:$A$169,0)))</x:f>
        <x:v>Source pricing flag retained; automated consistency checks passed. This is not independent landlord verification.</x:v>
      </x:c>
    </x:row>
    <x:row r="27" ht="24" hidden="0" customHeight="1">
      <x:c r="A27" s="10" t="str">
        <x:f>IF(INDEX('Listings'!$B$2:$B$169,MATCH($I27,'Listings'!$A$2:$A$169,0))="","",INDEX('Listings'!$B$2:$B$169,MATCH($I27,'Listings'!$A$2:$A$169,0)))</x:f>
        <x:v>Apartment close to campus</x:v>
      </x:c>
      <x:c r="B27" s="10" t="str">
        <x:f>IF(INDEX('Listings'!$E$2:$E$169,MATCH($I27,'Listings'!$A$2:$A$169,0))="","",INDEX('Listings'!$E$2:$E$169,MATCH($I27,'Listings'!$A$2:$A$169,0)))</x:f>
        <x:v>Whole unit</x:v>
      </x:c>
      <x:c r="C27" s="11" t="n">
        <x:f>IF(INDEX('Listings'!$H$2:$H$169,MATCH($I27,'Listings'!$A$2:$A$169,0))="","",INDEX('Listings'!$H$2:$H$169,MATCH($I27,'Listings'!$A$2:$A$169,0)))</x:f>
        <x:v>1800</x:v>
      </x:c>
      <x:c r="D27" s="11" t="n">
        <x:f>IF(INDEX('Listings'!$I$2:$I$169,MATCH($I27,'Listings'!$A$2:$A$169,0))="","",INDEX('Listings'!$I$2:$I$169,MATCH($I27,'Listings'!$A$2:$A$169,0)))</x:f>
        <x:v>1800</x:v>
      </x:c>
      <x:c r="E27" s="10" t="str">
        <x:v>Usable price pair within study area.</x:v>
      </x:c>
      <x:c r="F27" s="10" t="str">
        <x:f>IF(INDEX('Listings'!$Q$2:$Q$169,MATCH($I27,'Listings'!$A$2:$A$169,0))="","",INDEX('Listings'!$Q$2:$Q$169,MATCH($I27,'Listings'!$A$2:$A$169,0)))</x:f>
        <x:v>&gt;1–3 mi</x:v>
      </x:c>
      <x:c r="G27" s="10" t="str">
        <x:f>IF(INDEX('Listings'!$S$2:$S$169,MATCH($I27,'Listings'!$A$2:$A$169,0))="","",INDEX('Listings'!$S$2:$S$169,MATCH($I27,'Listings'!$A$2:$A$169,0)))</x:f>
        <x:v>&gt;1–3 mi</x:v>
      </x:c>
      <x:c r="H27" s="10" t="str">
        <x:f>IF(INDEX('Listings'!$U$2:$U$169,MATCH($I27,'Listings'!$A$2:$A$169,0))="","",INDEX('Listings'!$U$2:$U$169,MATCH($I27,'Listings'!$A$2:$A$169,0)))</x:f>
        <x:v>&gt;3–5 mi</x:v>
      </x:c>
      <x:c r="I27" s="10" t="str">
        <x:v>ocphe602k0</x:v>
      </x:c>
      <x:c r="J27" s="10" t="str">
        <x:f>IF(INDEX('Listings'!$C$2:$C$169,MATCH($I27,'Listings'!$A$2:$A$169,0))="","",INDEX('Listings'!$C$2:$C$169,MATCH($I27,'Listings'!$A$2:$A$169,0)))</x:f>
        <x:v>https://offcampus.dasa.ncsu.edu/housing/property/apartment-close-to-campus/ocphe602k0</x:v>
      </x:c>
      <x:c r="K27" s="10" t="str">
        <x:f>IF(INDEX('Listings'!$AG$2:$AG$169,MATCH($I27,'Listings'!$A$2:$A$169,0))="","",INDEX('Listings'!$AG$2:$AG$169,MATCH($I27,'Listings'!$A$2:$A$169,0)))</x:f>
        <x:v>Source pricing flag retained; automated consistency checks passed. This is not independent landlord verification.</x:v>
      </x:c>
    </x:row>
    <x:row r="28" ht="24" hidden="0" customHeight="1">
      <x:c r="A28" s="10" t="str">
        <x:f>IF(INDEX('Listings'!$B$2:$B$169,MATCH($I28,'Listings'!$A$2:$A$169,0))="","",INDEX('Listings'!$B$2:$B$169,MATCH($I28,'Listings'!$A$2:$A$169,0)))</x:f>
        <x:v>Apartment close to NCSU</x:v>
      </x:c>
      <x:c r="B28" s="10" t="str">
        <x:f>IF(INDEX('Listings'!$E$2:$E$169,MATCH($I28,'Listings'!$A$2:$A$169,0))="","",INDEX('Listings'!$E$2:$E$169,MATCH($I28,'Listings'!$A$2:$A$169,0)))</x:f>
        <x:v>Per bedroom</x:v>
      </x:c>
      <x:c r="C28" s="11" t="n">
        <x:f>IF(INDEX('Listings'!$H$2:$H$169,MATCH($I28,'Listings'!$A$2:$A$169,0))="","",INDEX('Listings'!$H$2:$H$169,MATCH($I28,'Listings'!$A$2:$A$169,0)))</x:f>
        <x:v>645</x:v>
      </x:c>
      <x:c r="D28" s="11" t="n">
        <x:f>IF(INDEX('Listings'!$I$2:$I$169,MATCH($I28,'Listings'!$A$2:$A$169,0))="","",INDEX('Listings'!$I$2:$I$169,MATCH($I28,'Listings'!$A$2:$A$169,0)))</x:f>
        <x:v>645</x:v>
      </x:c>
      <x:c r="E28" s="10" t="str">
        <x:v>Usable price pair within study area.</x:v>
      </x:c>
      <x:c r="F28" s="10" t="str">
        <x:f>IF(INDEX('Listings'!$Q$2:$Q$169,MATCH($I28,'Listings'!$A$2:$A$169,0))="","",INDEX('Listings'!$Q$2:$Q$169,MATCH($I28,'Listings'!$A$2:$A$169,0)))</x:f>
        <x:v>&gt;1–3 mi</x:v>
      </x:c>
      <x:c r="G28" s="10" t="str">
        <x:f>IF(INDEX('Listings'!$S$2:$S$169,MATCH($I28,'Listings'!$A$2:$A$169,0))="","",INDEX('Listings'!$S$2:$S$169,MATCH($I28,'Listings'!$A$2:$A$169,0)))</x:f>
        <x:v>&gt;1–3 mi</x:v>
      </x:c>
      <x:c r="H28" s="10" t="str">
        <x:f>IF(INDEX('Listings'!$U$2:$U$169,MATCH($I28,'Listings'!$A$2:$A$169,0))="","",INDEX('Listings'!$U$2:$U$169,MATCH($I28,'Listings'!$A$2:$A$169,0)))</x:f>
        <x:v>&gt;1–3 mi</x:v>
      </x:c>
      <x:c r="I28" s="10" t="str">
        <x:v>ocpq99qjpx</x:v>
      </x:c>
      <x:c r="J28" s="10" t="str">
        <x:f>IF(INDEX('Listings'!$C$2:$C$169,MATCH($I28,'Listings'!$A$2:$A$169,0))="","",INDEX('Listings'!$C$2:$C$169,MATCH($I28,'Listings'!$A$2:$A$169,0)))</x:f>
        <x:v>https://offcampus.dasa.ncsu.edu/housing/property/apartment-close-to-ncsu/ocpq99qjpx</x:v>
      </x:c>
      <x:c r="K28" s="10" t="str">
        <x:f>IF(INDEX('Listings'!$AG$2:$AG$169,MATCH($I28,'Listings'!$A$2:$A$169,0))="","",INDEX('Listings'!$AG$2:$AG$169,MATCH($I28,'Listings'!$A$2:$A$169,0)))</x:f>
        <x:v>Source pricing flag retained; automated consistency checks passed. This is not independent landlord verification.</x:v>
      </x:c>
    </x:row>
    <x:row r="29" ht="24" hidden="0" customHeight="1">
      <x:c r="A29" s="10" t="str">
        <x:f>IF(INDEX('Listings'!$B$2:$B$169,MATCH($I29,'Listings'!$A$2:$A$169,0))="","",INDEX('Listings'!$B$2:$B$169,MATCH($I29,'Listings'!$A$2:$A$169,0)))</x:f>
        <x:v>Avery Close</x:v>
      </x:c>
      <x:c r="B29" s="10" t="str">
        <x:f>IF(INDEX('Listings'!$E$2:$E$169,MATCH($I29,'Listings'!$A$2:$A$169,0))="","",INDEX('Listings'!$E$2:$E$169,MATCH($I29,'Listings'!$A$2:$A$169,0)))</x:f>
        <x:v>Whole unit</x:v>
      </x:c>
      <x:c r="C29" s="11" t="n">
        <x:f>IF(INDEX('Listings'!$H$2:$H$169,MATCH($I29,'Listings'!$A$2:$A$169,0))="","",INDEX('Listings'!$H$2:$H$169,MATCH($I29,'Listings'!$A$2:$A$169,0)))</x:f>
        <x:v>1295</x:v>
      </x:c>
      <x:c r="D29" s="11" t="n">
        <x:f>IF(INDEX('Listings'!$I$2:$I$169,MATCH($I29,'Listings'!$A$2:$A$169,0))="","",INDEX('Listings'!$I$2:$I$169,MATCH($I29,'Listings'!$A$2:$A$169,0)))</x:f>
        <x:v>1650</x:v>
      </x:c>
      <x:c r="E29" s="10" t="str">
        <x:v>Usable price pair within study area.</x:v>
      </x:c>
      <x:c r="F29" s="10" t="str">
        <x:f>IF(INDEX('Listings'!$Q$2:$Q$169,MATCH($I29,'Listings'!$A$2:$A$169,0))="","",INDEX('Listings'!$Q$2:$Q$169,MATCH($I29,'Listings'!$A$2:$A$169,0)))</x:f>
        <x:v>0–1 mi</x:v>
      </x:c>
      <x:c r="G29" s="10" t="str">
        <x:f>IF(INDEX('Listings'!$S$2:$S$169,MATCH($I29,'Listings'!$A$2:$A$169,0))="","",INDEX('Listings'!$S$2:$S$169,MATCH($I29,'Listings'!$A$2:$A$169,0)))</x:f>
        <x:v>0–1 mi</x:v>
      </x:c>
      <x:c r="H29" s="10" t="str">
        <x:f>IF(INDEX('Listings'!$U$2:$U$169,MATCH($I29,'Listings'!$A$2:$A$169,0))="","",INDEX('Listings'!$U$2:$U$169,MATCH($I29,'Listings'!$A$2:$A$169,0)))</x:f>
        <x:v>&gt;1–3 mi</x:v>
      </x:c>
      <x:c r="I29" s="10" t="str">
        <x:v>ocpeg5yhcm</x:v>
      </x:c>
      <x:c r="J29" s="10" t="str">
        <x:f>IF(INDEX('Listings'!$C$2:$C$169,MATCH($I29,'Listings'!$A$2:$A$169,0))="","",INDEX('Listings'!$C$2:$C$169,MATCH($I29,'Listings'!$A$2:$A$169,0)))</x:f>
        <x:v>https://offcampus.dasa.ncsu.edu/housing/property/avery-close/ocpeg5yhcm</x:v>
      </x:c>
      <x:c r="K29" s="10" t="str">
        <x:f>IF(INDEX('Listings'!$AG$2:$AG$169,MATCH($I29,'Listings'!$A$2:$A$169,0))="","",INDEX('Listings'!$AG$2:$AG$169,MATCH($I29,'Listings'!$A$2:$A$169,0)))</x:f>
        <x:v>Source pricing flag retained; automated consistency checks passed. This is not independent landlord verification.</x:v>
      </x:c>
    </x:row>
    <x:row r="30" ht="36" hidden="0" customHeight="1">
      <x:c r="A30" s="10" t="str">
        <x:f>IF(INDEX('Listings'!$B$2:$B$169,MATCH($I30,'Listings'!$A$2:$A$169,0))="","",INDEX('Listings'!$B$2:$B$169,MATCH($I30,'Listings'!$A$2:$A$169,0)))</x:f>
        <x:v>Big Promotion w/best price ever. Move in Immediately . MarcomTowns. Great location nice</x:v>
      </x:c>
      <x:c r="B30" s="10" t="str">
        <x:f>IF(INDEX('Listings'!$E$2:$E$169,MATCH($I30,'Listings'!$A$2:$A$169,0))="","",INDEX('Listings'!$E$2:$E$169,MATCH($I30,'Listings'!$A$2:$A$169,0)))</x:f>
        <x:v>Per bedroom</x:v>
      </x:c>
      <x:c r="C30" s="11" t="n">
        <x:f>IF(INDEX('Listings'!$H$2:$H$169,MATCH($I30,'Listings'!$A$2:$A$169,0))="","",INDEX('Listings'!$H$2:$H$169,MATCH($I30,'Listings'!$A$2:$A$169,0)))</x:f>
        <x:v>950</x:v>
      </x:c>
      <x:c r="D30" s="11" t="n">
        <x:f>IF(INDEX('Listings'!$I$2:$I$169,MATCH($I30,'Listings'!$A$2:$A$169,0))="","",INDEX('Listings'!$I$2:$I$169,MATCH($I30,'Listings'!$A$2:$A$169,0)))</x:f>
        <x:v>950</x:v>
      </x:c>
      <x:c r="E30" s="10" t="str">
        <x:v>Usable price pair within study area.</x:v>
      </x:c>
      <x:c r="F30" s="10" t="str">
        <x:f>IF(INDEX('Listings'!$Q$2:$Q$169,MATCH($I30,'Listings'!$A$2:$A$169,0))="","",INDEX('Listings'!$Q$2:$Q$169,MATCH($I30,'Listings'!$A$2:$A$169,0)))</x:f>
        <x:v>0–1 mi</x:v>
      </x:c>
      <x:c r="G30" s="10" t="str">
        <x:f>IF(INDEX('Listings'!$S$2:$S$169,MATCH($I30,'Listings'!$A$2:$A$169,0))="","",INDEX('Listings'!$S$2:$S$169,MATCH($I30,'Listings'!$A$2:$A$169,0)))</x:f>
        <x:v>0–1 mi</x:v>
      </x:c>
      <x:c r="H30" s="10" t="str">
        <x:f>IF(INDEX('Listings'!$U$2:$U$169,MATCH($I30,'Listings'!$A$2:$A$169,0))="","",INDEX('Listings'!$U$2:$U$169,MATCH($I30,'Listings'!$A$2:$A$169,0)))</x:f>
        <x:v>&gt;1–3 mi</x:v>
      </x:c>
      <x:c r="I30" s="10" t="str">
        <x:v>ocpe1n95cm</x:v>
      </x:c>
      <x:c r="J30" s="10" t="str">
        <x:f>IF(INDEX('Listings'!$C$2:$C$169,MATCH($I30,'Listings'!$A$2:$A$169,0))="","",INDEX('Listings'!$C$2:$C$169,MATCH($I30,'Listings'!$A$2:$A$169,0)))</x:f>
        <x:v>https://offcampus.dasa.ncsu.edu/housing/property/big-promotion-w-best-price-ever-move-in-immediately-marcomtowns-great-location-nice/ocpe1n95cm</x:v>
      </x:c>
      <x:c r="K30" s="10" t="str">
        <x:f>IF(INDEX('Listings'!$AG$2:$AG$169,MATCH($I30,'Listings'!$A$2:$A$169,0))="","",INDEX('Listings'!$AG$2:$AG$169,MATCH($I30,'Listings'!$A$2:$A$169,0)))</x:f>
        <x:v>Source pricing flag retained; automated consistency checks passed. This is not independent landlord verification.</x:v>
      </x:c>
    </x:row>
    <x:row r="31" ht="36" hidden="0" customHeight="1">
      <x:c r="A31" s="10" t="str">
        <x:f>IF(INDEX('Listings'!$B$2:$B$169,MATCH($I31,'Listings'!$A$2:$A$169,0))="","",INDEX('Listings'!$B$2:$B$169,MATCH($I31,'Listings'!$A$2:$A$169,0)))</x:f>
        <x:v>Brand New Luxury Furnished Townhome | 4 Bed /  3.5 Bath | 5 Min to NC State &amp; 3 Mins to Fenton +shop</x:v>
      </x:c>
      <x:c r="B31" s="10" t="str">
        <x:f>IF(INDEX('Listings'!$E$2:$E$169,MATCH($I31,'Listings'!$A$2:$A$169,0))="","",INDEX('Listings'!$E$2:$E$169,MATCH($I31,'Listings'!$A$2:$A$169,0)))</x:f>
        <x:v>Per bedroom</x:v>
      </x:c>
      <x:c r="C31" s="11" t="n">
        <x:f>IF(INDEX('Listings'!$H$2:$H$169,MATCH($I31,'Listings'!$A$2:$A$169,0))="","",INDEX('Listings'!$H$2:$H$169,MATCH($I31,'Listings'!$A$2:$A$169,0)))</x:f>
        <x:v>900</x:v>
      </x:c>
      <x:c r="D31" s="11" t="n">
        <x:f>IF(INDEX('Listings'!$I$2:$I$169,MATCH($I31,'Listings'!$A$2:$A$169,0))="","",INDEX('Listings'!$I$2:$I$169,MATCH($I31,'Listings'!$A$2:$A$169,0)))</x:f>
        <x:v>1050</x:v>
      </x:c>
      <x:c r="E31" s="10" t="str">
        <x:v>Usable price pair within study area.</x:v>
      </x:c>
      <x:c r="F31" s="10" t="str">
        <x:f>IF(INDEX('Listings'!$Q$2:$Q$169,MATCH($I31,'Listings'!$A$2:$A$169,0))="","",INDEX('Listings'!$Q$2:$Q$169,MATCH($I31,'Listings'!$A$2:$A$169,0)))</x:f>
        <x:v>&gt;3–5 mi</x:v>
      </x:c>
      <x:c r="G31" s="10" t="str">
        <x:f>IF(INDEX('Listings'!$S$2:$S$169,MATCH($I31,'Listings'!$A$2:$A$169,0))="","",INDEX('Listings'!$S$2:$S$169,MATCH($I31,'Listings'!$A$2:$A$169,0)))</x:f>
        <x:v>&gt;3–5 mi</x:v>
      </x:c>
      <x:c r="H31" s="10" t="str">
        <x:f>IF(INDEX('Listings'!$U$2:$U$169,MATCH($I31,'Listings'!$A$2:$A$169,0))="","",INDEX('Listings'!$U$2:$U$169,MATCH($I31,'Listings'!$A$2:$A$169,0)))</x:f>
        <x:v>&gt;1–3 mi</x:v>
      </x:c>
      <x:c r="I31" s="10" t="str">
        <x:v>ocpw46rjcl</x:v>
      </x:c>
      <x:c r="J31" s="10" t="str">
        <x:f>IF(INDEX('Listings'!$C$2:$C$169,MATCH($I31,'Listings'!$A$2:$A$169,0))="","",INDEX('Listings'!$C$2:$C$169,MATCH($I31,'Listings'!$A$2:$A$169,0)))</x:f>
        <x:v>https://offcampus.dasa.ncsu.edu/housing/property/brand-new-luxury-furnished-townhome-4-bed-3-5-bath-5-min-to-nc-state-and-3-mins-to-fenton-shop/ocpw46rjcl</x:v>
      </x:c>
      <x:c r="K31" s="10" t="str">
        <x:f>IF(INDEX('Listings'!$AG$2:$AG$169,MATCH($I31,'Listings'!$A$2:$A$169,0))="","",INDEX('Listings'!$AG$2:$AG$169,MATCH($I31,'Listings'!$A$2:$A$169,0)))</x:f>
        <x:v>Source pricing flag retained; automated consistency checks passed. This is not independent landlord verification.</x:v>
      </x:c>
    </x:row>
    <x:row r="32" ht="24" hidden="0" customHeight="1">
      <x:c r="A32" s="10" t="str">
        <x:f>IF(INDEX('Listings'!$B$2:$B$169,MATCH($I32,'Listings'!$A$2:$A$169,0))="","",INDEX('Listings'!$B$2:$B$169,MATCH($I32,'Listings'!$A$2:$A$169,0)))</x:f>
        <x:v>Brand-New 4BR Townhomes - Eight at State</x:v>
      </x:c>
      <x:c r="B32" s="10" t="str">
        <x:f>IF(INDEX('Listings'!$E$2:$E$169,MATCH($I32,'Listings'!$A$2:$A$169,0))="","",INDEX('Listings'!$E$2:$E$169,MATCH($I32,'Listings'!$A$2:$A$169,0)))</x:f>
        <x:v>Whole unit</x:v>
      </x:c>
      <x:c r="C32" s="11" t="n">
        <x:f>IF(INDEX('Listings'!$H$2:$H$169,MATCH($I32,'Listings'!$A$2:$A$169,0))="","",INDEX('Listings'!$H$2:$H$169,MATCH($I32,'Listings'!$A$2:$A$169,0)))</x:f>
        <x:v>4000</x:v>
      </x:c>
      <x:c r="D32" s="11" t="n">
        <x:f>IF(INDEX('Listings'!$I$2:$I$169,MATCH($I32,'Listings'!$A$2:$A$169,0))="","",INDEX('Listings'!$I$2:$I$169,MATCH($I32,'Listings'!$A$2:$A$169,0)))</x:f>
        <x:v>4000</x:v>
      </x:c>
      <x:c r="E32" s="10" t="str">
        <x:v>Usable price pair within study area.</x:v>
      </x:c>
      <x:c r="F32" s="10" t="str">
        <x:f>IF(INDEX('Listings'!$Q$2:$Q$169,MATCH($I32,'Listings'!$A$2:$A$169,0))="","",INDEX('Listings'!$Q$2:$Q$169,MATCH($I32,'Listings'!$A$2:$A$169,0)))</x:f>
        <x:v>0–1 mi</x:v>
      </x:c>
      <x:c r="G32" s="10" t="str">
        <x:f>IF(INDEX('Listings'!$S$2:$S$169,MATCH($I32,'Listings'!$A$2:$A$169,0))="","",INDEX('Listings'!$S$2:$S$169,MATCH($I32,'Listings'!$A$2:$A$169,0)))</x:f>
        <x:v>&gt;1–3 mi</x:v>
      </x:c>
      <x:c r="H32" s="10" t="str">
        <x:f>IF(INDEX('Listings'!$U$2:$U$169,MATCH($I32,'Listings'!$A$2:$A$169,0))="","",INDEX('Listings'!$U$2:$U$169,MATCH($I32,'Listings'!$A$2:$A$169,0)))</x:f>
        <x:v>&gt;1–3 mi</x:v>
      </x:c>
      <x:c r="I32" s="10" t="str">
        <x:v>ocp85fz0j3</x:v>
      </x:c>
      <x:c r="J32" s="10" t="str">
        <x:f>IF(INDEX('Listings'!$C$2:$C$169,MATCH($I32,'Listings'!$A$2:$A$169,0))="","",INDEX('Listings'!$C$2:$C$169,MATCH($I32,'Listings'!$A$2:$A$169,0)))</x:f>
        <x:v>https://offcampus.dasa.ncsu.edu/housing/property/brand-new-4br-townhomes-eight-at-state/ocp85fz0j3</x:v>
      </x:c>
      <x:c r="K32" s="10" t="str">
        <x:f>IF(INDEX('Listings'!$AG$2:$AG$169,MATCH($I32,'Listings'!$A$2:$A$169,0))="","",INDEX('Listings'!$AG$2:$AG$169,MATCH($I32,'Listings'!$A$2:$A$169,0)))</x:f>
        <x:v>Source pricing flag retained; automated consistency checks passed. This is not independent landlord verification.</x:v>
      </x:c>
    </x:row>
    <x:row r="33" ht="24" hidden="0" customHeight="1">
      <x:c r="A33" s="10" t="str">
        <x:f>IF(INDEX('Listings'!$B$2:$B$169,MATCH($I33,'Listings'!$A$2:$A$169,0))="","",INDEX('Listings'!$B$2:$B$169,MATCH($I33,'Listings'!$A$2:$A$169,0)))</x:f>
        <x:v>Brick Bungalow close to Campus</x:v>
      </x:c>
      <x:c r="B33" s="10" t="str">
        <x:f>IF(INDEX('Listings'!$E$2:$E$169,MATCH($I33,'Listings'!$A$2:$A$169,0))="","",INDEX('Listings'!$E$2:$E$169,MATCH($I33,'Listings'!$A$2:$A$169,0)))</x:f>
        <x:v>Per bedroom</x:v>
      </x:c>
      <x:c r="C33" s="11" t="n">
        <x:f>IF(INDEX('Listings'!$H$2:$H$169,MATCH($I33,'Listings'!$A$2:$A$169,0))="","",INDEX('Listings'!$H$2:$H$169,MATCH($I33,'Listings'!$A$2:$A$169,0)))</x:f>
        <x:v>1050</x:v>
      </x:c>
      <x:c r="D33" s="11" t="n">
        <x:f>IF(INDEX('Listings'!$I$2:$I$169,MATCH($I33,'Listings'!$A$2:$A$169,0))="","",INDEX('Listings'!$I$2:$I$169,MATCH($I33,'Listings'!$A$2:$A$169,0)))</x:f>
        <x:v>1050</x:v>
      </x:c>
      <x:c r="E33" s="10" t="str">
        <x:v>Usable price pair within study area.</x:v>
      </x:c>
      <x:c r="F33" s="10" t="str">
        <x:f>IF(INDEX('Listings'!$Q$2:$Q$169,MATCH($I33,'Listings'!$A$2:$A$169,0))="","",INDEX('Listings'!$Q$2:$Q$169,MATCH($I33,'Listings'!$A$2:$A$169,0)))</x:f>
        <x:v>&gt;3–5 mi</x:v>
      </x:c>
      <x:c r="G33" s="10" t="str">
        <x:f>IF(INDEX('Listings'!$S$2:$S$169,MATCH($I33,'Listings'!$A$2:$A$169,0))="","",INDEX('Listings'!$S$2:$S$169,MATCH($I33,'Listings'!$A$2:$A$169,0)))</x:f>
        <x:v>&gt;3–5 mi</x:v>
      </x:c>
      <x:c r="H33" s="10" t="str">
        <x:f>IF(INDEX('Listings'!$U$2:$U$169,MATCH($I33,'Listings'!$A$2:$A$169,0))="","",INDEX('Listings'!$U$2:$U$169,MATCH($I33,'Listings'!$A$2:$A$169,0)))</x:f>
        <x:v>&gt;3–5 mi</x:v>
      </x:c>
      <x:c r="I33" s="10" t="str">
        <x:v>ocp90bdzb4</x:v>
      </x:c>
      <x:c r="J33" s="10" t="str">
        <x:f>IF(INDEX('Listings'!$C$2:$C$169,MATCH($I33,'Listings'!$A$2:$A$169,0))="","",INDEX('Listings'!$C$2:$C$169,MATCH($I33,'Listings'!$A$2:$A$169,0)))</x:f>
        <x:v>https://offcampus.dasa.ncsu.edu/housing/property/brick-bungalow-close-to-campus/ocp90bdzb4</x:v>
      </x:c>
      <x:c r="K33" s="10" t="str">
        <x:f>IF(INDEX('Listings'!$AG$2:$AG$169,MATCH($I33,'Listings'!$A$2:$A$169,0))="","",INDEX('Listings'!$AG$2:$AG$169,MATCH($I33,'Listings'!$A$2:$A$169,0)))</x:f>
        <x:v>Source pricing flag retained; automated consistency checks passed. This is not independent landlord verification.</x:v>
      </x:c>
    </x:row>
    <x:row r="34" ht="24" hidden="0" customHeight="1">
      <x:c r="A34" s="10" t="str">
        <x:f>IF(INDEX('Listings'!$B$2:$B$169,MATCH($I34,'Listings'!$A$2:$A$169,0))="","",INDEX('Listings'!$B$2:$B$169,MATCH($I34,'Listings'!$A$2:$A$169,0)))</x:f>
        <x:v>Brickside</x:v>
      </x:c>
      <x:c r="B34" s="10" t="str">
        <x:f>IF(INDEX('Listings'!$E$2:$E$169,MATCH($I34,'Listings'!$A$2:$A$169,0))="","",INDEX('Listings'!$E$2:$E$169,MATCH($I34,'Listings'!$A$2:$A$169,0)))</x:f>
        <x:v>Per bedroom</x:v>
      </x:c>
      <x:c r="C34" s="11" t="n">
        <x:f>IF(INDEX('Listings'!$H$2:$H$169,MATCH($I34,'Listings'!$A$2:$A$169,0))="","",INDEX('Listings'!$H$2:$H$169,MATCH($I34,'Listings'!$A$2:$A$169,0)))</x:f>
        <x:v>999</x:v>
      </x:c>
      <x:c r="D34" s="11" t="n">
        <x:f>IF(INDEX('Listings'!$I$2:$I$169,MATCH($I34,'Listings'!$A$2:$A$169,0))="","",INDEX('Listings'!$I$2:$I$169,MATCH($I34,'Listings'!$A$2:$A$169,0)))</x:f>
        <x:v>1825</x:v>
      </x:c>
      <x:c r="E34" s="10" t="str">
        <x:v>Usable price pair within study area.</x:v>
      </x:c>
      <x:c r="F34" s="10" t="str">
        <x:f>IF(INDEX('Listings'!$Q$2:$Q$169,MATCH($I34,'Listings'!$A$2:$A$169,0))="","",INDEX('Listings'!$Q$2:$Q$169,MATCH($I34,'Listings'!$A$2:$A$169,0)))</x:f>
        <x:v>0–1 mi</x:v>
      </x:c>
      <x:c r="G34" s="10" t="str">
        <x:f>IF(INDEX('Listings'!$S$2:$S$169,MATCH($I34,'Listings'!$A$2:$A$169,0))="","",INDEX('Listings'!$S$2:$S$169,MATCH($I34,'Listings'!$A$2:$A$169,0)))</x:f>
        <x:v>&gt;1–3 mi</x:v>
      </x:c>
      <x:c r="H34" s="10" t="str">
        <x:f>IF(INDEX('Listings'!$U$2:$U$169,MATCH($I34,'Listings'!$A$2:$A$169,0))="","",INDEX('Listings'!$U$2:$U$169,MATCH($I34,'Listings'!$A$2:$A$169,0)))</x:f>
        <x:v>&gt;1–3 mi</x:v>
      </x:c>
      <x:c r="I34" s="10" t="str">
        <x:v>75medjw</x:v>
      </x:c>
      <x:c r="J34" s="10" t="str">
        <x:f>IF(INDEX('Listings'!$C$2:$C$169,MATCH($I34,'Listings'!$A$2:$A$169,0))="","",INDEX('Listings'!$C$2:$C$169,MATCH($I34,'Listings'!$A$2:$A$169,0)))</x:f>
        <x:v>https://offcampus.dasa.ncsu.edu/housing/property/brickside/75medjw</x:v>
      </x:c>
      <x:c r="K34" s="10" t="str">
        <x:f>IF(INDEX('Listings'!$AG$2:$AG$169,MATCH($I34,'Listings'!$A$2:$A$169,0))="","",INDEX('Listings'!$AG$2:$AG$169,MATCH($I34,'Listings'!$A$2:$A$169,0)))</x:f>
        <x:v>Source pricing flag retained; automated consistency checks passed. This is not independent landlord verification.</x:v>
      </x:c>
    </x:row>
    <x:row r="35" ht="24" hidden="0" customHeight="1">
      <x:c r="A35" s="10" t="str">
        <x:f>IF(INDEX('Listings'!$B$2:$B$169,MATCH($I35,'Listings'!$A$2:$A$169,0))="","",INDEX('Listings'!$B$2:$B$169,MATCH($I35,'Listings'!$A$2:$A$169,0)))</x:f>
        <x:v>Bright 2 BR, 2 BA unit in vibrant Person St district</x:v>
      </x:c>
      <x:c r="B35" s="10" t="str">
        <x:f>IF(INDEX('Listings'!$E$2:$E$169,MATCH($I35,'Listings'!$A$2:$A$169,0))="","",INDEX('Listings'!$E$2:$E$169,MATCH($I35,'Listings'!$A$2:$A$169,0)))</x:f>
        <x:v>Whole unit</x:v>
      </x:c>
      <x:c r="C35" s="11" t="n">
        <x:f>IF(INDEX('Listings'!$H$2:$H$169,MATCH($I35,'Listings'!$A$2:$A$169,0))="","",INDEX('Listings'!$H$2:$H$169,MATCH($I35,'Listings'!$A$2:$A$169,0)))</x:f>
        <x:v>1950</x:v>
      </x:c>
      <x:c r="D35" s="11" t="n">
        <x:f>IF(INDEX('Listings'!$I$2:$I$169,MATCH($I35,'Listings'!$A$2:$A$169,0))="","",INDEX('Listings'!$I$2:$I$169,MATCH($I35,'Listings'!$A$2:$A$169,0)))</x:f>
        <x:v>1950</x:v>
      </x:c>
      <x:c r="E35" s="10" t="str">
        <x:v>Usable price pair within study area.</x:v>
      </x:c>
      <x:c r="F35" s="10" t="str">
        <x:f>IF(INDEX('Listings'!$Q$2:$Q$169,MATCH($I35,'Listings'!$A$2:$A$169,0))="","",INDEX('Listings'!$Q$2:$Q$169,MATCH($I35,'Listings'!$A$2:$A$169,0)))</x:f>
        <x:v>&gt;1–3 mi</x:v>
      </x:c>
      <x:c r="G35" s="10" t="str">
        <x:f>IF(INDEX('Listings'!$S$2:$S$169,MATCH($I35,'Listings'!$A$2:$A$169,0))="","",INDEX('Listings'!$S$2:$S$169,MATCH($I35,'Listings'!$A$2:$A$169,0)))</x:f>
        <x:v>&gt;1–3 mi</x:v>
      </x:c>
      <x:c r="H35" s="10" t="str">
        <x:f>IF(INDEX('Listings'!$U$2:$U$169,MATCH($I35,'Listings'!$A$2:$A$169,0))="","",INDEX('Listings'!$U$2:$U$169,MATCH($I35,'Listings'!$A$2:$A$169,0)))</x:f>
        <x:v>&gt;3–5 mi</x:v>
      </x:c>
      <x:c r="I35" s="10" t="str">
        <x:v>ocp8d9cwv0</x:v>
      </x:c>
      <x:c r="J35" s="10" t="str">
        <x:f>IF(INDEX('Listings'!$C$2:$C$169,MATCH($I35,'Listings'!$A$2:$A$169,0))="","",INDEX('Listings'!$C$2:$C$169,MATCH($I35,'Listings'!$A$2:$A$169,0)))</x:f>
        <x:v>https://offcampus.dasa.ncsu.edu/housing/property/bright-2-br-2-ba-unit-in-vibrant-person-st-district/ocp8d9cwv0</x:v>
      </x:c>
      <x:c r="K35" s="10" t="str">
        <x:f>IF(INDEX('Listings'!$AG$2:$AG$169,MATCH($I35,'Listings'!$A$2:$A$169,0))="","",INDEX('Listings'!$AG$2:$AG$169,MATCH($I35,'Listings'!$A$2:$A$169,0)))</x:f>
        <x:v>Source pricing flag retained; automated consistency checks passed. This is not independent landlord verification.</x:v>
      </x:c>
    </x:row>
    <x:row r="36" ht="24" hidden="0" customHeight="1">
      <x:c r="A36" s="10" t="str">
        <x:f>IF(INDEX('Listings'!$B$2:$B$169,MATCH($I36,'Listings'!$A$2:$A$169,0))="","",INDEX('Listings'!$B$2:$B$169,MATCH($I36,'Listings'!$A$2:$A$169,0)))</x:f>
        <x:v>Brook Hill Townhouse - Students Save Up to 10%</x:v>
      </x:c>
      <x:c r="B36" s="10" t="str">
        <x:f>IF(INDEX('Listings'!$E$2:$E$169,MATCH($I36,'Listings'!$A$2:$A$169,0))="","",INDEX('Listings'!$E$2:$E$169,MATCH($I36,'Listings'!$A$2:$A$169,0)))</x:f>
        <x:v>Whole unit</x:v>
      </x:c>
      <x:c r="C36" s="11" t="n">
        <x:f>IF(INDEX('Listings'!$H$2:$H$169,MATCH($I36,'Listings'!$A$2:$A$169,0))="","",INDEX('Listings'!$H$2:$H$169,MATCH($I36,'Listings'!$A$2:$A$169,0)))</x:f>
        <x:v>1350</x:v>
      </x:c>
      <x:c r="D36" s="11" t="n">
        <x:f>IF(INDEX('Listings'!$I$2:$I$169,MATCH($I36,'Listings'!$A$2:$A$169,0))="","",INDEX('Listings'!$I$2:$I$169,MATCH($I36,'Listings'!$A$2:$A$169,0)))</x:f>
        <x:v>1645</x:v>
      </x:c>
      <x:c r="E36" s="10" t="str">
        <x:v>Usable price pair within study area.</x:v>
      </x:c>
      <x:c r="F36" s="10" t="str">
        <x:f>IF(INDEX('Listings'!$Q$2:$Q$169,MATCH($I36,'Listings'!$A$2:$A$169,0))="","",INDEX('Listings'!$Q$2:$Q$169,MATCH($I36,'Listings'!$A$2:$A$169,0)))</x:f>
        <x:v>&gt;1–3 mi</x:v>
      </x:c>
      <x:c r="G36" s="10" t="str">
        <x:f>IF(INDEX('Listings'!$S$2:$S$169,MATCH($I36,'Listings'!$A$2:$A$169,0))="","",INDEX('Listings'!$S$2:$S$169,MATCH($I36,'Listings'!$A$2:$A$169,0)))</x:f>
        <x:v>&gt;3–5 mi</x:v>
      </x:c>
      <x:c r="H36" s="10" t="str">
        <x:f>IF(INDEX('Listings'!$U$2:$U$169,MATCH($I36,'Listings'!$A$2:$A$169,0))="","",INDEX('Listings'!$U$2:$U$169,MATCH($I36,'Listings'!$A$2:$A$169,0)))</x:f>
        <x:v>&gt;1–3 mi</x:v>
      </x:c>
      <x:c r="I36" s="10" t="str">
        <x:v>70rqkwy</x:v>
      </x:c>
      <x:c r="J36" s="10" t="str">
        <x:f>IF(INDEX('Listings'!$C$2:$C$169,MATCH($I36,'Listings'!$A$2:$A$169,0))="","",INDEX('Listings'!$C$2:$C$169,MATCH($I36,'Listings'!$A$2:$A$169,0)))</x:f>
        <x:v>https://offcampus.dasa.ncsu.edu/housing/property/brook-hill-townhouse-students-save-up-to-10/70rqkwy</x:v>
      </x:c>
      <x:c r="K36" s="10" t="str">
        <x:f>IF(INDEX('Listings'!$AG$2:$AG$169,MATCH($I36,'Listings'!$A$2:$A$169,0))="","",INDEX('Listings'!$AG$2:$AG$169,MATCH($I36,'Listings'!$A$2:$A$169,0)))</x:f>
        <x:v>Source pricing flag retained; automated consistency checks passed. This is not independent landlord verification.</x:v>
      </x:c>
    </x:row>
    <x:row r="37" ht="36" hidden="0" customHeight="1">
      <x:c r="A37" s="10" t="str">
        <x:f>IF(INDEX('Listings'!$B$2:$B$169,MATCH($I37,'Listings'!$A$2:$A$169,0))="","",INDEX('Listings'!$B$2:$B$169,MATCH($I37,'Listings'!$A$2:$A$169,0)))</x:f>
        <x:v>Burt Drive Townhouses---Brand New Luxury Housing within walking distance to NCSU</x:v>
      </x:c>
      <x:c r="B37" s="10" t="str">
        <x:f>IF(INDEX('Listings'!$E$2:$E$169,MATCH($I37,'Listings'!$A$2:$A$169,0))="","",INDEX('Listings'!$E$2:$E$169,MATCH($I37,'Listings'!$A$2:$A$169,0)))</x:f>
        <x:v>Per bedroom</x:v>
      </x:c>
      <x:c r="C37" s="11" t="n">
        <x:f>IF(INDEX('Listings'!$H$2:$H$169,MATCH($I37,'Listings'!$A$2:$A$169,0))="","",INDEX('Listings'!$H$2:$H$169,MATCH($I37,'Listings'!$A$2:$A$169,0)))</x:f>
        <x:v>1050</x:v>
      </x:c>
      <x:c r="D37" s="11" t="n">
        <x:f>IF(INDEX('Listings'!$I$2:$I$169,MATCH($I37,'Listings'!$A$2:$A$169,0))="","",INDEX('Listings'!$I$2:$I$169,MATCH($I37,'Listings'!$A$2:$A$169,0)))</x:f>
        <x:v>1050</x:v>
      </x:c>
      <x:c r="E37" s="10" t="str">
        <x:v>Usable price pair within study area.</x:v>
      </x:c>
      <x:c r="F37" s="10" t="str">
        <x:f>IF(INDEX('Listings'!$Q$2:$Q$169,MATCH($I37,'Listings'!$A$2:$A$169,0))="","",INDEX('Listings'!$Q$2:$Q$169,MATCH($I37,'Listings'!$A$2:$A$169,0)))</x:f>
        <x:v>0–1 mi</x:v>
      </x:c>
      <x:c r="G37" s="10" t="str">
        <x:f>IF(INDEX('Listings'!$S$2:$S$169,MATCH($I37,'Listings'!$A$2:$A$169,0))="","",INDEX('Listings'!$S$2:$S$169,MATCH($I37,'Listings'!$A$2:$A$169,0)))</x:f>
        <x:v>0–1 mi</x:v>
      </x:c>
      <x:c r="H37" s="10" t="str">
        <x:f>IF(INDEX('Listings'!$U$2:$U$169,MATCH($I37,'Listings'!$A$2:$A$169,0))="","",INDEX('Listings'!$U$2:$U$169,MATCH($I37,'Listings'!$A$2:$A$169,0)))</x:f>
        <x:v>&gt;1–3 mi</x:v>
      </x:c>
      <x:c r="I37" s="10" t="str">
        <x:v>ocpm68s5sh</x:v>
      </x:c>
      <x:c r="J37" s="10" t="str">
        <x:f>IF(INDEX('Listings'!$C$2:$C$169,MATCH($I37,'Listings'!$A$2:$A$169,0))="","",INDEX('Listings'!$C$2:$C$169,MATCH($I37,'Listings'!$A$2:$A$169,0)))</x:f>
        <x:v>https://offcampus.dasa.ncsu.edu/housing/property/burt-drive-townhouses-brand-new-luxury-housing-within-walking-distance-to-ncsu/ocpm68s5sh</x:v>
      </x:c>
      <x:c r="K37" s="10" t="str">
        <x:f>IF(INDEX('Listings'!$AG$2:$AG$169,MATCH($I37,'Listings'!$A$2:$A$169,0))="","",INDEX('Listings'!$AG$2:$AG$169,MATCH($I37,'Listings'!$A$2:$A$169,0)))</x:f>
        <x:v>Source pricing flag retained; automated consistency checks passed. This is not independent landlord verification.</x:v>
      </x:c>
    </x:row>
    <x:row r="38" ht="24" hidden="0" customHeight="1">
      <x:c r="A38" s="10" t="str">
        <x:f>IF(INDEX('Listings'!$B$2:$B$169,MATCH($I38,'Listings'!$A$2:$A$169,0))="","",INDEX('Listings'!$B$2:$B$169,MATCH($I38,'Listings'!$A$2:$A$169,0)))</x:f>
        <x:v>Campus Crossings Raleigh</x:v>
      </x:c>
      <x:c r="B38" s="10" t="str">
        <x:f>IF(INDEX('Listings'!$E$2:$E$169,MATCH($I38,'Listings'!$A$2:$A$169,0))="","",INDEX('Listings'!$E$2:$E$169,MATCH($I38,'Listings'!$A$2:$A$169,0)))</x:f>
        <x:v>Per bedroom</x:v>
      </x:c>
      <x:c r="C38" s="11" t="n">
        <x:f>IF(INDEX('Listings'!$H$2:$H$169,MATCH($I38,'Listings'!$A$2:$A$169,0))="","",INDEX('Listings'!$H$2:$H$169,MATCH($I38,'Listings'!$A$2:$A$169,0)))</x:f>
        <x:v>685</x:v>
      </x:c>
      <x:c r="D38" s="11" t="n">
        <x:f>IF(INDEX('Listings'!$I$2:$I$169,MATCH($I38,'Listings'!$A$2:$A$169,0))="","",INDEX('Listings'!$I$2:$I$169,MATCH($I38,'Listings'!$A$2:$A$169,0)))</x:f>
        <x:v>870</x:v>
      </x:c>
      <x:c r="E38" s="10" t="str">
        <x:v>Usable price pair within study area.</x:v>
      </x:c>
      <x:c r="F38" s="10" t="str">
        <x:f>IF(INDEX('Listings'!$Q$2:$Q$169,MATCH($I38,'Listings'!$A$2:$A$169,0))="","",INDEX('Listings'!$Q$2:$Q$169,MATCH($I38,'Listings'!$A$2:$A$169,0)))</x:f>
        <x:v>&gt;1–3 mi</x:v>
      </x:c>
      <x:c r="G38" s="10" t="str">
        <x:f>IF(INDEX('Listings'!$S$2:$S$169,MATCH($I38,'Listings'!$A$2:$A$169,0))="","",INDEX('Listings'!$S$2:$S$169,MATCH($I38,'Listings'!$A$2:$A$169,0)))</x:f>
        <x:v>&gt;1–3 mi</x:v>
      </x:c>
      <x:c r="H38" s="10" t="str">
        <x:f>IF(INDEX('Listings'!$U$2:$U$169,MATCH($I38,'Listings'!$A$2:$A$169,0))="","",INDEX('Listings'!$U$2:$U$169,MATCH($I38,'Listings'!$A$2:$A$169,0)))</x:f>
        <x:v>&gt;3–5 mi</x:v>
      </x:c>
      <x:c r="I38" s="10" t="str">
        <x:v>z8cfdjw</x:v>
      </x:c>
      <x:c r="J38" s="10" t="str">
        <x:f>IF(INDEX('Listings'!$C$2:$C$169,MATCH($I38,'Listings'!$A$2:$A$169,0))="","",INDEX('Listings'!$C$2:$C$169,MATCH($I38,'Listings'!$A$2:$A$169,0)))</x:f>
        <x:v>https://offcampus.dasa.ncsu.edu/housing/property/campus-crossings-raleigh/z8cfdjw</x:v>
      </x:c>
      <x:c r="K38" s="10" t="str">
        <x:f>IF(INDEX('Listings'!$AG$2:$AG$169,MATCH($I38,'Listings'!$A$2:$A$169,0))="","",INDEX('Listings'!$AG$2:$AG$169,MATCH($I38,'Listings'!$A$2:$A$169,0)))</x:f>
        <x:v>Source pricing flag retained; automated consistency checks passed. This is not independent landlord verification.</x:v>
      </x:c>
    </x:row>
    <x:row r="39" ht="24" hidden="0" customHeight="1">
      <x:c r="A39" s="10" t="str">
        <x:f>IF(INDEX('Listings'!$B$2:$B$169,MATCH($I39,'Listings'!$A$2:$A$169,0))="","",INDEX('Listings'!$B$2:$B$169,MATCH($I39,'Listings'!$A$2:$A$169,0)))</x:f>
        <x:v>Campus Crossings Raleigh</x:v>
      </x:c>
      <x:c r="B39" s="10" t="str">
        <x:f>IF(INDEX('Listings'!$E$2:$E$169,MATCH($I39,'Listings'!$A$2:$A$169,0))="","",INDEX('Listings'!$E$2:$E$169,MATCH($I39,'Listings'!$A$2:$A$169,0)))</x:f>
        <x:v>Per bedroom</x:v>
      </x:c>
      <x:c r="C39" s="11" t="n">
        <x:f>IF(INDEX('Listings'!$H$2:$H$169,MATCH($I39,'Listings'!$A$2:$A$169,0))="","",INDEX('Listings'!$H$2:$H$169,MATCH($I39,'Listings'!$A$2:$A$169,0)))</x:f>
        <x:v>865</x:v>
      </x:c>
      <x:c r="D39" s="11" t="n">
        <x:f>IF(INDEX('Listings'!$I$2:$I$169,MATCH($I39,'Listings'!$A$2:$A$169,0))="","",INDEX('Listings'!$I$2:$I$169,MATCH($I39,'Listings'!$A$2:$A$169,0)))</x:f>
        <x:v>865</x:v>
      </x:c>
      <x:c r="E39" s="10" t="str">
        <x:v>Usable price pair within study area.</x:v>
      </x:c>
      <x:c r="F39" s="10" t="str">
        <x:f>IF(INDEX('Listings'!$Q$2:$Q$169,MATCH($I39,'Listings'!$A$2:$A$169,0))="","",INDEX('Listings'!$Q$2:$Q$169,MATCH($I39,'Listings'!$A$2:$A$169,0)))</x:f>
        <x:v>&gt;1–3 mi</x:v>
      </x:c>
      <x:c r="G39" s="10" t="str">
        <x:f>IF(INDEX('Listings'!$S$2:$S$169,MATCH($I39,'Listings'!$A$2:$A$169,0))="","",INDEX('Listings'!$S$2:$S$169,MATCH($I39,'Listings'!$A$2:$A$169,0)))</x:f>
        <x:v>&gt;1–3 mi</x:v>
      </x:c>
      <x:c r="H39" s="10" t="str">
        <x:f>IF(INDEX('Listings'!$U$2:$U$169,MATCH($I39,'Listings'!$A$2:$A$169,0))="","",INDEX('Listings'!$U$2:$U$169,MATCH($I39,'Listings'!$A$2:$A$169,0)))</x:f>
        <x:v>&gt;3–5 mi</x:v>
      </x:c>
      <x:c r="I39" s="10" t="str">
        <x:v>ocp176ghy4</x:v>
      </x:c>
      <x:c r="J39" s="10" t="str">
        <x:f>IF(INDEX('Listings'!$C$2:$C$169,MATCH($I39,'Listings'!$A$2:$A$169,0))="","",INDEX('Listings'!$C$2:$C$169,MATCH($I39,'Listings'!$A$2:$A$169,0)))</x:f>
        <x:v>https://offcampus.dasa.ncsu.edu/housing/property/campus-crossings-raleigh/ocp176ghy4</x:v>
      </x:c>
      <x:c r="K39" s="10" t="str">
        <x:f>IF(INDEX('Listings'!$AG$2:$AG$169,MATCH($I39,'Listings'!$A$2:$A$169,0))="","",INDEX('Listings'!$AG$2:$AG$169,MATCH($I39,'Listings'!$A$2:$A$169,0)))</x:f>
        <x:v>Source pricing flag retained; automated consistency checks passed. This is not independent landlord verification.</x:v>
      </x:c>
    </x:row>
    <x:row r="40" ht="24" hidden="0" customHeight="1">
      <x:c r="A40" s="10" t="str">
        <x:f>IF(INDEX('Listings'!$B$2:$B$169,MATCH($I40,'Listings'!$A$2:$A$169,0))="","",INDEX('Listings'!$B$2:$B$169,MATCH($I40,'Listings'!$A$2:$A$169,0)))</x:f>
        <x:v>Campus West at Tryon</x:v>
      </x:c>
      <x:c r="B40" s="10" t="str">
        <x:f>IF(INDEX('Listings'!$E$2:$E$169,MATCH($I40,'Listings'!$A$2:$A$169,0))="","",INDEX('Listings'!$E$2:$E$169,MATCH($I40,'Listings'!$A$2:$A$169,0)))</x:f>
        <x:v>Per bedroom</x:v>
      </x:c>
      <x:c r="C40" s="11" t="n">
        <x:f>IF(INDEX('Listings'!$H$2:$H$169,MATCH($I40,'Listings'!$A$2:$A$169,0))="","",INDEX('Listings'!$H$2:$H$169,MATCH($I40,'Listings'!$A$2:$A$169,0)))</x:f>
        <x:v>699</x:v>
      </x:c>
      <x:c r="D40" s="11" t="n">
        <x:f>IF(INDEX('Listings'!$I$2:$I$169,MATCH($I40,'Listings'!$A$2:$A$169,0))="","",INDEX('Listings'!$I$2:$I$169,MATCH($I40,'Listings'!$A$2:$A$169,0)))</x:f>
        <x:v>699</x:v>
      </x:c>
      <x:c r="E40" s="10" t="str">
        <x:v>Usable price pair within study area.</x:v>
      </x:c>
      <x:c r="F40" s="10" t="str">
        <x:f>IF(INDEX('Listings'!$Q$2:$Q$169,MATCH($I40,'Listings'!$A$2:$A$169,0))="","",INDEX('Listings'!$Q$2:$Q$169,MATCH($I40,'Listings'!$A$2:$A$169,0)))</x:f>
        <x:v>&gt;1–3 mi</x:v>
      </x:c>
      <x:c r="G40" s="10" t="str">
        <x:f>IF(INDEX('Listings'!$S$2:$S$169,MATCH($I40,'Listings'!$A$2:$A$169,0))="","",INDEX('Listings'!$S$2:$S$169,MATCH($I40,'Listings'!$A$2:$A$169,0)))</x:f>
        <x:v>&gt;1–3 mi</x:v>
      </x:c>
      <x:c r="H40" s="10" t="str">
        <x:f>IF(INDEX('Listings'!$U$2:$U$169,MATCH($I40,'Listings'!$A$2:$A$169,0))="","",INDEX('Listings'!$U$2:$U$169,MATCH($I40,'Listings'!$A$2:$A$169,0)))</x:f>
        <x:v>&gt;3–5 mi</x:v>
      </x:c>
      <x:c r="I40" s="10" t="str">
        <x:v>0pm7tt3</x:v>
      </x:c>
      <x:c r="J40" s="10" t="str">
        <x:f>IF(INDEX('Listings'!$C$2:$C$169,MATCH($I40,'Listings'!$A$2:$A$169,0))="","",INDEX('Listings'!$C$2:$C$169,MATCH($I40,'Listings'!$A$2:$A$169,0)))</x:f>
        <x:v>https://offcampus.dasa.ncsu.edu/housing/property/campus-west-at-tryon/0pm7tt3</x:v>
      </x:c>
      <x:c r="K40" s="10" t="str">
        <x:f>IF(INDEX('Listings'!$AG$2:$AG$169,MATCH($I40,'Listings'!$A$2:$A$169,0))="","",INDEX('Listings'!$AG$2:$AG$169,MATCH($I40,'Listings'!$A$2:$A$169,0)))</x:f>
        <x:v>Source pricing flag retained; automated consistency checks passed. This is not independent landlord verification.</x:v>
      </x:c>
    </x:row>
    <x:row r="41" ht="24" hidden="0" customHeight="1">
      <x:c r="A41" s="10" t="str">
        <x:f>IF(INDEX('Listings'!$B$2:$B$169,MATCH($I41,'Listings'!$A$2:$A$169,0))="","",INDEX('Listings'!$B$2:$B$169,MATCH($I41,'Listings'!$A$2:$A$169,0)))</x:f>
        <x:v>Centennial Ridge Student Housing</x:v>
      </x:c>
      <x:c r="B41" s="10" t="str">
        <x:f>IF(INDEX('Listings'!$E$2:$E$169,MATCH($I41,'Listings'!$A$2:$A$169,0))="","",INDEX('Listings'!$E$2:$E$169,MATCH($I41,'Listings'!$A$2:$A$169,0)))</x:f>
        <x:v>Per bedroom</x:v>
      </x:c>
      <x:c r="C41" s="11" t="n">
        <x:f>IF(INDEX('Listings'!$H$2:$H$169,MATCH($I41,'Listings'!$A$2:$A$169,0))="","",INDEX('Listings'!$H$2:$H$169,MATCH($I41,'Listings'!$A$2:$A$169,0)))</x:f>
        <x:v>599</x:v>
      </x:c>
      <x:c r="D41" s="11" t="n">
        <x:f>IF(INDEX('Listings'!$I$2:$I$169,MATCH($I41,'Listings'!$A$2:$A$169,0))="","",INDEX('Listings'!$I$2:$I$169,MATCH($I41,'Listings'!$A$2:$A$169,0)))</x:f>
        <x:v>2157</x:v>
      </x:c>
      <x:c r="E41" s="10" t="str">
        <x:v>Usable price pair within study area.</x:v>
      </x:c>
      <x:c r="F41" s="10" t="str">
        <x:f>IF(INDEX('Listings'!$Q$2:$Q$169,MATCH($I41,'Listings'!$A$2:$A$169,0))="","",INDEX('Listings'!$Q$2:$Q$169,MATCH($I41,'Listings'!$A$2:$A$169,0)))</x:f>
        <x:v>&gt;1–3 mi</x:v>
      </x:c>
      <x:c r="G41" s="10" t="str">
        <x:f>IF(INDEX('Listings'!$S$2:$S$169,MATCH($I41,'Listings'!$A$2:$A$169,0))="","",INDEX('Listings'!$S$2:$S$169,MATCH($I41,'Listings'!$A$2:$A$169,0)))</x:f>
        <x:v>&gt;1–3 mi</x:v>
      </x:c>
      <x:c r="H41" s="10" t="str">
        <x:f>IF(INDEX('Listings'!$U$2:$U$169,MATCH($I41,'Listings'!$A$2:$A$169,0))="","",INDEX('Listings'!$U$2:$U$169,MATCH($I41,'Listings'!$A$2:$A$169,0)))</x:f>
        <x:v>&gt;3–5 mi</x:v>
      </x:c>
      <x:c r="I41" s="10" t="str">
        <x:v>7e6kx1w</x:v>
      </x:c>
      <x:c r="J41" s="10" t="str">
        <x:f>IF(INDEX('Listings'!$C$2:$C$169,MATCH($I41,'Listings'!$A$2:$A$169,0))="","",INDEX('Listings'!$C$2:$C$169,MATCH($I41,'Listings'!$A$2:$A$169,0)))</x:f>
        <x:v>https://offcampus.dasa.ncsu.edu/housing/property/centennial-ridge-student-housing/7e6kx1w</x:v>
      </x:c>
      <x:c r="K41" s="10" t="str">
        <x:f>IF(INDEX('Listings'!$AG$2:$AG$169,MATCH($I41,'Listings'!$A$2:$A$169,0))="","",INDEX('Listings'!$AG$2:$AG$169,MATCH($I41,'Listings'!$A$2:$A$169,0)))</x:f>
        <x:v>Portal explicitly labels the entire $599–$2,157 range per bedroom (reviewed September 13). Retained as reported, but the high endpoint needs landlord confirmation. Sensitivity results also omit this listing; no assumed division by three.</x:v>
      </x:c>
    </x:row>
    <x:row r="42" ht="24" hidden="0" customHeight="1">
      <x:c r="A42" s="10" t="str">
        <x:f>IF(INDEX('Listings'!$B$2:$B$169,MATCH($I42,'Listings'!$A$2:$A$169,0))="","",INDEX('Listings'!$B$2:$B$169,MATCH($I42,'Listings'!$A$2:$A$169,0)))</x:f>
        <x:v>Champion Court Condo</x:v>
      </x:c>
      <x:c r="B42" s="10" t="str">
        <x:f>IF(INDEX('Listings'!$E$2:$E$169,MATCH($I42,'Listings'!$A$2:$A$169,0))="","",INDEX('Listings'!$E$2:$E$169,MATCH($I42,'Listings'!$A$2:$A$169,0)))</x:f>
        <x:v>Whole unit</x:v>
      </x:c>
      <x:c r="C42" s="11" t="n">
        <x:f>IF(INDEX('Listings'!$H$2:$H$169,MATCH($I42,'Listings'!$A$2:$A$169,0))="","",INDEX('Listings'!$H$2:$H$169,MATCH($I42,'Listings'!$A$2:$A$169,0)))</x:f>
        <x:v>1500</x:v>
      </x:c>
      <x:c r="D42" s="11" t="n">
        <x:f>IF(INDEX('Listings'!$I$2:$I$169,MATCH($I42,'Listings'!$A$2:$A$169,0))="","",INDEX('Listings'!$I$2:$I$169,MATCH($I42,'Listings'!$A$2:$A$169,0)))</x:f>
        <x:v>1500</x:v>
      </x:c>
      <x:c r="E42" s="10" t="str">
        <x:v>Usable price pair within study area.</x:v>
      </x:c>
      <x:c r="F42" s="10" t="str">
        <x:f>IF(INDEX('Listings'!$Q$2:$Q$169,MATCH($I42,'Listings'!$A$2:$A$169,0))="","",INDEX('Listings'!$Q$2:$Q$169,MATCH($I42,'Listings'!$A$2:$A$169,0)))</x:f>
        <x:v>0–1 mi</x:v>
      </x:c>
      <x:c r="G42" s="10" t="str">
        <x:f>IF(INDEX('Listings'!$S$2:$S$169,MATCH($I42,'Listings'!$A$2:$A$169,0))="","",INDEX('Listings'!$S$2:$S$169,MATCH($I42,'Listings'!$A$2:$A$169,0)))</x:f>
        <x:v>0–1 mi</x:v>
      </x:c>
      <x:c r="H42" s="10" t="str">
        <x:f>IF(INDEX('Listings'!$U$2:$U$169,MATCH($I42,'Listings'!$A$2:$A$169,0))="","",INDEX('Listings'!$U$2:$U$169,MATCH($I42,'Listings'!$A$2:$A$169,0)))</x:f>
        <x:v>&gt;1–3 mi</x:v>
      </x:c>
      <x:c r="I42" s="10" t="str">
        <x:v>ocpf3gzfct</x:v>
      </x:c>
      <x:c r="J42" s="10" t="str">
        <x:f>IF(INDEX('Listings'!$C$2:$C$169,MATCH($I42,'Listings'!$A$2:$A$169,0))="","",INDEX('Listings'!$C$2:$C$169,MATCH($I42,'Listings'!$A$2:$A$169,0)))</x:f>
        <x:v>https://offcampus.dasa.ncsu.edu/housing/property/champion-court-condo/ocpf3gzfct</x:v>
      </x:c>
      <x:c r="K42" s="10" t="str">
        <x:f>IF(INDEX('Listings'!$AG$2:$AG$169,MATCH($I42,'Listings'!$A$2:$A$169,0))="","",INDEX('Listings'!$AG$2:$AG$169,MATCH($I42,'Listings'!$A$2:$A$169,0)))</x:f>
        <x:v>Source pricing flag retained; automated consistency checks passed. This is not independent landlord verification.</x:v>
      </x:c>
    </x:row>
    <x:row r="43" ht="24" hidden="0" customHeight="1">
      <x:c r="A43" s="10" t="str">
        <x:f>IF(INDEX('Listings'!$B$2:$B$169,MATCH($I43,'Listings'!$A$2:$A$169,0))="","",INDEX('Listings'!$B$2:$B$169,MATCH($I43,'Listings'!$A$2:$A$169,0)))</x:f>
        <x:v>College Inn</x:v>
      </x:c>
      <x:c r="B43" s="10" t="str">
        <x:f>IF(INDEX('Listings'!$E$2:$E$169,MATCH($I43,'Listings'!$A$2:$A$169,0))="","",INDEX('Listings'!$E$2:$E$169,MATCH($I43,'Listings'!$A$2:$A$169,0)))</x:f>
        <x:v>Per bedroom</x:v>
      </x:c>
      <x:c r="C43" s="11" t="n">
        <x:f>IF(INDEX('Listings'!$H$2:$H$169,MATCH($I43,'Listings'!$A$2:$A$169,0))="","",INDEX('Listings'!$H$2:$H$169,MATCH($I43,'Listings'!$A$2:$A$169,0)))</x:f>
        <x:v>859</x:v>
      </x:c>
      <x:c r="D43" s="11" t="n">
        <x:f>IF(INDEX('Listings'!$I$2:$I$169,MATCH($I43,'Listings'!$A$2:$A$169,0))="","",INDEX('Listings'!$I$2:$I$169,MATCH($I43,'Listings'!$A$2:$A$169,0)))</x:f>
        <x:v>1275</x:v>
      </x:c>
      <x:c r="E43" s="10" t="str">
        <x:v>Usable price pair within study area.</x:v>
      </x:c>
      <x:c r="F43" s="10" t="str">
        <x:f>IF(INDEX('Listings'!$Q$2:$Q$169,MATCH($I43,'Listings'!$A$2:$A$169,0))="","",INDEX('Listings'!$Q$2:$Q$169,MATCH($I43,'Listings'!$A$2:$A$169,0)))</x:f>
        <x:v>0–1 mi</x:v>
      </x:c>
      <x:c r="G43" s="10" t="str">
        <x:f>IF(INDEX('Listings'!$S$2:$S$169,MATCH($I43,'Listings'!$A$2:$A$169,0))="","",INDEX('Listings'!$S$2:$S$169,MATCH($I43,'Listings'!$A$2:$A$169,0)))</x:f>
        <x:v>0–1 mi</x:v>
      </x:c>
      <x:c r="H43" s="10" t="str">
        <x:f>IF(INDEX('Listings'!$U$2:$U$169,MATCH($I43,'Listings'!$A$2:$A$169,0))="","",INDEX('Listings'!$U$2:$U$169,MATCH($I43,'Listings'!$A$2:$A$169,0)))</x:f>
        <x:v>&gt;1–3 mi</x:v>
      </x:c>
      <x:c r="I43" s="10" t="str">
        <x:v>se736e5</x:v>
      </x:c>
      <x:c r="J43" s="10" t="str">
        <x:f>IF(INDEX('Listings'!$C$2:$C$169,MATCH($I43,'Listings'!$A$2:$A$169,0))="","",INDEX('Listings'!$C$2:$C$169,MATCH($I43,'Listings'!$A$2:$A$169,0)))</x:f>
        <x:v>https://offcampus.dasa.ncsu.edu/housing/property/college-inn/se736e5</x:v>
      </x:c>
      <x:c r="K43" s="10" t="str">
        <x:f>IF(INDEX('Listings'!$AG$2:$AG$169,MATCH($I43,'Listings'!$A$2:$A$169,0))="","",INDEX('Listings'!$AG$2:$AG$169,MATCH($I43,'Listings'!$A$2:$A$169,0)))</x:f>
        <x:v>Source pricing flag retained; automated consistency checks passed. This is not independent landlord verification.</x:v>
      </x:c>
    </x:row>
    <x:row r="44" ht="24" hidden="0" customHeight="1">
      <x:c r="A44" s="10" t="str">
        <x:f>IF(INDEX('Listings'!$B$2:$B$169,MATCH($I44,'Listings'!$A$2:$A$169,0))="","",INDEX('Listings'!$B$2:$B$169,MATCH($I44,'Listings'!$A$2:$A$169,0)))</x:f>
        <x:v>Collegeview Apartments</x:v>
      </x:c>
      <x:c r="B44" s="10" t="str">
        <x:f>IF(INDEX('Listings'!$E$2:$E$169,MATCH($I44,'Listings'!$A$2:$A$169,0))="","",INDEX('Listings'!$E$2:$E$169,MATCH($I44,'Listings'!$A$2:$A$169,0)))</x:f>
        <x:v>Whole unit</x:v>
      </x:c>
      <x:c r="C44" s="11" t="n">
        <x:f>IF(INDEX('Listings'!$H$2:$H$169,MATCH($I44,'Listings'!$A$2:$A$169,0))="","",INDEX('Listings'!$H$2:$H$169,MATCH($I44,'Listings'!$A$2:$A$169,0)))</x:f>
        <x:v>1445</x:v>
      </x:c>
      <x:c r="D44" s="11" t="n">
        <x:f>IF(INDEX('Listings'!$I$2:$I$169,MATCH($I44,'Listings'!$A$2:$A$169,0))="","",INDEX('Listings'!$I$2:$I$169,MATCH($I44,'Listings'!$A$2:$A$169,0)))</x:f>
        <x:v>1545</x:v>
      </x:c>
      <x:c r="E44" s="10" t="str">
        <x:v>Usable price pair within study area.</x:v>
      </x:c>
      <x:c r="F44" s="10" t="str">
        <x:f>IF(INDEX('Listings'!$Q$2:$Q$169,MATCH($I44,'Listings'!$A$2:$A$169,0))="","",INDEX('Listings'!$Q$2:$Q$169,MATCH($I44,'Listings'!$A$2:$A$169,0)))</x:f>
        <x:v>0–1 mi</x:v>
      </x:c>
      <x:c r="G44" s="10" t="str">
        <x:f>IF(INDEX('Listings'!$S$2:$S$169,MATCH($I44,'Listings'!$A$2:$A$169,0))="","",INDEX('Listings'!$S$2:$S$169,MATCH($I44,'Listings'!$A$2:$A$169,0)))</x:f>
        <x:v>0–1 mi</x:v>
      </x:c>
      <x:c r="H44" s="10" t="str">
        <x:f>IF(INDEX('Listings'!$U$2:$U$169,MATCH($I44,'Listings'!$A$2:$A$169,0))="","",INDEX('Listings'!$U$2:$U$169,MATCH($I44,'Listings'!$A$2:$A$169,0)))</x:f>
        <x:v>&gt;1–3 mi</x:v>
      </x:c>
      <x:c r="I44" s="10" t="str">
        <x:v>ocplp7c98d</x:v>
      </x:c>
      <x:c r="J44" s="10" t="str">
        <x:f>IF(INDEX('Listings'!$C$2:$C$169,MATCH($I44,'Listings'!$A$2:$A$169,0))="","",INDEX('Listings'!$C$2:$C$169,MATCH($I44,'Listings'!$A$2:$A$169,0)))</x:f>
        <x:v>https://offcampus.dasa.ncsu.edu/housing/property/collegeview-apartments/ocplp7c98d</x:v>
      </x:c>
      <x:c r="K44" s="10" t="str">
        <x:f>IF(INDEX('Listings'!$AG$2:$AG$169,MATCH($I44,'Listings'!$A$2:$A$169,0))="","",INDEX('Listings'!$AG$2:$AG$169,MATCH($I44,'Listings'!$A$2:$A$169,0)))</x:f>
        <x:v>Source pricing flag retained; automated consistency checks passed. This is not independent landlord verification.</x:v>
      </x:c>
    </x:row>
    <x:row r="45" ht="36" hidden="0" customHeight="1">
      <x:c r="A45" s="10" t="str">
        <x:f>IF(INDEX('Listings'!$B$2:$B$169,MATCH($I45,'Listings'!$A$2:$A$169,0))="","",INDEX('Listings'!$B$2:$B$169,MATCH($I45,'Listings'!$A$2:$A$169,0)))</x:f>
        <x:v>Collegeview Duplex--Brand New Luxury Housing within walking distance to NCSU</x:v>
      </x:c>
      <x:c r="B45" s="10" t="str">
        <x:f>IF(INDEX('Listings'!$E$2:$E$169,MATCH($I45,'Listings'!$A$2:$A$169,0))="","",INDEX('Listings'!$E$2:$E$169,MATCH($I45,'Listings'!$A$2:$A$169,0)))</x:f>
        <x:v>Per bedroom</x:v>
      </x:c>
      <x:c r="C45" s="11" t="n">
        <x:f>IF(INDEX('Listings'!$H$2:$H$169,MATCH($I45,'Listings'!$A$2:$A$169,0))="","",INDEX('Listings'!$H$2:$H$169,MATCH($I45,'Listings'!$A$2:$A$169,0)))</x:f>
        <x:v>900</x:v>
      </x:c>
      <x:c r="D45" s="11" t="n">
        <x:f>IF(INDEX('Listings'!$I$2:$I$169,MATCH($I45,'Listings'!$A$2:$A$169,0))="","",INDEX('Listings'!$I$2:$I$169,MATCH($I45,'Listings'!$A$2:$A$169,0)))</x:f>
        <x:v>950</x:v>
      </x:c>
      <x:c r="E45" s="10" t="str">
        <x:v>Usable price pair within study area.</x:v>
      </x:c>
      <x:c r="F45" s="10" t="str">
        <x:f>IF(INDEX('Listings'!$Q$2:$Q$169,MATCH($I45,'Listings'!$A$2:$A$169,0))="","",INDEX('Listings'!$Q$2:$Q$169,MATCH($I45,'Listings'!$A$2:$A$169,0)))</x:f>
        <x:v>0–1 mi</x:v>
      </x:c>
      <x:c r="G45" s="10" t="str">
        <x:f>IF(INDEX('Listings'!$S$2:$S$169,MATCH($I45,'Listings'!$A$2:$A$169,0))="","",INDEX('Listings'!$S$2:$S$169,MATCH($I45,'Listings'!$A$2:$A$169,0)))</x:f>
        <x:v>0–1 mi</x:v>
      </x:c>
      <x:c r="H45" s="10" t="str">
        <x:f>IF(INDEX('Listings'!$U$2:$U$169,MATCH($I45,'Listings'!$A$2:$A$169,0))="","",INDEX('Listings'!$U$2:$U$169,MATCH($I45,'Listings'!$A$2:$A$169,0)))</x:f>
        <x:v>&gt;1–3 mi</x:v>
      </x:c>
      <x:c r="I45" s="10" t="str">
        <x:v>ocppjxdd3r</x:v>
      </x:c>
      <x:c r="J45" s="10" t="str">
        <x:f>IF(INDEX('Listings'!$C$2:$C$169,MATCH($I45,'Listings'!$A$2:$A$169,0))="","",INDEX('Listings'!$C$2:$C$169,MATCH($I45,'Listings'!$A$2:$A$169,0)))</x:f>
        <x:v>https://offcampus.dasa.ncsu.edu/housing/property/collegeview-duplex-brand-new-luxury-housing-within-walking-distance-to-ncsu/ocppjxdd3r</x:v>
      </x:c>
      <x:c r="K45" s="10" t="str">
        <x:f>IF(INDEX('Listings'!$AG$2:$AG$169,MATCH($I45,'Listings'!$A$2:$A$169,0))="","",INDEX('Listings'!$AG$2:$AG$169,MATCH($I45,'Listings'!$A$2:$A$169,0)))</x:f>
        <x:v>Source pricing flag retained; automated consistency checks passed. This is not independent landlord verification.</x:v>
      </x:c>
    </x:row>
    <x:row r="46" ht="24" hidden="0" customHeight="1">
      <x:c r="A46" s="10" t="str">
        <x:f>IF(INDEX('Listings'!$B$2:$B$169,MATCH($I46,'Listings'!$A$2:$A$169,0))="","",INDEX('Listings'!$B$2:$B$169,MATCH($I46,'Listings'!$A$2:$A$169,0)))</x:f>
        <x:v>Condo near NCSU</x:v>
      </x:c>
      <x:c r="B46" s="10" t="str">
        <x:f>IF(INDEX('Listings'!$E$2:$E$169,MATCH($I46,'Listings'!$A$2:$A$169,0))="","",INDEX('Listings'!$E$2:$E$169,MATCH($I46,'Listings'!$A$2:$A$169,0)))</x:f>
        <x:v>Per bedroom</x:v>
      </x:c>
      <x:c r="C46" s="11" t="n">
        <x:f>IF(INDEX('Listings'!$H$2:$H$169,MATCH($I46,'Listings'!$A$2:$A$169,0))="","",INDEX('Listings'!$H$2:$H$169,MATCH($I46,'Listings'!$A$2:$A$169,0)))</x:f>
        <x:v>800</x:v>
      </x:c>
      <x:c r="D46" s="11" t="n">
        <x:f>IF(INDEX('Listings'!$I$2:$I$169,MATCH($I46,'Listings'!$A$2:$A$169,0))="","",INDEX('Listings'!$I$2:$I$169,MATCH($I46,'Listings'!$A$2:$A$169,0)))</x:f>
        <x:v>800</x:v>
      </x:c>
      <x:c r="E46" s="10" t="str">
        <x:v>Usable price pair within study area.</x:v>
      </x:c>
      <x:c r="F46" s="10" t="str">
        <x:f>IF(INDEX('Listings'!$Q$2:$Q$169,MATCH($I46,'Listings'!$A$2:$A$169,0))="","",INDEX('Listings'!$Q$2:$Q$169,MATCH($I46,'Listings'!$A$2:$A$169,0)))</x:f>
        <x:v>&gt;1–3 mi</x:v>
      </x:c>
      <x:c r="G46" s="10" t="str">
        <x:f>IF(INDEX('Listings'!$S$2:$S$169,MATCH($I46,'Listings'!$A$2:$A$169,0))="","",INDEX('Listings'!$S$2:$S$169,MATCH($I46,'Listings'!$A$2:$A$169,0)))</x:f>
        <x:v>&gt;1–3 mi</x:v>
      </x:c>
      <x:c r="H46" s="10" t="str">
        <x:f>IF(INDEX('Listings'!$U$2:$U$169,MATCH($I46,'Listings'!$A$2:$A$169,0))="","",INDEX('Listings'!$U$2:$U$169,MATCH($I46,'Listings'!$A$2:$A$169,0)))</x:f>
        <x:v>&gt;1–3 mi</x:v>
      </x:c>
      <x:c r="I46" s="10" t="str">
        <x:v>ocpx51p4tm</x:v>
      </x:c>
      <x:c r="J46" s="10" t="str">
        <x:f>IF(INDEX('Listings'!$C$2:$C$169,MATCH($I46,'Listings'!$A$2:$A$169,0))="","",INDEX('Listings'!$C$2:$C$169,MATCH($I46,'Listings'!$A$2:$A$169,0)))</x:f>
        <x:v>https://offcampus.dasa.ncsu.edu/housing/property/condo-near-ncsu/ocpx51p4tm</x:v>
      </x:c>
      <x:c r="K46" s="10" t="str">
        <x:f>IF(INDEX('Listings'!$AG$2:$AG$169,MATCH($I46,'Listings'!$A$2:$A$169,0))="","",INDEX('Listings'!$AG$2:$AG$169,MATCH($I46,'Listings'!$A$2:$A$169,0)))</x:f>
        <x:v>Source pricing flag retained; automated consistency checks passed. This is not independent landlord verification.</x:v>
      </x:c>
    </x:row>
    <x:row r="47" ht="36" hidden="0" customHeight="1">
      <x:c r="A47" s="10" t="str">
        <x:f>IF(INDEX('Listings'!$B$2:$B$169,MATCH($I47,'Listings'!$A$2:$A$169,0))="","",INDEX('Listings'!$B$2:$B$169,MATCH($I47,'Listings'!$A$2:$A$169,0)))</x:f>
        <x:v>Convenient Kaplan Dr property near NCSU buses, park, grocery, with parking space &amp; private bathroom</x:v>
      </x:c>
      <x:c r="B47" s="10" t="str">
        <x:f>IF(INDEX('Listings'!$E$2:$E$169,MATCH($I47,'Listings'!$A$2:$A$169,0))="","",INDEX('Listings'!$E$2:$E$169,MATCH($I47,'Listings'!$A$2:$A$169,0)))</x:f>
        <x:v>Per bedroom</x:v>
      </x:c>
      <x:c r="C47" s="11" t="n">
        <x:f>IF(INDEX('Listings'!$H$2:$H$169,MATCH($I47,'Listings'!$A$2:$A$169,0))="","",INDEX('Listings'!$H$2:$H$169,MATCH($I47,'Listings'!$A$2:$A$169,0)))</x:f>
        <x:v>675</x:v>
      </x:c>
      <x:c r="D47" s="11" t="n">
        <x:f>IF(INDEX('Listings'!$I$2:$I$169,MATCH($I47,'Listings'!$A$2:$A$169,0))="","",INDEX('Listings'!$I$2:$I$169,MATCH($I47,'Listings'!$A$2:$A$169,0)))</x:f>
        <x:v>675</x:v>
      </x:c>
      <x:c r="E47" s="10" t="str">
        <x:v>Usable price pair within study area.</x:v>
      </x:c>
      <x:c r="F47" s="10" t="str">
        <x:f>IF(INDEX('Listings'!$Q$2:$Q$169,MATCH($I47,'Listings'!$A$2:$A$169,0))="","",INDEX('Listings'!$Q$2:$Q$169,MATCH($I47,'Listings'!$A$2:$A$169,0)))</x:f>
        <x:v>0–1 mi</x:v>
      </x:c>
      <x:c r="G47" s="10" t="str">
        <x:f>IF(INDEX('Listings'!$S$2:$S$169,MATCH($I47,'Listings'!$A$2:$A$169,0))="","",INDEX('Listings'!$S$2:$S$169,MATCH($I47,'Listings'!$A$2:$A$169,0)))</x:f>
        <x:v>0–1 mi</x:v>
      </x:c>
      <x:c r="H47" s="10" t="str">
        <x:f>IF(INDEX('Listings'!$U$2:$U$169,MATCH($I47,'Listings'!$A$2:$A$169,0))="","",INDEX('Listings'!$U$2:$U$169,MATCH($I47,'Listings'!$A$2:$A$169,0)))</x:f>
        <x:v>&gt;1–3 mi</x:v>
      </x:c>
      <x:c r="I47" s="10" t="str">
        <x:v>ocp5lwrmvq</x:v>
      </x:c>
      <x:c r="J47" s="10" t="str">
        <x:f>IF(INDEX('Listings'!$C$2:$C$169,MATCH($I47,'Listings'!$A$2:$A$169,0))="","",INDEX('Listings'!$C$2:$C$169,MATCH($I47,'Listings'!$A$2:$A$169,0)))</x:f>
        <x:v>https://offcampus.dasa.ncsu.edu/housing/property/convenient-kaplan-dr-property-near-ncsu-buses-park-grocery-with-parking-space-and-private-bathroom/ocp5lwrmvq</x:v>
      </x:c>
      <x:c r="K47" s="10" t="str">
        <x:f>IF(INDEX('Listings'!$AG$2:$AG$169,MATCH($I47,'Listings'!$A$2:$A$169,0))="","",INDEX('Listings'!$AG$2:$AG$169,MATCH($I47,'Listings'!$A$2:$A$169,0)))</x:f>
        <x:v>Source pricing flag retained; automated consistency checks passed. This is not independent landlord verification.</x:v>
      </x:c>
    </x:row>
    <x:row r="48" ht="24" hidden="0" customHeight="1">
      <x:c r="A48" s="10" t="str">
        <x:f>IF(INDEX('Listings'!$B$2:$B$169,MATCH($I48,'Listings'!$A$2:$A$169,0))="","",INDEX('Listings'!$B$2:$B$169,MATCH($I48,'Listings'!$A$2:$A$169,0)))</x:f>
        <x:v>Cozy house 10 min walk to campus</x:v>
      </x:c>
      <x:c r="B48" s="10" t="str">
        <x:f>IF(INDEX('Listings'!$E$2:$E$169,MATCH($I48,'Listings'!$A$2:$A$169,0))="","",INDEX('Listings'!$E$2:$E$169,MATCH($I48,'Listings'!$A$2:$A$169,0)))</x:f>
        <x:v>Per bedroom</x:v>
      </x:c>
      <x:c r="C48" s="11" t="n">
        <x:f>IF(INDEX('Listings'!$H$2:$H$169,MATCH($I48,'Listings'!$A$2:$A$169,0))="","",INDEX('Listings'!$H$2:$H$169,MATCH($I48,'Listings'!$A$2:$A$169,0)))</x:f>
        <x:v>1500</x:v>
      </x:c>
      <x:c r="D48" s="11" t="n">
        <x:f>IF(INDEX('Listings'!$I$2:$I$169,MATCH($I48,'Listings'!$A$2:$A$169,0))="","",INDEX('Listings'!$I$2:$I$169,MATCH($I48,'Listings'!$A$2:$A$169,0)))</x:f>
        <x:v>1500</x:v>
      </x:c>
      <x:c r="E48" s="10" t="str">
        <x:v>Usable price pair within study area.</x:v>
      </x:c>
      <x:c r="F48" s="10" t="str">
        <x:f>IF(INDEX('Listings'!$Q$2:$Q$169,MATCH($I48,'Listings'!$A$2:$A$169,0))="","",INDEX('Listings'!$Q$2:$Q$169,MATCH($I48,'Listings'!$A$2:$A$169,0)))</x:f>
        <x:v>&gt;1–3 mi</x:v>
      </x:c>
      <x:c r="G48" s="10" t="str">
        <x:f>IF(INDEX('Listings'!$S$2:$S$169,MATCH($I48,'Listings'!$A$2:$A$169,0))="","",INDEX('Listings'!$S$2:$S$169,MATCH($I48,'Listings'!$A$2:$A$169,0)))</x:f>
        <x:v>&gt;1–3 mi</x:v>
      </x:c>
      <x:c r="H48" s="10" t="str">
        <x:f>IF(INDEX('Listings'!$U$2:$U$169,MATCH($I48,'Listings'!$A$2:$A$169,0))="","",INDEX('Listings'!$U$2:$U$169,MATCH($I48,'Listings'!$A$2:$A$169,0)))</x:f>
        <x:v>&gt;1–3 mi</x:v>
      </x:c>
      <x:c r="I48" s="10" t="str">
        <x:v>ocphycq162</x:v>
      </x:c>
      <x:c r="J48" s="10" t="str">
        <x:f>IF(INDEX('Listings'!$C$2:$C$169,MATCH($I48,'Listings'!$A$2:$A$169,0))="","",INDEX('Listings'!$C$2:$C$169,MATCH($I48,'Listings'!$A$2:$A$169,0)))</x:f>
        <x:v>https://offcampus.dasa.ncsu.edu/housing/property/cozy-house-10-min-walk-to-campus/ocphycq162</x:v>
      </x:c>
      <x:c r="K48" s="10" t="str">
        <x:f>IF(INDEX('Listings'!$AG$2:$AG$169,MATCH($I48,'Listings'!$A$2:$A$169,0))="","",INDEX('Listings'!$AG$2:$AG$169,MATCH($I48,'Listings'!$A$2:$A$169,0)))</x:f>
        <x:v>Source pricing flag retained; automated consistency checks passed. This is not independent landlord verification.</x:v>
      </x:c>
    </x:row>
    <x:row r="49" ht="24" hidden="0" customHeight="1">
      <x:c r="A49" s="10" t="str">
        <x:f>IF(INDEX('Listings'!$B$2:$B$169,MATCH($I49,'Listings'!$A$2:$A$169,0))="","",INDEX('Listings'!$B$2:$B$169,MATCH($I49,'Listings'!$A$2:$A$169,0)))</x:f>
        <x:v>Cozy private apt</x:v>
      </x:c>
      <x:c r="B49" s="10" t="str">
        <x:f>IF(INDEX('Listings'!$E$2:$E$169,MATCH($I49,'Listings'!$A$2:$A$169,0))="","",INDEX('Listings'!$E$2:$E$169,MATCH($I49,'Listings'!$A$2:$A$169,0)))</x:f>
        <x:v>Whole unit</x:v>
      </x:c>
      <x:c r="C49" s="11" t="n">
        <x:f>IF(INDEX('Listings'!$H$2:$H$169,MATCH($I49,'Listings'!$A$2:$A$169,0))="","",INDEX('Listings'!$H$2:$H$169,MATCH($I49,'Listings'!$A$2:$A$169,0)))</x:f>
        <x:v>1595</x:v>
      </x:c>
      <x:c r="D49" s="11" t="n">
        <x:f>IF(INDEX('Listings'!$I$2:$I$169,MATCH($I49,'Listings'!$A$2:$A$169,0))="","",INDEX('Listings'!$I$2:$I$169,MATCH($I49,'Listings'!$A$2:$A$169,0)))</x:f>
        <x:v>1595</x:v>
      </x:c>
      <x:c r="E49" s="10" t="str">
        <x:v>Usable price pair within study area.</x:v>
      </x:c>
      <x:c r="F49" s="10" t="str">
        <x:f>IF(INDEX('Listings'!$Q$2:$Q$169,MATCH($I49,'Listings'!$A$2:$A$169,0))="","",INDEX('Listings'!$Q$2:$Q$169,MATCH($I49,'Listings'!$A$2:$A$169,0)))</x:f>
        <x:v>&gt;3–5 mi</x:v>
      </x:c>
      <x:c r="G49" s="10" t="str">
        <x:f>IF(INDEX('Listings'!$S$2:$S$169,MATCH($I49,'Listings'!$A$2:$A$169,0))="","",INDEX('Listings'!$S$2:$S$169,MATCH($I49,'Listings'!$A$2:$A$169,0)))</x:f>
        <x:v>&gt;3–5 mi</x:v>
      </x:c>
      <x:c r="H49" s="10" t="str">
        <x:f>IF(INDEX('Listings'!$U$2:$U$169,MATCH($I49,'Listings'!$A$2:$A$169,0))="","",INDEX('Listings'!$U$2:$U$169,MATCH($I49,'Listings'!$A$2:$A$169,0)))</x:f>
        <x:v>&gt;3–5 mi</x:v>
      </x:c>
      <x:c r="I49" s="10" t="str">
        <x:v>ocpsqjgls7</x:v>
      </x:c>
      <x:c r="J49" s="10" t="str">
        <x:f>IF(INDEX('Listings'!$C$2:$C$169,MATCH($I49,'Listings'!$A$2:$A$169,0))="","",INDEX('Listings'!$C$2:$C$169,MATCH($I49,'Listings'!$A$2:$A$169,0)))</x:f>
        <x:v>https://offcampus.dasa.ncsu.edu/housing/property/cozy-private-apt/ocpsqjgls7</x:v>
      </x:c>
      <x:c r="K49" s="10" t="str">
        <x:f>IF(INDEX('Listings'!$AG$2:$AG$169,MATCH($I49,'Listings'!$A$2:$A$169,0))="","",INDEX('Listings'!$AG$2:$AG$169,MATCH($I49,'Listings'!$A$2:$A$169,0)))</x:f>
        <x:v>Source pricing flag retained; automated consistency checks passed. This is not independent landlord verification.</x:v>
      </x:c>
    </x:row>
    <x:row r="50" ht="24" hidden="0" customHeight="1">
      <x:c r="A50" s="10" t="str">
        <x:f>IF(INDEX('Listings'!$B$2:$B$169,MATCH($I50,'Listings'!$A$2:$A$169,0))="","",INDEX('Listings'!$B$2:$B$169,MATCH($I50,'Listings'!$A$2:$A$169,0)))</x:f>
        <x:v>Crabtree Woods Townhome West Raleigh</x:v>
      </x:c>
      <x:c r="B50" s="10" t="str">
        <x:f>IF(INDEX('Listings'!$E$2:$E$169,MATCH($I50,'Listings'!$A$2:$A$169,0))="","",INDEX('Listings'!$E$2:$E$169,MATCH($I50,'Listings'!$A$2:$A$169,0)))</x:f>
        <x:v>Whole unit</x:v>
      </x:c>
      <x:c r="C50" s="11" t="n">
        <x:f>IF(INDEX('Listings'!$H$2:$H$169,MATCH($I50,'Listings'!$A$2:$A$169,0))="","",INDEX('Listings'!$H$2:$H$169,MATCH($I50,'Listings'!$A$2:$A$169,0)))</x:f>
        <x:v>1595</x:v>
      </x:c>
      <x:c r="D50" s="11" t="n">
        <x:f>IF(INDEX('Listings'!$I$2:$I$169,MATCH($I50,'Listings'!$A$2:$A$169,0))="","",INDEX('Listings'!$I$2:$I$169,MATCH($I50,'Listings'!$A$2:$A$169,0)))</x:f>
        <x:v>1595</x:v>
      </x:c>
      <x:c r="E50" s="10" t="str">
        <x:v>Usable price pair within study area.</x:v>
      </x:c>
      <x:c r="F50" s="10" t="str">
        <x:f>IF(INDEX('Listings'!$Q$2:$Q$169,MATCH($I50,'Listings'!$A$2:$A$169,0))="","",INDEX('Listings'!$Q$2:$Q$169,MATCH($I50,'Listings'!$A$2:$A$169,0)))</x:f>
        <x:v>&gt;3–5 mi</x:v>
      </x:c>
      <x:c r="G50" s="10" t="str">
        <x:f>IF(INDEX('Listings'!$S$2:$S$169,MATCH($I50,'Listings'!$A$2:$A$169,0))="","",INDEX('Listings'!$S$2:$S$169,MATCH($I50,'Listings'!$A$2:$A$169,0)))</x:f>
        <x:v>&gt;3–5 mi</x:v>
      </x:c>
      <x:c r="H50" s="10" t="str">
        <x:f>IF(INDEX('Listings'!$U$2:$U$169,MATCH($I50,'Listings'!$A$2:$A$169,0))="","",INDEX('Listings'!$U$2:$U$169,MATCH($I50,'Listings'!$A$2:$A$169,0)))</x:f>
        <x:v>&gt;1–3 mi</x:v>
      </x:c>
      <x:c r="I50" s="10" t="str">
        <x:v>ocp74dcp6w</x:v>
      </x:c>
      <x:c r="J50" s="10" t="str">
        <x:f>IF(INDEX('Listings'!$C$2:$C$169,MATCH($I50,'Listings'!$A$2:$A$169,0))="","",INDEX('Listings'!$C$2:$C$169,MATCH($I50,'Listings'!$A$2:$A$169,0)))</x:f>
        <x:v>https://offcampus.dasa.ncsu.edu/housing/property/crabtree-woods-townhome-west-raleigh/ocp74dcp6w</x:v>
      </x:c>
      <x:c r="K50" s="10" t="str">
        <x:f>IF(INDEX('Listings'!$AG$2:$AG$169,MATCH($I50,'Listings'!$A$2:$A$169,0))="","",INDEX('Listings'!$AG$2:$AG$169,MATCH($I50,'Listings'!$A$2:$A$169,0)))</x:f>
        <x:v>Source pricing flag retained; automated consistency checks passed. This is not independent landlord verification.</x:v>
      </x:c>
    </x:row>
    <x:row r="51" ht="24" hidden="0" customHeight="1">
      <x:c r="A51" s="10" t="str">
        <x:f>IF(INDEX('Listings'!$B$2:$B$169,MATCH($I51,'Listings'!$A$2:$A$169,0))="","",INDEX('Listings'!$B$2:$B$169,MATCH($I51,'Listings'!$A$2:$A$169,0)))</x:f>
        <x:v>Falcon Ridge subdivision</x:v>
      </x:c>
      <x:c r="B51" s="10" t="str">
        <x:f>IF(INDEX('Listings'!$E$2:$E$169,MATCH($I51,'Listings'!$A$2:$A$169,0))="","",INDEX('Listings'!$E$2:$E$169,MATCH($I51,'Listings'!$A$2:$A$169,0)))</x:f>
        <x:v>Per bedroom</x:v>
      </x:c>
      <x:c r="C51" s="11" t="n">
        <x:f>IF(INDEX('Listings'!$H$2:$H$169,MATCH($I51,'Listings'!$A$2:$A$169,0))="","",INDEX('Listings'!$H$2:$H$169,MATCH($I51,'Listings'!$A$2:$A$169,0)))</x:f>
        <x:v>650</x:v>
      </x:c>
      <x:c r="D51" s="11" t="n">
        <x:f>IF(INDEX('Listings'!$I$2:$I$169,MATCH($I51,'Listings'!$A$2:$A$169,0))="","",INDEX('Listings'!$I$2:$I$169,MATCH($I51,'Listings'!$A$2:$A$169,0)))</x:f>
        <x:v>650</x:v>
      </x:c>
      <x:c r="E51" s="10" t="str">
        <x:v>Usable price pair within study area.</x:v>
      </x:c>
      <x:c r="F51" s="10" t="str">
        <x:f>IF(INDEX('Listings'!$Q$2:$Q$169,MATCH($I51,'Listings'!$A$2:$A$169,0))="","",INDEX('Listings'!$Q$2:$Q$169,MATCH($I51,'Listings'!$A$2:$A$169,0)))</x:f>
        <x:v>0–1 mi</x:v>
      </x:c>
      <x:c r="G51" s="10" t="str">
        <x:f>IF(INDEX('Listings'!$S$2:$S$169,MATCH($I51,'Listings'!$A$2:$A$169,0))="","",INDEX('Listings'!$S$2:$S$169,MATCH($I51,'Listings'!$A$2:$A$169,0)))</x:f>
        <x:v>0–1 mi</x:v>
      </x:c>
      <x:c r="H51" s="10" t="str">
        <x:f>IF(INDEX('Listings'!$U$2:$U$169,MATCH($I51,'Listings'!$A$2:$A$169,0))="","",INDEX('Listings'!$U$2:$U$169,MATCH($I51,'Listings'!$A$2:$A$169,0)))</x:f>
        <x:v>&gt;1–3 mi</x:v>
      </x:c>
      <x:c r="I51" s="10" t="str">
        <x:v>ocpqh8kxbz</x:v>
      </x:c>
      <x:c r="J51" s="10" t="str">
        <x:f>IF(INDEX('Listings'!$C$2:$C$169,MATCH($I51,'Listings'!$A$2:$A$169,0))="","",INDEX('Listings'!$C$2:$C$169,MATCH($I51,'Listings'!$A$2:$A$169,0)))</x:f>
        <x:v>https://offcampus.dasa.ncsu.edu/housing/property/falcon-ridge-subdivision/ocpqh8kxbz</x:v>
      </x:c>
      <x:c r="K51" s="10" t="str">
        <x:f>IF(INDEX('Listings'!$AG$2:$AG$169,MATCH($I51,'Listings'!$A$2:$A$169,0))="","",INDEX('Listings'!$AG$2:$AG$169,MATCH($I51,'Listings'!$A$2:$A$169,0)))</x:f>
        <x:v>Source pricing flag retained; automated consistency checks passed. This is not independent landlord verification.</x:v>
      </x:c>
    </x:row>
    <x:row r="52" ht="24" hidden="0" customHeight="1">
      <x:c r="A52" s="10" t="str">
        <x:f>IF(INDEX('Listings'!$B$2:$B$169,MATCH($I52,'Listings'!$A$2:$A$169,0))="","",INDEX('Listings'!$B$2:$B$169,MATCH($I52,'Listings'!$A$2:$A$169,0)))</x:f>
        <x:v>Family Neighborhood with Greenway Access</x:v>
      </x:c>
      <x:c r="B52" s="10" t="str">
        <x:f>IF(INDEX('Listings'!$E$2:$E$169,MATCH($I52,'Listings'!$A$2:$A$169,0))="","",INDEX('Listings'!$E$2:$E$169,MATCH($I52,'Listings'!$A$2:$A$169,0)))</x:f>
        <x:v>Whole unit</x:v>
      </x:c>
      <x:c r="C52" s="11" t="n">
        <x:f>IF(INDEX('Listings'!$H$2:$H$169,MATCH($I52,'Listings'!$A$2:$A$169,0))="","",INDEX('Listings'!$H$2:$H$169,MATCH($I52,'Listings'!$A$2:$A$169,0)))</x:f>
        <x:v>3000</x:v>
      </x:c>
      <x:c r="D52" s="11" t="n">
        <x:f>IF(INDEX('Listings'!$I$2:$I$169,MATCH($I52,'Listings'!$A$2:$A$169,0))="","",INDEX('Listings'!$I$2:$I$169,MATCH($I52,'Listings'!$A$2:$A$169,0)))</x:f>
        <x:v>3500</x:v>
      </x:c>
      <x:c r="E52" s="10" t="str">
        <x:v>Usable price pair within study area.</x:v>
      </x:c>
      <x:c r="F52" s="10" t="str">
        <x:f>IF(INDEX('Listings'!$Q$2:$Q$169,MATCH($I52,'Listings'!$A$2:$A$169,0))="","",INDEX('Listings'!$Q$2:$Q$169,MATCH($I52,'Listings'!$A$2:$A$169,0)))</x:f>
        <x:v>&gt;3–5 mi</x:v>
      </x:c>
      <x:c r="G52" s="10" t="str">
        <x:f>IF(INDEX('Listings'!$S$2:$S$169,MATCH($I52,'Listings'!$A$2:$A$169,0))="","",INDEX('Listings'!$S$2:$S$169,MATCH($I52,'Listings'!$A$2:$A$169,0)))</x:f>
        <x:v>&gt;3–5 mi</x:v>
      </x:c>
      <x:c r="H52" s="10" t="str">
        <x:f>IF(INDEX('Listings'!$U$2:$U$169,MATCH($I52,'Listings'!$A$2:$A$169,0))="","",INDEX('Listings'!$U$2:$U$169,MATCH($I52,'Listings'!$A$2:$A$169,0)))</x:f>
        <x:v>Outside 5 mi</x:v>
      </x:c>
      <x:c r="I52" s="10" t="str">
        <x:v>ocpsgy1zk5</x:v>
      </x:c>
      <x:c r="J52" s="10" t="str">
        <x:f>IF(INDEX('Listings'!$C$2:$C$169,MATCH($I52,'Listings'!$A$2:$A$169,0))="","",INDEX('Listings'!$C$2:$C$169,MATCH($I52,'Listings'!$A$2:$A$169,0)))</x:f>
        <x:v>https://offcampus.dasa.ncsu.edu/housing/property/family-neighborhood-with-greenway-access/ocpsgy1zk5</x:v>
      </x:c>
      <x:c r="K52" s="10" t="str">
        <x:f>IF(INDEX('Listings'!$AG$2:$AG$169,MATCH($I52,'Listings'!$A$2:$A$169,0))="","",INDEX('Listings'!$AG$2:$AG$169,MATCH($I52,'Listings'!$A$2:$A$169,0)))</x:f>
        <x:v>Source pricing flag retained; automated consistency checks passed. This is not independent landlord verification.</x:v>
      </x:c>
    </x:row>
    <x:row r="53" ht="36" hidden="0" customHeight="1">
      <x:c r="A53" s="10" t="str">
        <x:f>IF(INDEX('Listings'!$B$2:$B$169,MATCH($I53,'Listings'!$A$2:$A$169,0))="","",INDEX('Listings'!$B$2:$B$169,MATCH($I53,'Listings'!$A$2:$A$169,0)))</x:f>
        <x:v>Flex Stay | Lux Furnished | 3 Bed |  Pets OK | Utilities Incl. | International OK</x:v>
      </x:c>
      <x:c r="B53" s="10" t="str">
        <x:f>IF(INDEX('Listings'!$E$2:$E$169,MATCH($I53,'Listings'!$A$2:$A$169,0))="","",INDEX('Listings'!$E$2:$E$169,MATCH($I53,'Listings'!$A$2:$A$169,0)))</x:f>
        <x:v>Whole unit</x:v>
      </x:c>
      <x:c r="C53" s="11" t="n">
        <x:f>IF(INDEX('Listings'!$H$2:$H$169,MATCH($I53,'Listings'!$A$2:$A$169,0))="","",INDEX('Listings'!$H$2:$H$169,MATCH($I53,'Listings'!$A$2:$A$169,0)))</x:f>
        <x:v>2800</x:v>
      </x:c>
      <x:c r="D53" s="11" t="n">
        <x:f>IF(INDEX('Listings'!$I$2:$I$169,MATCH($I53,'Listings'!$A$2:$A$169,0))="","",INDEX('Listings'!$I$2:$I$169,MATCH($I53,'Listings'!$A$2:$A$169,0)))</x:f>
        <x:v>2800</x:v>
      </x:c>
      <x:c r="E53" s="10" t="str">
        <x:v>Usable price pair within study area.</x:v>
      </x:c>
      <x:c r="F53" s="10" t="str">
        <x:f>IF(INDEX('Listings'!$Q$2:$Q$169,MATCH($I53,'Listings'!$A$2:$A$169,0))="","",INDEX('Listings'!$Q$2:$Q$169,MATCH($I53,'Listings'!$A$2:$A$169,0)))</x:f>
        <x:v>0–1 mi</x:v>
      </x:c>
      <x:c r="G53" s="10" t="str">
        <x:f>IF(INDEX('Listings'!$S$2:$S$169,MATCH($I53,'Listings'!$A$2:$A$169,0))="","",INDEX('Listings'!$S$2:$S$169,MATCH($I53,'Listings'!$A$2:$A$169,0)))</x:f>
        <x:v>0–1 mi</x:v>
      </x:c>
      <x:c r="H53" s="10" t="str">
        <x:f>IF(INDEX('Listings'!$U$2:$U$169,MATCH($I53,'Listings'!$A$2:$A$169,0))="","",INDEX('Listings'!$U$2:$U$169,MATCH($I53,'Listings'!$A$2:$A$169,0)))</x:f>
        <x:v>&gt;1–3 mi</x:v>
      </x:c>
      <x:c r="I53" s="10" t="str">
        <x:v>ocpg8zsjmz</x:v>
      </x:c>
      <x:c r="J53" s="10" t="str">
        <x:f>IF(INDEX('Listings'!$C$2:$C$169,MATCH($I53,'Listings'!$A$2:$A$169,0))="","",INDEX('Listings'!$C$2:$C$169,MATCH($I53,'Listings'!$A$2:$A$169,0)))</x:f>
        <x:v>https://offcampus.dasa.ncsu.edu/housing/property/flex-stay-lux-furnished-3-bed-pets-ok-utilities-incl-international-ok/ocpg8zsjmz</x:v>
      </x:c>
      <x:c r="K53" s="10" t="str">
        <x:f>IF(INDEX('Listings'!$AG$2:$AG$169,MATCH($I53,'Listings'!$A$2:$A$169,0))="","",INDEX('Listings'!$AG$2:$AG$169,MATCH($I53,'Listings'!$A$2:$A$169,0)))</x:f>
        <x:v>Source pricing flag retained; automated consistency checks passed. This is not independent landlord verification.</x:v>
      </x:c>
    </x:row>
    <x:row r="54" ht="36" hidden="0" customHeight="1">
      <x:c r="A54" s="10" t="str">
        <x:f>IF(INDEX('Listings'!$B$2:$B$169,MATCH($I54,'Listings'!$A$2:$A$169,0))="","",INDEX('Listings'!$B$2:$B$169,MATCH($I54,'Listings'!$A$2:$A$169,0)))</x:f>
        <x:v>Fully Furnished 3BR Townhome Steps from Lake Johnson</x:v>
      </x:c>
      <x:c r="B54" s="10" t="str">
        <x:f>IF(INDEX('Listings'!$E$2:$E$169,MATCH($I54,'Listings'!$A$2:$A$169,0))="","",INDEX('Listings'!$E$2:$E$169,MATCH($I54,'Listings'!$A$2:$A$169,0)))</x:f>
        <x:v>Whole unit</x:v>
      </x:c>
      <x:c r="C54" s="11" t="n">
        <x:f>IF(INDEX('Listings'!$H$2:$H$169,MATCH($I54,'Listings'!$A$2:$A$169,0))="","",INDEX('Listings'!$H$2:$H$169,MATCH($I54,'Listings'!$A$2:$A$169,0)))</x:f>
        <x:v>2500</x:v>
      </x:c>
      <x:c r="D54" s="11" t="n">
        <x:f>IF(INDEX('Listings'!$I$2:$I$169,MATCH($I54,'Listings'!$A$2:$A$169,0))="","",INDEX('Listings'!$I$2:$I$169,MATCH($I54,'Listings'!$A$2:$A$169,0)))</x:f>
        <x:v>2500</x:v>
      </x:c>
      <x:c r="E54" s="10" t="str">
        <x:v>Usable price pair within study area.</x:v>
      </x:c>
      <x:c r="F54" s="10" t="str">
        <x:f>IF(INDEX('Listings'!$Q$2:$Q$169,MATCH($I54,'Listings'!$A$2:$A$169,0))="","",INDEX('Listings'!$Q$2:$Q$169,MATCH($I54,'Listings'!$A$2:$A$169,0)))</x:f>
        <x:v>&gt;1–3 mi</x:v>
      </x:c>
      <x:c r="G54" s="10" t="str">
        <x:f>IF(INDEX('Listings'!$S$2:$S$169,MATCH($I54,'Listings'!$A$2:$A$169,0))="","",INDEX('Listings'!$S$2:$S$169,MATCH($I54,'Listings'!$A$2:$A$169,0)))</x:f>
        <x:v>&gt;1–3 mi</x:v>
      </x:c>
      <x:c r="H54" s="10" t="str">
        <x:f>IF(INDEX('Listings'!$U$2:$U$169,MATCH($I54,'Listings'!$A$2:$A$169,0))="","",INDEX('Listings'!$U$2:$U$169,MATCH($I54,'Listings'!$A$2:$A$169,0)))</x:f>
        <x:v>&gt;1–3 mi</x:v>
      </x:c>
      <x:c r="I54" s="10" t="str">
        <x:v>ocp8c26c92</x:v>
      </x:c>
      <x:c r="J54" s="10" t="str">
        <x:f>IF(INDEX('Listings'!$C$2:$C$169,MATCH($I54,'Listings'!$A$2:$A$169,0))="","",INDEX('Listings'!$C$2:$C$169,MATCH($I54,'Listings'!$A$2:$A$169,0)))</x:f>
        <x:v>https://offcampus.dasa.ncsu.edu/housing/property/fully-furnished-3br-townhome-steps-from-lake-johnson/ocp8c26c92</x:v>
      </x:c>
      <x:c r="K54" s="10" t="str">
        <x:f>IF(INDEX('Listings'!$AG$2:$AG$169,MATCH($I54,'Listings'!$A$2:$A$169,0))="","",INDEX('Listings'!$AG$2:$AG$169,MATCH($I54,'Listings'!$A$2:$A$169,0)))</x:f>
        <x:v>Source pricing flag retained; automated consistency checks passed. This is not independent landlord verification.</x:v>
      </x:c>
    </x:row>
    <x:row r="55" ht="36" hidden="0" customHeight="1">
      <x:c r="A55" s="10" t="str">
        <x:f>IF(INDEX('Listings'!$B$2:$B$169,MATCH($I55,'Listings'!$A$2:$A$169,0))="","",INDEX('Listings'!$B$2:$B$169,MATCH($I55,'Listings'!$A$2:$A$169,0)))</x:f>
        <x:v>Furnished 4 bed 3 baths Ranch House, walk to NCSU, free parking</x:v>
      </x:c>
      <x:c r="B55" s="10" t="str">
        <x:f>IF(INDEX('Listings'!$E$2:$E$169,MATCH($I55,'Listings'!$A$2:$A$169,0))="","",INDEX('Listings'!$E$2:$E$169,MATCH($I55,'Listings'!$A$2:$A$169,0)))</x:f>
        <x:v>Whole unit</x:v>
      </x:c>
      <x:c r="C55" s="11" t="n">
        <x:f>IF(INDEX('Listings'!$H$2:$H$169,MATCH($I55,'Listings'!$A$2:$A$169,0))="","",INDEX('Listings'!$H$2:$H$169,MATCH($I55,'Listings'!$A$2:$A$169,0)))</x:f>
        <x:v>2495</x:v>
      </x:c>
      <x:c r="D55" s="11" t="n">
        <x:f>IF(INDEX('Listings'!$I$2:$I$169,MATCH($I55,'Listings'!$A$2:$A$169,0))="","",INDEX('Listings'!$I$2:$I$169,MATCH($I55,'Listings'!$A$2:$A$169,0)))</x:f>
        <x:v>2495</x:v>
      </x:c>
      <x:c r="E55" s="10" t="str">
        <x:v>Usable price pair within study area.</x:v>
      </x:c>
      <x:c r="F55" s="10" t="str">
        <x:f>IF(INDEX('Listings'!$Q$2:$Q$169,MATCH($I55,'Listings'!$A$2:$A$169,0))="","",INDEX('Listings'!$Q$2:$Q$169,MATCH($I55,'Listings'!$A$2:$A$169,0)))</x:f>
        <x:v>0–1 mi</x:v>
      </x:c>
      <x:c r="G55" s="10" t="str">
        <x:f>IF(INDEX('Listings'!$S$2:$S$169,MATCH($I55,'Listings'!$A$2:$A$169,0))="","",INDEX('Listings'!$S$2:$S$169,MATCH($I55,'Listings'!$A$2:$A$169,0)))</x:f>
        <x:v>&gt;1–3 mi</x:v>
      </x:c>
      <x:c r="H55" s="10" t="str">
        <x:f>IF(INDEX('Listings'!$U$2:$U$169,MATCH($I55,'Listings'!$A$2:$A$169,0))="","",INDEX('Listings'!$U$2:$U$169,MATCH($I55,'Listings'!$A$2:$A$169,0)))</x:f>
        <x:v>&gt;1–3 mi</x:v>
      </x:c>
      <x:c r="I55" s="10" t="str">
        <x:v>ocpvee4m9g</x:v>
      </x:c>
      <x:c r="J55" s="10" t="str">
        <x:f>IF(INDEX('Listings'!$C$2:$C$169,MATCH($I55,'Listings'!$A$2:$A$169,0))="","",INDEX('Listings'!$C$2:$C$169,MATCH($I55,'Listings'!$A$2:$A$169,0)))</x:f>
        <x:v>https://offcampus.dasa.ncsu.edu/housing/property/furnished-4-bed-3-baths-ranch-house-walk-to-ncsu-free-parking/ocpvee4m9g</x:v>
      </x:c>
      <x:c r="K55" s="10" t="str">
        <x:f>IF(INDEX('Listings'!$AG$2:$AG$169,MATCH($I55,'Listings'!$A$2:$A$169,0))="","",INDEX('Listings'!$AG$2:$AG$169,MATCH($I55,'Listings'!$A$2:$A$169,0)))</x:f>
        <x:v>Source pricing flag retained; automated consistency checks passed. This is not independent landlord verification.</x:v>
      </x:c>
    </x:row>
    <x:row r="56" ht="36" hidden="0" customHeight="1">
      <x:c r="A56" s="10" t="str">
        <x:f>IF(INDEX('Listings'!$B$2:$B$169,MATCH($I56,'Listings'!$A$2:$A$169,0))="","",INDEX('Listings'!$B$2:$B$169,MATCH($I56,'Listings'!$A$2:$A$169,0)))</x:f>
        <x:v>FURNISHED NCSU STUDENT HOUSING – TOWNHOME ROOM RENTAL WITH PRIVATE BATHROOM ($850/room)</x:v>
      </x:c>
      <x:c r="B56" s="10" t="str">
        <x:f>IF(INDEX('Listings'!$E$2:$E$169,MATCH($I56,'Listings'!$A$2:$A$169,0))="","",INDEX('Listings'!$E$2:$E$169,MATCH($I56,'Listings'!$A$2:$A$169,0)))</x:f>
        <x:v>Per bedroom</x:v>
      </x:c>
      <x:c r="C56" s="11" t="n">
        <x:f>IF(INDEX('Listings'!$H$2:$H$169,MATCH($I56,'Listings'!$A$2:$A$169,0))="","",INDEX('Listings'!$H$2:$H$169,MATCH($I56,'Listings'!$A$2:$A$169,0)))</x:f>
        <x:v>850</x:v>
      </x:c>
      <x:c r="D56" s="11" t="n">
        <x:f>IF(INDEX('Listings'!$I$2:$I$169,MATCH($I56,'Listings'!$A$2:$A$169,0))="","",INDEX('Listings'!$I$2:$I$169,MATCH($I56,'Listings'!$A$2:$A$169,0)))</x:f>
        <x:v>850</x:v>
      </x:c>
      <x:c r="E56" s="10" t="str">
        <x:v>Usable price pair within study area.</x:v>
      </x:c>
      <x:c r="F56" s="10" t="str">
        <x:f>IF(INDEX('Listings'!$Q$2:$Q$169,MATCH($I56,'Listings'!$A$2:$A$169,0))="","",INDEX('Listings'!$Q$2:$Q$169,MATCH($I56,'Listings'!$A$2:$A$169,0)))</x:f>
        <x:v>&gt;1–3 mi</x:v>
      </x:c>
      <x:c r="G56" s="10" t="str">
        <x:f>IF(INDEX('Listings'!$S$2:$S$169,MATCH($I56,'Listings'!$A$2:$A$169,0))="","",INDEX('Listings'!$S$2:$S$169,MATCH($I56,'Listings'!$A$2:$A$169,0)))</x:f>
        <x:v>&gt;1–3 mi</x:v>
      </x:c>
      <x:c r="H56" s="10" t="str">
        <x:f>IF(INDEX('Listings'!$U$2:$U$169,MATCH($I56,'Listings'!$A$2:$A$169,0))="","",INDEX('Listings'!$U$2:$U$169,MATCH($I56,'Listings'!$A$2:$A$169,0)))</x:f>
        <x:v>&gt;1–3 mi</x:v>
      </x:c>
      <x:c r="I56" s="10" t="str">
        <x:v>ocpx3vt61n</x:v>
      </x:c>
      <x:c r="J56" s="10" t="str">
        <x:f>IF(INDEX('Listings'!$C$2:$C$169,MATCH($I56,'Listings'!$A$2:$A$169,0))="","",INDEX('Listings'!$C$2:$C$169,MATCH($I56,'Listings'!$A$2:$A$169,0)))</x:f>
        <x:v>https://offcampus.dasa.ncsu.edu/housing/property/furnished-ncsu-student-housing-townhome-room-rental-with-private-bathroom-850-room/ocpx3vt61n</x:v>
      </x:c>
      <x:c r="K56" s="10" t="str">
        <x:f>IF(INDEX('Listings'!$AG$2:$AG$169,MATCH($I56,'Listings'!$A$2:$A$169,0))="","",INDEX('Listings'!$AG$2:$AG$169,MATCH($I56,'Listings'!$A$2:$A$169,0)))</x:f>
        <x:v>Source pricing flag retained; automated consistency checks passed. This is not independent landlord verification.</x:v>
      </x:c>
    </x:row>
    <x:row r="57" ht="36" hidden="0" customHeight="1">
      <x:c r="A57" s="10" t="str">
        <x:f>IF(INDEX('Listings'!$B$2:$B$169,MATCH($I57,'Listings'!$A$2:$A$169,0))="","",INDEX('Listings'!$B$2:$B$169,MATCH($I57,'Listings'!$A$2:$A$169,0)))</x:f>
        <x:v>Furnished Room for Rent (Between Central and Centennial Campus)</x:v>
      </x:c>
      <x:c r="B57" s="10" t="str">
        <x:f>IF(INDEX('Listings'!$E$2:$E$169,MATCH($I57,'Listings'!$A$2:$A$169,0))="","",INDEX('Listings'!$E$2:$E$169,MATCH($I57,'Listings'!$A$2:$A$169,0)))</x:f>
        <x:v>Per bedroom</x:v>
      </x:c>
      <x:c r="C57" s="11" t="n">
        <x:f>IF(INDEX('Listings'!$H$2:$H$169,MATCH($I57,'Listings'!$A$2:$A$169,0))="","",INDEX('Listings'!$H$2:$H$169,MATCH($I57,'Listings'!$A$2:$A$169,0)))</x:f>
        <x:v>600</x:v>
      </x:c>
      <x:c r="D57" s="11" t="n">
        <x:f>IF(INDEX('Listings'!$I$2:$I$169,MATCH($I57,'Listings'!$A$2:$A$169,0))="","",INDEX('Listings'!$I$2:$I$169,MATCH($I57,'Listings'!$A$2:$A$169,0)))</x:f>
        <x:v>600</x:v>
      </x:c>
      <x:c r="E57" s="10" t="str">
        <x:v>Usable price pair within study area.</x:v>
      </x:c>
      <x:c r="F57" s="10" t="str">
        <x:f>IF(INDEX('Listings'!$Q$2:$Q$169,MATCH($I57,'Listings'!$A$2:$A$169,0))="","",INDEX('Listings'!$Q$2:$Q$169,MATCH($I57,'Listings'!$A$2:$A$169,0)))</x:f>
        <x:v>0–1 mi</x:v>
      </x:c>
      <x:c r="G57" s="10" t="str">
        <x:f>IF(INDEX('Listings'!$S$2:$S$169,MATCH($I57,'Listings'!$A$2:$A$169,0))="","",INDEX('Listings'!$S$2:$S$169,MATCH($I57,'Listings'!$A$2:$A$169,0)))</x:f>
        <x:v>0–1 mi</x:v>
      </x:c>
      <x:c r="H57" s="10" t="str">
        <x:f>IF(INDEX('Listings'!$U$2:$U$169,MATCH($I57,'Listings'!$A$2:$A$169,0))="","",INDEX('Listings'!$U$2:$U$169,MATCH($I57,'Listings'!$A$2:$A$169,0)))</x:f>
        <x:v>&gt;1–3 mi</x:v>
      </x:c>
      <x:c r="I57" s="10" t="str">
        <x:v>ocp2k6k5g8</x:v>
      </x:c>
      <x:c r="J57" s="10" t="str">
        <x:f>IF(INDEX('Listings'!$C$2:$C$169,MATCH($I57,'Listings'!$A$2:$A$169,0))="","",INDEX('Listings'!$C$2:$C$169,MATCH($I57,'Listings'!$A$2:$A$169,0)))</x:f>
        <x:v>https://offcampus.dasa.ncsu.edu/housing/property/furnished-room-for-rent-between-central-and-centennial-campus/ocp2k6k5g8</x:v>
      </x:c>
      <x:c r="K57" s="10" t="str">
        <x:f>IF(INDEX('Listings'!$AG$2:$AG$169,MATCH($I57,'Listings'!$A$2:$A$169,0))="","",INDEX('Listings'!$AG$2:$AG$169,MATCH($I57,'Listings'!$A$2:$A$169,0)))</x:f>
        <x:v>Source pricing flag retained; automated consistency checks passed. This is not independent landlord verification.</x:v>
      </x:c>
    </x:row>
    <x:row r="58" ht="36" hidden="0" customHeight="1">
      <x:c r="A58" s="10" t="str">
        <x:f>IF(INDEX('Listings'!$B$2:$B$169,MATCH($I58,'Listings'!$A$2:$A$169,0))="","",INDEX('Listings'!$B$2:$B$169,MATCH($I58,'Listings'!$A$2:$A$169,0)))</x:f>
        <x:v>FURNISHED TOWNHOME RENTAL – 10 Mins to NCSU - 3 Bedroom - starting $750 per room</x:v>
      </x:c>
      <x:c r="B58" s="10" t="str">
        <x:f>IF(INDEX('Listings'!$E$2:$E$169,MATCH($I58,'Listings'!$A$2:$A$169,0))="","",INDEX('Listings'!$E$2:$E$169,MATCH($I58,'Listings'!$A$2:$A$169,0)))</x:f>
        <x:v>Per bedroom</x:v>
      </x:c>
      <x:c r="C58" s="11" t="n">
        <x:f>IF(INDEX('Listings'!$H$2:$H$169,MATCH($I58,'Listings'!$A$2:$A$169,0))="","",INDEX('Listings'!$H$2:$H$169,MATCH($I58,'Listings'!$A$2:$A$169,0)))</x:f>
        <x:v>750</x:v>
      </x:c>
      <x:c r="D58" s="11" t="n">
        <x:f>IF(INDEX('Listings'!$I$2:$I$169,MATCH($I58,'Listings'!$A$2:$A$169,0))="","",INDEX('Listings'!$I$2:$I$169,MATCH($I58,'Listings'!$A$2:$A$169,0)))</x:f>
        <x:v>750</x:v>
      </x:c>
      <x:c r="E58" s="10" t="str">
        <x:v>Usable price pair within study area.</x:v>
      </x:c>
      <x:c r="F58" s="10" t="str">
        <x:f>IF(INDEX('Listings'!$Q$2:$Q$169,MATCH($I58,'Listings'!$A$2:$A$169,0))="","",INDEX('Listings'!$Q$2:$Q$169,MATCH($I58,'Listings'!$A$2:$A$169,0)))</x:f>
        <x:v>&gt;3–5 mi</x:v>
      </x:c>
      <x:c r="G58" s="10" t="str">
        <x:f>IF(INDEX('Listings'!$S$2:$S$169,MATCH($I58,'Listings'!$A$2:$A$169,0))="","",INDEX('Listings'!$S$2:$S$169,MATCH($I58,'Listings'!$A$2:$A$169,0)))</x:f>
        <x:v>&gt;3–5 mi</x:v>
      </x:c>
      <x:c r="H58" s="10" t="str">
        <x:f>IF(INDEX('Listings'!$U$2:$U$169,MATCH($I58,'Listings'!$A$2:$A$169,0))="","",INDEX('Listings'!$U$2:$U$169,MATCH($I58,'Listings'!$A$2:$A$169,0)))</x:f>
        <x:v>Outside 5 mi</x:v>
      </x:c>
      <x:c r="I58" s="10" t="str">
        <x:v>ocpwwwe8yh</x:v>
      </x:c>
      <x:c r="J58" s="10" t="str">
        <x:f>IF(INDEX('Listings'!$C$2:$C$169,MATCH($I58,'Listings'!$A$2:$A$169,0))="","",INDEX('Listings'!$C$2:$C$169,MATCH($I58,'Listings'!$A$2:$A$169,0)))</x:f>
        <x:v>https://offcampus.dasa.ncsu.edu/housing/property/furnished-townhome-rental-10-mins-to-ncsu-3-bedroom-starting-750-per-room/ocpwwwe8yh</x:v>
      </x:c>
      <x:c r="K58" s="10" t="str">
        <x:f>IF(INDEX('Listings'!$AG$2:$AG$169,MATCH($I58,'Listings'!$A$2:$A$169,0))="","",INDEX('Listings'!$AG$2:$AG$169,MATCH($I58,'Listings'!$A$2:$A$169,0)))</x:f>
        <x:v>Source pricing flag retained; automated consistency checks passed. This is not independent landlord verification.</x:v>
      </x:c>
    </x:row>
    <x:row r="59" ht="24" hidden="0" customHeight="1">
      <x:c r="A59" s="10" t="str">
        <x:f>IF(INDEX('Listings'!$B$2:$B$169,MATCH($I59,'Listings'!$A$2:$A$169,0))="","",INDEX('Listings'!$B$2:$B$169,MATCH($I59,'Listings'!$A$2:$A$169,0)))</x:f>
        <x:v>Gorman Crossings</x:v>
      </x:c>
      <x:c r="B59" s="10" t="str">
        <x:f>IF(INDEX('Listings'!$E$2:$E$169,MATCH($I59,'Listings'!$A$2:$A$169,0))="","",INDEX('Listings'!$E$2:$E$169,MATCH($I59,'Listings'!$A$2:$A$169,0)))</x:f>
        <x:v>Whole unit</x:v>
      </x:c>
      <x:c r="C59" s="11" t="n">
        <x:f>IF(INDEX('Listings'!$H$2:$H$169,MATCH($I59,'Listings'!$A$2:$A$169,0))="","",INDEX('Listings'!$H$2:$H$169,MATCH($I59,'Listings'!$A$2:$A$169,0)))</x:f>
        <x:v>1295</x:v>
      </x:c>
      <x:c r="D59" s="11" t="n">
        <x:f>IF(INDEX('Listings'!$I$2:$I$169,MATCH($I59,'Listings'!$A$2:$A$169,0))="","",INDEX('Listings'!$I$2:$I$169,MATCH($I59,'Listings'!$A$2:$A$169,0)))</x:f>
        <x:v>2145</x:v>
      </x:c>
      <x:c r="E59" s="10" t="str">
        <x:v>Usable price pair within study area.</x:v>
      </x:c>
      <x:c r="F59" s="10" t="str">
        <x:f>IF(INDEX('Listings'!$Q$2:$Q$169,MATCH($I59,'Listings'!$A$2:$A$169,0))="","",INDEX('Listings'!$Q$2:$Q$169,MATCH($I59,'Listings'!$A$2:$A$169,0)))</x:f>
        <x:v>0–1 mi</x:v>
      </x:c>
      <x:c r="G59" s="10" t="str">
        <x:f>IF(INDEX('Listings'!$S$2:$S$169,MATCH($I59,'Listings'!$A$2:$A$169,0))="","",INDEX('Listings'!$S$2:$S$169,MATCH($I59,'Listings'!$A$2:$A$169,0)))</x:f>
        <x:v>0–1 mi</x:v>
      </x:c>
      <x:c r="H59" s="10" t="str">
        <x:f>IF(INDEX('Listings'!$U$2:$U$169,MATCH($I59,'Listings'!$A$2:$A$169,0))="","",INDEX('Listings'!$U$2:$U$169,MATCH($I59,'Listings'!$A$2:$A$169,0)))</x:f>
        <x:v>&gt;1–3 mi</x:v>
      </x:c>
      <x:c r="I59" s="10" t="str">
        <x:v>tv2h1cb</x:v>
      </x:c>
      <x:c r="J59" s="10" t="str">
        <x:f>IF(INDEX('Listings'!$C$2:$C$169,MATCH($I59,'Listings'!$A$2:$A$169,0))="","",INDEX('Listings'!$C$2:$C$169,MATCH($I59,'Listings'!$A$2:$A$169,0)))</x:f>
        <x:v>https://offcampus.dasa.ncsu.edu/housing/property/gorman-crossings/tv2h1cb</x:v>
      </x:c>
      <x:c r="K59" s="10" t="str">
        <x:f>IF(INDEX('Listings'!$AG$2:$AG$169,MATCH($I59,'Listings'!$A$2:$A$169,0))="","",INDEX('Listings'!$AG$2:$AG$169,MATCH($I59,'Listings'!$A$2:$A$169,0)))</x:f>
        <x:v>Source pricing flag retained; automated consistency checks passed. This is not independent landlord verification.</x:v>
      </x:c>
    </x:row>
    <x:row r="60" ht="36" hidden="0" customHeight="1">
      <x:c r="A60" s="10" t="str">
        <x:f>IF(INDEX('Listings'!$B$2:$B$169,MATCH($I60,'Listings'!$A$2:$A$169,0))="","",INDEX('Listings'!$B$2:$B$169,MATCH($I60,'Listings'!$A$2:$A$169,0)))</x:f>
        <x:v>Gorman Street Village PRE-LEASING for 2026! 3Bed 3Bath w/ Utilities! Upgraded Units Available!</x:v>
      </x:c>
      <x:c r="B60" s="10" t="str">
        <x:f>IF(INDEX('Listings'!$E$2:$E$169,MATCH($I60,'Listings'!$A$2:$A$169,0))="","",INDEX('Listings'!$E$2:$E$169,MATCH($I60,'Listings'!$A$2:$A$169,0)))</x:f>
        <x:v>Whole unit</x:v>
      </x:c>
      <x:c r="C60" s="11" t="n">
        <x:f>IF(INDEX('Listings'!$H$2:$H$169,MATCH($I60,'Listings'!$A$2:$A$169,0))="","",INDEX('Listings'!$H$2:$H$169,MATCH($I60,'Listings'!$A$2:$A$169,0)))</x:f>
        <x:v>2295</x:v>
      </x:c>
      <x:c r="D60" s="11" t="n">
        <x:f>IF(INDEX('Listings'!$I$2:$I$169,MATCH($I60,'Listings'!$A$2:$A$169,0))="","",INDEX('Listings'!$I$2:$I$169,MATCH($I60,'Listings'!$A$2:$A$169,0)))</x:f>
        <x:v>2295</x:v>
      </x:c>
      <x:c r="E60" s="10" t="str">
        <x:v>Usable price pair within study area.</x:v>
      </x:c>
      <x:c r="F60" s="10" t="str">
        <x:f>IF(INDEX('Listings'!$Q$2:$Q$169,MATCH($I60,'Listings'!$A$2:$A$169,0))="","",INDEX('Listings'!$Q$2:$Q$169,MATCH($I60,'Listings'!$A$2:$A$169,0)))</x:f>
        <x:v>0–1 mi</x:v>
      </x:c>
      <x:c r="G60" s="10" t="str">
        <x:f>IF(INDEX('Listings'!$S$2:$S$169,MATCH($I60,'Listings'!$A$2:$A$169,0))="","",INDEX('Listings'!$S$2:$S$169,MATCH($I60,'Listings'!$A$2:$A$169,0)))</x:f>
        <x:v>0–1 mi</x:v>
      </x:c>
      <x:c r="H60" s="10" t="str">
        <x:f>IF(INDEX('Listings'!$U$2:$U$169,MATCH($I60,'Listings'!$A$2:$A$169,0))="","",INDEX('Listings'!$U$2:$U$169,MATCH($I60,'Listings'!$A$2:$A$169,0)))</x:f>
        <x:v>&gt;1–3 mi</x:v>
      </x:c>
      <x:c r="I60" s="10" t="str">
        <x:v>ocpjpg1817</x:v>
      </x:c>
      <x:c r="J60" s="10" t="str">
        <x:f>IF(INDEX('Listings'!$C$2:$C$169,MATCH($I60,'Listings'!$A$2:$A$169,0))="","",INDEX('Listings'!$C$2:$C$169,MATCH($I60,'Listings'!$A$2:$A$169,0)))</x:f>
        <x:v>https://offcampus.dasa.ncsu.edu/housing/property/gorman-street-village-pre-leasing-for-2026-3bed-3bath-w-utilities-upgraded-units-available/ocpjpg1817</x:v>
      </x:c>
      <x:c r="K60" s="10" t="str">
        <x:f>IF(INDEX('Listings'!$AG$2:$AG$169,MATCH($I60,'Listings'!$A$2:$A$169,0))="","",INDEX('Listings'!$AG$2:$AG$169,MATCH($I60,'Listings'!$A$2:$A$169,0)))</x:f>
        <x:v>Source pricing flag retained; automated consistency checks passed. This is not independent landlord verification.</x:v>
      </x:c>
    </x:row>
    <x:row r="61" ht="24" hidden="0" customHeight="1">
      <x:c r="A61" s="10" t="str">
        <x:f>IF(INDEX('Listings'!$B$2:$B$169,MATCH($I61,'Listings'!$A$2:$A$169,0))="","",INDEX('Listings'!$B$2:$B$169,MATCH($I61,'Listings'!$A$2:$A$169,0)))</x:f>
        <x:v>Great Location - Connected to Centennial Campus</x:v>
      </x:c>
      <x:c r="B61" s="10" t="str">
        <x:f>IF(INDEX('Listings'!$E$2:$E$169,MATCH($I61,'Listings'!$A$2:$A$169,0))="","",INDEX('Listings'!$E$2:$E$169,MATCH($I61,'Listings'!$A$2:$A$169,0)))</x:f>
        <x:v>Whole unit</x:v>
      </x:c>
      <x:c r="C61" s="11" t="n">
        <x:f>IF(INDEX('Listings'!$H$2:$H$169,MATCH($I61,'Listings'!$A$2:$A$169,0))="","",INDEX('Listings'!$H$2:$H$169,MATCH($I61,'Listings'!$A$2:$A$169,0)))</x:f>
        <x:v>1240</x:v>
      </x:c>
      <x:c r="D61" s="11" t="n">
        <x:f>IF(INDEX('Listings'!$I$2:$I$169,MATCH($I61,'Listings'!$A$2:$A$169,0))="","",INDEX('Listings'!$I$2:$I$169,MATCH($I61,'Listings'!$A$2:$A$169,0)))</x:f>
        <x:v>1240</x:v>
      </x:c>
      <x:c r="E61" s="10" t="str">
        <x:v>Usable price pair within study area.</x:v>
      </x:c>
      <x:c r="F61" s="10" t="str">
        <x:f>IF(INDEX('Listings'!$Q$2:$Q$169,MATCH($I61,'Listings'!$A$2:$A$169,0))="","",INDEX('Listings'!$Q$2:$Q$169,MATCH($I61,'Listings'!$A$2:$A$169,0)))</x:f>
        <x:v>0–1 mi</x:v>
      </x:c>
      <x:c r="G61" s="10" t="str">
        <x:f>IF(INDEX('Listings'!$S$2:$S$169,MATCH($I61,'Listings'!$A$2:$A$169,0))="","",INDEX('Listings'!$S$2:$S$169,MATCH($I61,'Listings'!$A$2:$A$169,0)))</x:f>
        <x:v>0–1 mi</x:v>
      </x:c>
      <x:c r="H61" s="10" t="str">
        <x:f>IF(INDEX('Listings'!$U$2:$U$169,MATCH($I61,'Listings'!$A$2:$A$169,0))="","",INDEX('Listings'!$U$2:$U$169,MATCH($I61,'Listings'!$A$2:$A$169,0)))</x:f>
        <x:v>&gt;1–3 mi</x:v>
      </x:c>
      <x:c r="I61" s="10" t="str">
        <x:v>ocpkb0kbhb</x:v>
      </x:c>
      <x:c r="J61" s="10" t="str">
        <x:f>IF(INDEX('Listings'!$C$2:$C$169,MATCH($I61,'Listings'!$A$2:$A$169,0))="","",INDEX('Listings'!$C$2:$C$169,MATCH($I61,'Listings'!$A$2:$A$169,0)))</x:f>
        <x:v>https://offcampus.dasa.ncsu.edu/housing/property/great-location-connected-to-centennial-campus/ocpkb0kbhb</x:v>
      </x:c>
      <x:c r="K61" s="10" t="str">
        <x:f>IF(INDEX('Listings'!$AG$2:$AG$169,MATCH($I61,'Listings'!$A$2:$A$169,0))="","",INDEX('Listings'!$AG$2:$AG$169,MATCH($I61,'Listings'!$A$2:$A$169,0)))</x:f>
        <x:v>Source pricing flag retained; automated consistency checks passed. This is not independent landlord verification.</x:v>
      </x:c>
    </x:row>
    <x:row r="62" ht="24" hidden="0" customHeight="1">
      <x:c r="A62" s="10" t="str">
        <x:f>IF(INDEX('Listings'!$B$2:$B$169,MATCH($I62,'Listings'!$A$2:$A$169,0))="","",INDEX('Listings'!$B$2:$B$169,MATCH($I62,'Listings'!$A$2:$A$169,0)))</x:f>
        <x:v>Great value in beautiful SW Raleigh</x:v>
      </x:c>
      <x:c r="B62" s="10" t="str">
        <x:f>IF(INDEX('Listings'!$E$2:$E$169,MATCH($I62,'Listings'!$A$2:$A$169,0))="","",INDEX('Listings'!$E$2:$E$169,MATCH($I62,'Listings'!$A$2:$A$169,0)))</x:f>
        <x:v>Per bedroom</x:v>
      </x:c>
      <x:c r="C62" s="11" t="n">
        <x:f>IF(INDEX('Listings'!$H$2:$H$169,MATCH($I62,'Listings'!$A$2:$A$169,0))="","",INDEX('Listings'!$H$2:$H$169,MATCH($I62,'Listings'!$A$2:$A$169,0)))</x:f>
        <x:v>850</x:v>
      </x:c>
      <x:c r="D62" s="11" t="n">
        <x:f>IF(INDEX('Listings'!$I$2:$I$169,MATCH($I62,'Listings'!$A$2:$A$169,0))="","",INDEX('Listings'!$I$2:$I$169,MATCH($I62,'Listings'!$A$2:$A$169,0)))</x:f>
        <x:v>850</x:v>
      </x:c>
      <x:c r="E62" s="10" t="str">
        <x:v>Usable price pair within study area.</x:v>
      </x:c>
      <x:c r="F62" s="10" t="str">
        <x:f>IF(INDEX('Listings'!$Q$2:$Q$169,MATCH($I62,'Listings'!$A$2:$A$169,0))="","",INDEX('Listings'!$Q$2:$Q$169,MATCH($I62,'Listings'!$A$2:$A$169,0)))</x:f>
        <x:v>&gt;3–5 mi</x:v>
      </x:c>
      <x:c r="G62" s="10" t="str">
        <x:f>IF(INDEX('Listings'!$S$2:$S$169,MATCH($I62,'Listings'!$A$2:$A$169,0))="","",INDEX('Listings'!$S$2:$S$169,MATCH($I62,'Listings'!$A$2:$A$169,0)))</x:f>
        <x:v>&gt;3–5 mi</x:v>
      </x:c>
      <x:c r="H62" s="10" t="str">
        <x:f>IF(INDEX('Listings'!$U$2:$U$169,MATCH($I62,'Listings'!$A$2:$A$169,0))="","",INDEX('Listings'!$U$2:$U$169,MATCH($I62,'Listings'!$A$2:$A$169,0)))</x:f>
        <x:v>&gt;3–5 mi</x:v>
      </x:c>
      <x:c r="I62" s="10" t="str">
        <x:v>ocp0gblz91</x:v>
      </x:c>
      <x:c r="J62" s="10" t="str">
        <x:f>IF(INDEX('Listings'!$C$2:$C$169,MATCH($I62,'Listings'!$A$2:$A$169,0))="","",INDEX('Listings'!$C$2:$C$169,MATCH($I62,'Listings'!$A$2:$A$169,0)))</x:f>
        <x:v>https://offcampus.dasa.ncsu.edu/housing/property/great-value-in-beautiful-sw-raleigh/ocp0gblz91</x:v>
      </x:c>
      <x:c r="K62" s="10" t="str">
        <x:f>IF(INDEX('Listings'!$AG$2:$AG$169,MATCH($I62,'Listings'!$A$2:$A$169,0))="","",INDEX('Listings'!$AG$2:$AG$169,MATCH($I62,'Listings'!$A$2:$A$169,0)))</x:f>
        <x:v>Source pricing flag retained; automated consistency checks passed. This is not independent landlord verification.</x:v>
      </x:c>
    </x:row>
    <x:row r="63" ht="24" hidden="0" customHeight="1">
      <x:c r="A63" s="10" t="str">
        <x:f>IF(INDEX('Listings'!$B$2:$B$169,MATCH($I63,'Listings'!$A$2:$A$169,0))="","",INDEX('Listings'!$B$2:$B$169,MATCH($I63,'Listings'!$A$2:$A$169,0)))</x:f>
        <x:v>HeyDay Raleigh</x:v>
      </x:c>
      <x:c r="B63" s="10" t="str">
        <x:f>IF(INDEX('Listings'!$E$2:$E$169,MATCH($I63,'Listings'!$A$2:$A$169,0))="","",INDEX('Listings'!$E$2:$E$169,MATCH($I63,'Listings'!$A$2:$A$169,0)))</x:f>
        <x:v>Whole unit</x:v>
      </x:c>
      <x:c r="C63" s="11" t="n">
        <x:f>IF(INDEX('Listings'!$H$2:$H$169,MATCH($I63,'Listings'!$A$2:$A$169,0))="","",INDEX('Listings'!$H$2:$H$169,MATCH($I63,'Listings'!$A$2:$A$169,0)))</x:f>
        <x:v>1349</x:v>
      </x:c>
      <x:c r="D63" s="11" t="n">
        <x:f>IF(INDEX('Listings'!$I$2:$I$169,MATCH($I63,'Listings'!$A$2:$A$169,0))="","",INDEX('Listings'!$I$2:$I$169,MATCH($I63,'Listings'!$A$2:$A$169,0)))</x:f>
        <x:v>2269</x:v>
      </x:c>
      <x:c r="E63" s="10" t="str">
        <x:v>Usable price pair within study area.</x:v>
      </x:c>
      <x:c r="F63" s="10" t="str">
        <x:f>IF(INDEX('Listings'!$Q$2:$Q$169,MATCH($I63,'Listings'!$A$2:$A$169,0))="","",INDEX('Listings'!$Q$2:$Q$169,MATCH($I63,'Listings'!$A$2:$A$169,0)))</x:f>
        <x:v>0–1 mi</x:v>
      </x:c>
      <x:c r="G63" s="10" t="str">
        <x:f>IF(INDEX('Listings'!$S$2:$S$169,MATCH($I63,'Listings'!$A$2:$A$169,0))="","",INDEX('Listings'!$S$2:$S$169,MATCH($I63,'Listings'!$A$2:$A$169,0)))</x:f>
        <x:v>&gt;1–3 mi</x:v>
      </x:c>
      <x:c r="H63" s="10" t="str">
        <x:f>IF(INDEX('Listings'!$U$2:$U$169,MATCH($I63,'Listings'!$A$2:$A$169,0))="","",INDEX('Listings'!$U$2:$U$169,MATCH($I63,'Listings'!$A$2:$A$169,0)))</x:f>
        <x:v>&gt;1–3 mi</x:v>
      </x:c>
      <x:c r="I63" s="10" t="str">
        <x:v>86fjg60</x:v>
      </x:c>
      <x:c r="J63" s="10" t="str">
        <x:f>IF(INDEX('Listings'!$C$2:$C$169,MATCH($I63,'Listings'!$A$2:$A$169,0))="","",INDEX('Listings'!$C$2:$C$169,MATCH($I63,'Listings'!$A$2:$A$169,0)))</x:f>
        <x:v>https://offcampus.dasa.ncsu.edu/housing/property/heyday-raleigh/86fjg60</x:v>
      </x:c>
      <x:c r="K63" s="10" t="str">
        <x:f>IF(INDEX('Listings'!$AG$2:$AG$169,MATCH($I63,'Listings'!$A$2:$A$169,0))="","",INDEX('Listings'!$AG$2:$AG$169,MATCH($I63,'Listings'!$A$2:$A$169,0)))</x:f>
        <x:v>Source pricing flag retained; automated consistency checks passed. This is not independent landlord verification.</x:v>
      </x:c>
    </x:row>
    <x:row r="64" ht="24" hidden="0" customHeight="1">
      <x:c r="A64" s="10" t="str">
        <x:f>IF(INDEX('Listings'!$B$2:$B$169,MATCH($I64,'Listings'!$A$2:$A$169,0))="","",INDEX('Listings'!$B$2:$B$169,MATCH($I64,'Listings'!$A$2:$A$169,0)))</x:f>
        <x:v>Hub Raleigh – 4x2 Lease Takeover, Available Now</x:v>
      </x:c>
      <x:c r="B64" s="10" t="str">
        <x:f>IF(INDEX('Listings'!$E$2:$E$169,MATCH($I64,'Listings'!$A$2:$A$169,0))="","",INDEX('Listings'!$E$2:$E$169,MATCH($I64,'Listings'!$A$2:$A$169,0)))</x:f>
        <x:v>Per bedroom</x:v>
      </x:c>
      <x:c r="C64" s="11" t="n">
        <x:f>IF(INDEX('Listings'!$H$2:$H$169,MATCH($I64,'Listings'!$A$2:$A$169,0))="","",INDEX('Listings'!$H$2:$H$169,MATCH($I64,'Listings'!$A$2:$A$169,0)))</x:f>
        <x:v>1199</x:v>
      </x:c>
      <x:c r="D64" s="11" t="n">
        <x:f>IF(INDEX('Listings'!$I$2:$I$169,MATCH($I64,'Listings'!$A$2:$A$169,0))="","",INDEX('Listings'!$I$2:$I$169,MATCH($I64,'Listings'!$A$2:$A$169,0)))</x:f>
        <x:v>1199</x:v>
      </x:c>
      <x:c r="E64" s="10" t="str">
        <x:v>Usable price pair within study area.</x:v>
      </x:c>
      <x:c r="F64" s="10" t="str">
        <x:f>IF(INDEX('Listings'!$Q$2:$Q$169,MATCH($I64,'Listings'!$A$2:$A$169,0))="","",INDEX('Listings'!$Q$2:$Q$169,MATCH($I64,'Listings'!$A$2:$A$169,0)))</x:f>
        <x:v>&gt;1–3 mi</x:v>
      </x:c>
      <x:c r="G64" s="10" t="str">
        <x:f>IF(INDEX('Listings'!$S$2:$S$169,MATCH($I64,'Listings'!$A$2:$A$169,0))="","",INDEX('Listings'!$S$2:$S$169,MATCH($I64,'Listings'!$A$2:$A$169,0)))</x:f>
        <x:v>&gt;1–3 mi</x:v>
      </x:c>
      <x:c r="H64" s="10" t="str">
        <x:f>IF(INDEX('Listings'!$U$2:$U$169,MATCH($I64,'Listings'!$A$2:$A$169,0))="","",INDEX('Listings'!$U$2:$U$169,MATCH($I64,'Listings'!$A$2:$A$169,0)))</x:f>
        <x:v>&gt;1–3 mi</x:v>
      </x:c>
      <x:c r="I64" s="10" t="str">
        <x:v>ocp4lh373j</x:v>
      </x:c>
      <x:c r="J64" s="10" t="str">
        <x:f>IF(INDEX('Listings'!$C$2:$C$169,MATCH($I64,'Listings'!$A$2:$A$169,0))="","",INDEX('Listings'!$C$2:$C$169,MATCH($I64,'Listings'!$A$2:$A$169,0)))</x:f>
        <x:v>https://offcampus.dasa.ncsu.edu/housing/property/hub-raleigh-4x2-lease-takeover-available-now/ocp4lh373j</x:v>
      </x:c>
      <x:c r="K64" s="10" t="str">
        <x:f>IF(INDEX('Listings'!$AG$2:$AG$169,MATCH($I64,'Listings'!$A$2:$A$169,0))="","",INDEX('Listings'!$AG$2:$AG$169,MATCH($I64,'Listings'!$A$2:$A$169,0)))</x:f>
        <x:v>Source pricing flag retained; automated consistency checks passed. This is not independent landlord verification.</x:v>
      </x:c>
    </x:row>
    <x:row r="65" ht="36" hidden="0" customHeight="1">
      <x:c r="A65" s="10" t="str">
        <x:f>IF(INDEX('Listings'!$B$2:$B$169,MATCH($I65,'Listings'!$A$2:$A$169,0))="","",INDEX('Listings'!$B$2:$B$169,MATCH($I65,'Listings'!$A$2:$A$169,0)))</x:f>
        <x:v>Huge modern studio suite- private entrance and beth- near NCSU</x:v>
      </x:c>
      <x:c r="B65" s="10" t="str">
        <x:f>IF(INDEX('Listings'!$E$2:$E$169,MATCH($I65,'Listings'!$A$2:$A$169,0))="","",INDEX('Listings'!$E$2:$E$169,MATCH($I65,'Listings'!$A$2:$A$169,0)))</x:f>
        <x:v>Per bedroom</x:v>
      </x:c>
      <x:c r="C65" s="11" t="n">
        <x:f>IF(INDEX('Listings'!$H$2:$H$169,MATCH($I65,'Listings'!$A$2:$A$169,0))="","",INDEX('Listings'!$H$2:$H$169,MATCH($I65,'Listings'!$A$2:$A$169,0)))</x:f>
        <x:v>1150</x:v>
      </x:c>
      <x:c r="D65" s="11" t="n">
        <x:f>IF(INDEX('Listings'!$I$2:$I$169,MATCH($I65,'Listings'!$A$2:$A$169,0))="","",INDEX('Listings'!$I$2:$I$169,MATCH($I65,'Listings'!$A$2:$A$169,0)))</x:f>
        <x:v>1150</x:v>
      </x:c>
      <x:c r="E65" s="10" t="str">
        <x:v>Kept after room/per-bedroom correction.</x:v>
      </x:c>
      <x:c r="F65" s="10" t="str">
        <x:f>IF(INDEX('Listings'!$Q$2:$Q$169,MATCH($I65,'Listings'!$A$2:$A$169,0))="","",INDEX('Listings'!$Q$2:$Q$169,MATCH($I65,'Listings'!$A$2:$A$169,0)))</x:f>
        <x:v>&gt;1–3 mi</x:v>
      </x:c>
      <x:c r="G65" s="10" t="str">
        <x:f>IF(INDEX('Listings'!$S$2:$S$169,MATCH($I65,'Listings'!$A$2:$A$169,0))="","",INDEX('Listings'!$S$2:$S$169,MATCH($I65,'Listings'!$A$2:$A$169,0)))</x:f>
        <x:v>&gt;3–5 mi</x:v>
      </x:c>
      <x:c r="H65" s="10" t="str">
        <x:f>IF(INDEX('Listings'!$U$2:$U$169,MATCH($I65,'Listings'!$A$2:$A$169,0))="","",INDEX('Listings'!$U$2:$U$169,MATCH($I65,'Listings'!$A$2:$A$169,0)))</x:f>
        <x:v>&gt;1–3 mi</x:v>
      </x:c>
      <x:c r="I65" s="10" t="str">
        <x:v>ocpteqgjg8</x:v>
      </x:c>
      <x:c r="J65" s="10" t="str">
        <x:f>IF(INDEX('Listings'!$C$2:$C$169,MATCH($I65,'Listings'!$A$2:$A$169,0))="","",INDEX('Listings'!$C$2:$C$169,MATCH($I65,'Listings'!$A$2:$A$169,0)))</x:f>
        <x:v>https://offcampus.dasa.ncsu.edu/housing/property/huge-modern-studio-suite-private-entrance-and-beth-near-ncsu/ocpteqgjg8</x:v>
      </x:c>
      <x:c r="K65" s="10" t="str">
        <x:f>IF(INDEX('Listings'!$AG$2:$AG$169,MATCH($I65,'Listings'!$A$2:$A$169,0))="","",INDEX('Listings'!$AG$2:$AG$169,MATCH($I65,'Listings'!$A$2:$A$169,0)))</x:f>
        <x:v>September 13 source describes a single-occupancy private suite with shared kitchen and laundry. Classified as a per-person room/suite, not a self-contained whole dwelling; September 9 price retained.</x:v>
      </x:c>
    </x:row>
    <x:row r="66" ht="36" hidden="0" customHeight="1">
      <x:c r="A66" s="10" t="str">
        <x:f>IF(INDEX('Listings'!$B$2:$B$169,MATCH($I66,'Listings'!$A$2:$A$169,0))="","",INDEX('Listings'!$B$2:$B$169,MATCH($I66,'Listings'!$A$2:$A$169,0)))</x:f>
        <x:v>Hurry 2 Rooms Left! – 4BR/4BA Condo Near NC State  – All Utilities &amp; Internet Included!</x:v>
      </x:c>
      <x:c r="B66" s="10" t="str">
        <x:f>IF(INDEX('Listings'!$E$2:$E$169,MATCH($I66,'Listings'!$A$2:$A$169,0))="","",INDEX('Listings'!$E$2:$E$169,MATCH($I66,'Listings'!$A$2:$A$169,0)))</x:f>
        <x:v>Per bedroom</x:v>
      </x:c>
      <x:c r="C66" s="11" t="n">
        <x:f>IF(INDEX('Listings'!$H$2:$H$169,MATCH($I66,'Listings'!$A$2:$A$169,0))="","",INDEX('Listings'!$H$2:$H$169,MATCH($I66,'Listings'!$A$2:$A$169,0)))</x:f>
        <x:v>695</x:v>
      </x:c>
      <x:c r="D66" s="11" t="n">
        <x:f>IF(INDEX('Listings'!$I$2:$I$169,MATCH($I66,'Listings'!$A$2:$A$169,0))="","",INDEX('Listings'!$I$2:$I$169,MATCH($I66,'Listings'!$A$2:$A$169,0)))</x:f>
        <x:v>695</x:v>
      </x:c>
      <x:c r="E66" s="10" t="str">
        <x:v>Usable price pair within study area.</x:v>
      </x:c>
      <x:c r="F66" s="10" t="str">
        <x:f>IF(INDEX('Listings'!$Q$2:$Q$169,MATCH($I66,'Listings'!$A$2:$A$169,0))="","",INDEX('Listings'!$Q$2:$Q$169,MATCH($I66,'Listings'!$A$2:$A$169,0)))</x:f>
        <x:v>&gt;1–3 mi</x:v>
      </x:c>
      <x:c r="G66" s="10" t="str">
        <x:f>IF(INDEX('Listings'!$S$2:$S$169,MATCH($I66,'Listings'!$A$2:$A$169,0))="","",INDEX('Listings'!$S$2:$S$169,MATCH($I66,'Listings'!$A$2:$A$169,0)))</x:f>
        <x:v>&gt;1–3 mi</x:v>
      </x:c>
      <x:c r="H66" s="10" t="str">
        <x:f>IF(INDEX('Listings'!$U$2:$U$169,MATCH($I66,'Listings'!$A$2:$A$169,0))="","",INDEX('Listings'!$U$2:$U$169,MATCH($I66,'Listings'!$A$2:$A$169,0)))</x:f>
        <x:v>&gt;3–5 mi</x:v>
      </x:c>
      <x:c r="I66" s="10" t="str">
        <x:v>ocpchygggd</x:v>
      </x:c>
      <x:c r="J66" s="10" t="str">
        <x:f>IF(INDEX('Listings'!$C$2:$C$169,MATCH($I66,'Listings'!$A$2:$A$169,0))="","",INDEX('Listings'!$C$2:$C$169,MATCH($I66,'Listings'!$A$2:$A$169,0)))</x:f>
        <x:v>https://offcampus.dasa.ncsu.edu/housing/property/hurry-2-rooms-left-4br-4ba-condo-near-nc-state-all-utilities-and-internet-included/ocpchygggd</x:v>
      </x:c>
      <x:c r="K66" s="10" t="str">
        <x:f>IF(INDEX('Listings'!$AG$2:$AG$169,MATCH($I66,'Listings'!$A$2:$A$169,0))="","",INDEX('Listings'!$AG$2:$AG$169,MATCH($I66,'Listings'!$A$2:$A$169,0)))</x:f>
        <x:v>Source pricing flag retained; automated consistency checks passed. This is not independent landlord verification.</x:v>
      </x:c>
    </x:row>
    <x:row r="67" ht="24" hidden="0" customHeight="1">
      <x:c r="A67" s="10" t="str">
        <x:f>IF(INDEX('Listings'!$B$2:$B$169,MATCH($I67,'Listings'!$A$2:$A$169,0))="","",INDEX('Listings'!$B$2:$B$169,MATCH($I67,'Listings'!$A$2:$A$169,0)))</x:f>
        <x:v>Inona Place</x:v>
      </x:c>
      <x:c r="B67" s="10" t="str">
        <x:f>IF(INDEX('Listings'!$E$2:$E$169,MATCH($I67,'Listings'!$A$2:$A$169,0))="","",INDEX('Listings'!$E$2:$E$169,MATCH($I67,'Listings'!$A$2:$A$169,0)))</x:f>
        <x:v>Whole unit</x:v>
      </x:c>
      <x:c r="C67" s="11" t="n">
        <x:f>IF(INDEX('Listings'!$H$2:$H$169,MATCH($I67,'Listings'!$A$2:$A$169,0))="","",INDEX('Listings'!$H$2:$H$169,MATCH($I67,'Listings'!$A$2:$A$169,0)))</x:f>
        <x:v>1800</x:v>
      </x:c>
      <x:c r="D67" s="11" t="n">
        <x:f>IF(INDEX('Listings'!$I$2:$I$169,MATCH($I67,'Listings'!$A$2:$A$169,0))="","",INDEX('Listings'!$I$2:$I$169,MATCH($I67,'Listings'!$A$2:$A$169,0)))</x:f>
        <x:v>1800</x:v>
      </x:c>
      <x:c r="E67" s="10" t="str">
        <x:v>Usable price pair within study area.</x:v>
      </x:c>
      <x:c r="F67" s="10" t="str">
        <x:f>IF(INDEX('Listings'!$Q$2:$Q$169,MATCH($I67,'Listings'!$A$2:$A$169,0))="","",INDEX('Listings'!$Q$2:$Q$169,MATCH($I67,'Listings'!$A$2:$A$169,0)))</x:f>
        <x:v>&gt;3–5 mi</x:v>
      </x:c>
      <x:c r="G67" s="10" t="str">
        <x:f>IF(INDEX('Listings'!$S$2:$S$169,MATCH($I67,'Listings'!$A$2:$A$169,0))="","",INDEX('Listings'!$S$2:$S$169,MATCH($I67,'Listings'!$A$2:$A$169,0)))</x:f>
        <x:v>&gt;3–5 mi</x:v>
      </x:c>
      <x:c r="H67" s="10" t="str">
        <x:f>IF(INDEX('Listings'!$U$2:$U$169,MATCH($I67,'Listings'!$A$2:$A$169,0))="","",INDEX('Listings'!$U$2:$U$169,MATCH($I67,'Listings'!$A$2:$A$169,0)))</x:f>
        <x:v>&gt;1–3 mi</x:v>
      </x:c>
      <x:c r="I67" s="10" t="str">
        <x:v>ocpssgbbl7</x:v>
      </x:c>
      <x:c r="J67" s="10" t="str">
        <x:f>IF(INDEX('Listings'!$C$2:$C$169,MATCH($I67,'Listings'!$A$2:$A$169,0))="","",INDEX('Listings'!$C$2:$C$169,MATCH($I67,'Listings'!$A$2:$A$169,0)))</x:f>
        <x:v>https://offcampus.dasa.ncsu.edu/housing/property/inona-place/ocpssgbbl7</x:v>
      </x:c>
      <x:c r="K67" s="10" t="str">
        <x:f>IF(INDEX('Listings'!$AG$2:$AG$169,MATCH($I67,'Listings'!$A$2:$A$169,0))="","",INDEX('Listings'!$AG$2:$AG$169,MATCH($I67,'Listings'!$A$2:$A$169,0)))</x:f>
        <x:v>Source pricing flag retained; automated consistency checks passed. This is not independent landlord verification.</x:v>
      </x:c>
    </x:row>
    <x:row r="68" ht="24" hidden="0" customHeight="1">
      <x:c r="A68" s="10" t="str">
        <x:f>IF(INDEX('Listings'!$B$2:$B$169,MATCH($I68,'Listings'!$A$2:$A$169,0))="","",INDEX('Listings'!$B$2:$B$169,MATCH($I68,'Listings'!$A$2:$A$169,0)))</x:f>
        <x:v>Kensington Park</x:v>
      </x:c>
      <x:c r="B68" s="10" t="str">
        <x:f>IF(INDEX('Listings'!$E$2:$E$169,MATCH($I68,'Listings'!$A$2:$A$169,0))="","",INDEX('Listings'!$E$2:$E$169,MATCH($I68,'Listings'!$A$2:$A$169,0)))</x:f>
        <x:v>Whole unit</x:v>
      </x:c>
      <x:c r="C68" s="11" t="n">
        <x:f>IF(INDEX('Listings'!$H$2:$H$169,MATCH($I68,'Listings'!$A$2:$A$169,0))="","",INDEX('Listings'!$H$2:$H$169,MATCH($I68,'Listings'!$A$2:$A$169,0)))</x:f>
        <x:v>1175</x:v>
      </x:c>
      <x:c r="D68" s="11" t="n">
        <x:f>IF(INDEX('Listings'!$I$2:$I$169,MATCH($I68,'Listings'!$A$2:$A$169,0))="","",INDEX('Listings'!$I$2:$I$169,MATCH($I68,'Listings'!$A$2:$A$169,0)))</x:f>
        <x:v>1945</x:v>
      </x:c>
      <x:c r="E68" s="10" t="str">
        <x:v>Usable price pair within study area.</x:v>
      </x:c>
      <x:c r="F68" s="10" t="str">
        <x:f>IF(INDEX('Listings'!$Q$2:$Q$169,MATCH($I68,'Listings'!$A$2:$A$169,0))="","",INDEX('Listings'!$Q$2:$Q$169,MATCH($I68,'Listings'!$A$2:$A$169,0)))</x:f>
        <x:v>0–1 mi</x:v>
      </x:c>
      <x:c r="G68" s="10" t="str">
        <x:f>IF(INDEX('Listings'!$S$2:$S$169,MATCH($I68,'Listings'!$A$2:$A$169,0))="","",INDEX('Listings'!$S$2:$S$169,MATCH($I68,'Listings'!$A$2:$A$169,0)))</x:f>
        <x:v>0–1 mi</x:v>
      </x:c>
      <x:c r="H68" s="10" t="str">
        <x:f>IF(INDEX('Listings'!$U$2:$U$169,MATCH($I68,'Listings'!$A$2:$A$169,0))="","",INDEX('Listings'!$U$2:$U$169,MATCH($I68,'Listings'!$A$2:$A$169,0)))</x:f>
        <x:v>&gt;1–3 mi</x:v>
      </x:c>
      <x:c r="I68" s="10" t="str">
        <x:v>v534e5d</x:v>
      </x:c>
      <x:c r="J68" s="10" t="str">
        <x:f>IF(INDEX('Listings'!$C$2:$C$169,MATCH($I68,'Listings'!$A$2:$A$169,0))="","",INDEX('Listings'!$C$2:$C$169,MATCH($I68,'Listings'!$A$2:$A$169,0)))</x:f>
        <x:v>https://offcampus.dasa.ncsu.edu/housing/property/kensington-park/v534e5d</x:v>
      </x:c>
      <x:c r="K68" s="10" t="str">
        <x:f>IF(INDEX('Listings'!$AG$2:$AG$169,MATCH($I68,'Listings'!$A$2:$A$169,0))="","",INDEX('Listings'!$AG$2:$AG$169,MATCH($I68,'Listings'!$A$2:$A$169,0)))</x:f>
        <x:v>Source pricing flag retained; automated consistency checks passed. This is not independent landlord verification.</x:v>
      </x:c>
    </x:row>
    <x:row r="69" ht="24" hidden="0" customHeight="1">
      <x:c r="A69" s="10" t="str">
        <x:f>IF(INDEX('Listings'!$B$2:$B$169,MATCH($I69,'Listings'!$A$2:$A$169,0))="","",INDEX('Listings'!$B$2:$B$169,MATCH($I69,'Listings'!$A$2:$A$169,0)))</x:f>
        <x:v>Lake Park Condos- Room Rental with Utilities</x:v>
      </x:c>
      <x:c r="B69" s="10" t="str">
        <x:f>IF(INDEX('Listings'!$E$2:$E$169,MATCH($I69,'Listings'!$A$2:$A$169,0))="","",INDEX('Listings'!$E$2:$E$169,MATCH($I69,'Listings'!$A$2:$A$169,0)))</x:f>
        <x:v>Per bedroom</x:v>
      </x:c>
      <x:c r="C69" s="11" t="n">
        <x:f>IF(INDEX('Listings'!$H$2:$H$169,MATCH($I69,'Listings'!$A$2:$A$169,0))="","",INDEX('Listings'!$H$2:$H$169,MATCH($I69,'Listings'!$A$2:$A$169,0)))</x:f>
        <x:v>500</x:v>
      </x:c>
      <x:c r="D69" s="11" t="n">
        <x:f>IF(INDEX('Listings'!$I$2:$I$169,MATCH($I69,'Listings'!$A$2:$A$169,0))="","",INDEX('Listings'!$I$2:$I$169,MATCH($I69,'Listings'!$A$2:$A$169,0)))</x:f>
        <x:v>600</x:v>
      </x:c>
      <x:c r="E69" s="10" t="str">
        <x:v>Usable price pair within study area.</x:v>
      </x:c>
      <x:c r="F69" s="10" t="str">
        <x:f>IF(INDEX('Listings'!$Q$2:$Q$169,MATCH($I69,'Listings'!$A$2:$A$169,0))="","",INDEX('Listings'!$Q$2:$Q$169,MATCH($I69,'Listings'!$A$2:$A$169,0)))</x:f>
        <x:v>&gt;1–3 mi</x:v>
      </x:c>
      <x:c r="G69" s="10" t="str">
        <x:f>IF(INDEX('Listings'!$S$2:$S$169,MATCH($I69,'Listings'!$A$2:$A$169,0))="","",INDEX('Listings'!$S$2:$S$169,MATCH($I69,'Listings'!$A$2:$A$169,0)))</x:f>
        <x:v>&gt;1–3 mi</x:v>
      </x:c>
      <x:c r="H69" s="10" t="str">
        <x:f>IF(INDEX('Listings'!$U$2:$U$169,MATCH($I69,'Listings'!$A$2:$A$169,0))="","",INDEX('Listings'!$U$2:$U$169,MATCH($I69,'Listings'!$A$2:$A$169,0)))</x:f>
        <x:v>&gt;1–3 mi</x:v>
      </x:c>
      <x:c r="I69" s="10" t="str">
        <x:v>ocpvgtpebg</x:v>
      </x:c>
      <x:c r="J69" s="10" t="str">
        <x:f>IF(INDEX('Listings'!$C$2:$C$169,MATCH($I69,'Listings'!$A$2:$A$169,0))="","",INDEX('Listings'!$C$2:$C$169,MATCH($I69,'Listings'!$A$2:$A$169,0)))</x:f>
        <x:v>https://offcampus.dasa.ncsu.edu/housing/property/lake-park-condos-room-rental-with-utilities/ocpvgtpebg</x:v>
      </x:c>
      <x:c r="K69" s="10" t="str">
        <x:f>IF(INDEX('Listings'!$AG$2:$AG$169,MATCH($I69,'Listings'!$A$2:$A$169,0))="","",INDEX('Listings'!$AG$2:$AG$169,MATCH($I69,'Listings'!$A$2:$A$169,0)))</x:f>
        <x:v>Source pricing flag retained; automated consistency checks passed. This is not independent landlord verification.</x:v>
      </x:c>
    </x:row>
    <x:row r="70" ht="36" hidden="0" customHeight="1">
      <x:c r="A70" s="10" t="str">
        <x:f>IF(INDEX('Listings'!$B$2:$B$169,MATCH($I70,'Listings'!$A$2:$A$169,0))="","",INDEX('Listings'!$B$2:$B$169,MATCH($I70,'Listings'!$A$2:$A$169,0)))</x:f>
        <x:v>Liberty station male only townhome- 5 miles from Centennial</x:v>
      </x:c>
      <x:c r="B70" s="10" t="str">
        <x:f>IF(INDEX('Listings'!$E$2:$E$169,MATCH($I70,'Listings'!$A$2:$A$169,0))="","",INDEX('Listings'!$E$2:$E$169,MATCH($I70,'Listings'!$A$2:$A$169,0)))</x:f>
        <x:v>Per bedroom</x:v>
      </x:c>
      <x:c r="C70" s="11" t="n">
        <x:f>IF(INDEX('Listings'!$H$2:$H$169,MATCH($I70,'Listings'!$A$2:$A$169,0))="","",INDEX('Listings'!$H$2:$H$169,MATCH($I70,'Listings'!$A$2:$A$169,0)))</x:f>
        <x:v>900</x:v>
      </x:c>
      <x:c r="D70" s="11" t="n">
        <x:f>IF(INDEX('Listings'!$I$2:$I$169,MATCH($I70,'Listings'!$A$2:$A$169,0))="","",INDEX('Listings'!$I$2:$I$169,MATCH($I70,'Listings'!$A$2:$A$169,0)))</x:f>
        <x:v>900</x:v>
      </x:c>
      <x:c r="E70" s="10" t="str">
        <x:v>Usable price pair within study area.</x:v>
      </x:c>
      <x:c r="F70" s="10" t="str">
        <x:f>IF(INDEX('Listings'!$Q$2:$Q$169,MATCH($I70,'Listings'!$A$2:$A$169,0))="","",INDEX('Listings'!$Q$2:$Q$169,MATCH($I70,'Listings'!$A$2:$A$169,0)))</x:f>
        <x:v>&gt;3–5 mi</x:v>
      </x:c>
      <x:c r="G70" s="10" t="str">
        <x:f>IF(INDEX('Listings'!$S$2:$S$169,MATCH($I70,'Listings'!$A$2:$A$169,0))="","",INDEX('Listings'!$S$2:$S$169,MATCH($I70,'Listings'!$A$2:$A$169,0)))</x:f>
        <x:v>&gt;3–5 mi</x:v>
      </x:c>
      <x:c r="H70" s="10" t="str">
        <x:f>IF(INDEX('Listings'!$U$2:$U$169,MATCH($I70,'Listings'!$A$2:$A$169,0))="","",INDEX('Listings'!$U$2:$U$169,MATCH($I70,'Listings'!$A$2:$A$169,0)))</x:f>
        <x:v>Outside 5 mi</x:v>
      </x:c>
      <x:c r="I70" s="10" t="str">
        <x:v>ocp2k0px98</x:v>
      </x:c>
      <x:c r="J70" s="10" t="str">
        <x:f>IF(INDEX('Listings'!$C$2:$C$169,MATCH($I70,'Listings'!$A$2:$A$169,0))="","",INDEX('Listings'!$C$2:$C$169,MATCH($I70,'Listings'!$A$2:$A$169,0)))</x:f>
        <x:v>https://offcampus.dasa.ncsu.edu/housing/property/liberty-station-male-only-townhome-5-miles-from-centennial/ocp2k0px98</x:v>
      </x:c>
      <x:c r="K70" s="10" t="str">
        <x:f>IF(INDEX('Listings'!$AG$2:$AG$169,MATCH($I70,'Listings'!$A$2:$A$169,0))="","",INDEX('Listings'!$AG$2:$AG$169,MATCH($I70,'Listings'!$A$2:$A$169,0)))</x:f>
        <x:v>Source pricing flag retained; automated consistency checks passed. This is not independent landlord verification.</x:v>
      </x:c>
    </x:row>
    <x:row r="71" ht="36" hidden="0" customHeight="1">
      <x:c r="A71" s="10" t="str">
        <x:f>IF(INDEX('Listings'!$B$2:$B$169,MATCH($I71,'Listings'!$A$2:$A$169,0))="","",INDEX('Listings'!$B$2:$B$169,MATCH($I71,'Listings'!$A$2:$A$169,0)))</x:f>
        <x:v>Lupton Flats- 2 Bedroom 1 Bathroom Flat Available Now! Pre Leasing for August 2026!</x:v>
      </x:c>
      <x:c r="B71" s="10" t="str">
        <x:f>IF(INDEX('Listings'!$E$2:$E$169,MATCH($I71,'Listings'!$A$2:$A$169,0))="","",INDEX('Listings'!$E$2:$E$169,MATCH($I71,'Listings'!$A$2:$A$169,0)))</x:f>
        <x:v>Whole unit</x:v>
      </x:c>
      <x:c r="C71" s="11" t="n">
        <x:f>IF(INDEX('Listings'!$H$2:$H$169,MATCH($I71,'Listings'!$A$2:$A$169,0))="","",INDEX('Listings'!$H$2:$H$169,MATCH($I71,'Listings'!$A$2:$A$169,0)))</x:f>
        <x:v>1295</x:v>
      </x:c>
      <x:c r="D71" s="11" t="n">
        <x:f>IF(INDEX('Listings'!$I$2:$I$169,MATCH($I71,'Listings'!$A$2:$A$169,0))="","",INDEX('Listings'!$I$2:$I$169,MATCH($I71,'Listings'!$A$2:$A$169,0)))</x:f>
        <x:v>1295</x:v>
      </x:c>
      <x:c r="E71" s="10" t="str">
        <x:v>Usable price pair within study area.</x:v>
      </x:c>
      <x:c r="F71" s="10" t="str">
        <x:f>IF(INDEX('Listings'!$Q$2:$Q$169,MATCH($I71,'Listings'!$A$2:$A$169,0))="","",INDEX('Listings'!$Q$2:$Q$169,MATCH($I71,'Listings'!$A$2:$A$169,0)))</x:f>
        <x:v>0–1 mi</x:v>
      </x:c>
      <x:c r="G71" s="10" t="str">
        <x:f>IF(INDEX('Listings'!$S$2:$S$169,MATCH($I71,'Listings'!$A$2:$A$169,0))="","",INDEX('Listings'!$S$2:$S$169,MATCH($I71,'Listings'!$A$2:$A$169,0)))</x:f>
        <x:v>0–1 mi</x:v>
      </x:c>
      <x:c r="H71" s="10" t="str">
        <x:f>IF(INDEX('Listings'!$U$2:$U$169,MATCH($I71,'Listings'!$A$2:$A$169,0))="","",INDEX('Listings'!$U$2:$U$169,MATCH($I71,'Listings'!$A$2:$A$169,0)))</x:f>
        <x:v>&gt;1–3 mi</x:v>
      </x:c>
      <x:c r="I71" s="10" t="str">
        <x:v>ocpsq5c5s4</x:v>
      </x:c>
      <x:c r="J71" s="10" t="str">
        <x:f>IF(INDEX('Listings'!$C$2:$C$169,MATCH($I71,'Listings'!$A$2:$A$169,0))="","",INDEX('Listings'!$C$2:$C$169,MATCH($I71,'Listings'!$A$2:$A$169,0)))</x:f>
        <x:v>https://offcampus.dasa.ncsu.edu/housing/property/lupton-flats-2-bedroom-1-bathroom-flat-available-now-pre-leasing-for-august-2026/ocpsq5c5s4</x:v>
      </x:c>
      <x:c r="K71" s="10" t="str">
        <x:f>IF(INDEX('Listings'!$AG$2:$AG$169,MATCH($I71,'Listings'!$A$2:$A$169,0))="","",INDEX('Listings'!$AG$2:$AG$169,MATCH($I71,'Listings'!$A$2:$A$169,0)))</x:f>
        <x:v>Source pricing flag retained; automated consistency checks passed. This is not independent landlord verification.</x:v>
      </x:c>
    </x:row>
    <x:row r="72" ht="36" hidden="0" customHeight="1">
      <x:c r="A72" s="10" t="str">
        <x:f>IF(INDEX('Listings'!$B$2:$B$169,MATCH($I72,'Listings'!$A$2:$A$169,0))="","",INDEX('Listings'!$B$2:$B$169,MATCH($I72,'Listings'!$A$2:$A$169,0)))</x:f>
        <x:v>Luxury 4 Bedroom 4 Full Bath w free parking, 1 gig internet included. 2027-2028 School yea</x:v>
      </x:c>
      <x:c r="B72" s="10" t="str">
        <x:f>IF(INDEX('Listings'!$E$2:$E$169,MATCH($I72,'Listings'!$A$2:$A$169,0))="","",INDEX('Listings'!$E$2:$E$169,MATCH($I72,'Listings'!$A$2:$A$169,0)))</x:f>
        <x:v>Whole unit</x:v>
      </x:c>
      <x:c r="C72" s="11" t="n">
        <x:f>IF(INDEX('Listings'!$H$2:$H$169,MATCH($I72,'Listings'!$A$2:$A$169,0))="","",INDEX('Listings'!$H$2:$H$169,MATCH($I72,'Listings'!$A$2:$A$169,0)))</x:f>
        <x:v>4000</x:v>
      </x:c>
      <x:c r="D72" s="11" t="n">
        <x:f>IF(INDEX('Listings'!$I$2:$I$169,MATCH($I72,'Listings'!$A$2:$A$169,0))="","",INDEX('Listings'!$I$2:$I$169,MATCH($I72,'Listings'!$A$2:$A$169,0)))</x:f>
        <x:v>4000</x:v>
      </x:c>
      <x:c r="E72" s="10" t="str">
        <x:v>Usable price pair within study area.</x:v>
      </x:c>
      <x:c r="F72" s="10" t="str">
        <x:f>IF(INDEX('Listings'!$Q$2:$Q$169,MATCH($I72,'Listings'!$A$2:$A$169,0))="","",INDEX('Listings'!$Q$2:$Q$169,MATCH($I72,'Listings'!$A$2:$A$169,0)))</x:f>
        <x:v>0–1 mi</x:v>
      </x:c>
      <x:c r="G72" s="10" t="str">
        <x:f>IF(INDEX('Listings'!$S$2:$S$169,MATCH($I72,'Listings'!$A$2:$A$169,0))="","",INDEX('Listings'!$S$2:$S$169,MATCH($I72,'Listings'!$A$2:$A$169,0)))</x:f>
        <x:v>0–1 mi</x:v>
      </x:c>
      <x:c r="H72" s="10" t="str">
        <x:f>IF(INDEX('Listings'!$U$2:$U$169,MATCH($I72,'Listings'!$A$2:$A$169,0))="","",INDEX('Listings'!$U$2:$U$169,MATCH($I72,'Listings'!$A$2:$A$169,0)))</x:f>
        <x:v>&gt;1–3 mi</x:v>
      </x:c>
      <x:c r="I72" s="10" t="str">
        <x:v>ocpthnbmc9</x:v>
      </x:c>
      <x:c r="J72" s="10" t="str">
        <x:f>IF(INDEX('Listings'!$C$2:$C$169,MATCH($I72,'Listings'!$A$2:$A$169,0))="","",INDEX('Listings'!$C$2:$C$169,MATCH($I72,'Listings'!$A$2:$A$169,0)))</x:f>
        <x:v>https://offcampus.dasa.ncsu.edu/housing/property/luxury-4-bedroom-4-full-bath-w-free-parking-1-gig-internet-included-2027-2028-school-yea/ocpthnbmc9</x:v>
      </x:c>
      <x:c r="K72" s="10" t="str">
        <x:f>IF(INDEX('Listings'!$AG$2:$AG$169,MATCH($I72,'Listings'!$A$2:$A$169,0))="","",INDEX('Listings'!$AG$2:$AG$169,MATCH($I72,'Listings'!$A$2:$A$169,0)))</x:f>
        <x:v>Source pricing flag retained; automated consistency checks passed. This is not independent landlord verification.</x:v>
      </x:c>
    </x:row>
    <x:row r="73" ht="24" hidden="0" customHeight="1">
      <x:c r="A73" s="10" t="str">
        <x:f>IF(INDEX('Listings'!$B$2:$B$169,MATCH($I73,'Listings'!$A$2:$A$169,0))="","",INDEX('Listings'!$B$2:$B$169,MATCH($I73,'Listings'!$A$2:$A$169,0)))</x:f>
        <x:v>Madison Hunters Glen</x:v>
      </x:c>
      <x:c r="B73" s="10" t="str">
        <x:f>IF(INDEX('Listings'!$E$2:$E$169,MATCH($I73,'Listings'!$A$2:$A$169,0))="","",INDEX('Listings'!$E$2:$E$169,MATCH($I73,'Listings'!$A$2:$A$169,0)))</x:f>
        <x:v>Whole unit</x:v>
      </x:c>
      <x:c r="C73" s="11" t="n">
        <x:f>IF(INDEX('Listings'!$H$2:$H$169,MATCH($I73,'Listings'!$A$2:$A$169,0))="","",INDEX('Listings'!$H$2:$H$169,MATCH($I73,'Listings'!$A$2:$A$169,0)))</x:f>
        <x:v>1081</x:v>
      </x:c>
      <x:c r="D73" s="11" t="n">
        <x:f>IF(INDEX('Listings'!$I$2:$I$169,MATCH($I73,'Listings'!$A$2:$A$169,0))="","",INDEX('Listings'!$I$2:$I$169,MATCH($I73,'Listings'!$A$2:$A$169,0)))</x:f>
        <x:v>1534</x:v>
      </x:c>
      <x:c r="E73" s="10" t="str">
        <x:v>Usable price pair within study area.</x:v>
      </x:c>
      <x:c r="F73" s="10" t="str">
        <x:f>IF(INDEX('Listings'!$Q$2:$Q$169,MATCH($I73,'Listings'!$A$2:$A$169,0))="","",INDEX('Listings'!$Q$2:$Q$169,MATCH($I73,'Listings'!$A$2:$A$169,0)))</x:f>
        <x:v>&gt;1–3 mi</x:v>
      </x:c>
      <x:c r="G73" s="10" t="str">
        <x:f>IF(INDEX('Listings'!$S$2:$S$169,MATCH($I73,'Listings'!$A$2:$A$169,0))="","",INDEX('Listings'!$S$2:$S$169,MATCH($I73,'Listings'!$A$2:$A$169,0)))</x:f>
        <x:v>&gt;1–3 mi</x:v>
      </x:c>
      <x:c r="H73" s="10" t="str">
        <x:f>IF(INDEX('Listings'!$U$2:$U$169,MATCH($I73,'Listings'!$A$2:$A$169,0))="","",INDEX('Listings'!$U$2:$U$169,MATCH($I73,'Listings'!$A$2:$A$169,0)))</x:f>
        <x:v>&gt;1–3 mi</x:v>
      </x:c>
      <x:c r="I73" s="10" t="str">
        <x:v>rf696l2</x:v>
      </x:c>
      <x:c r="J73" s="10" t="str">
        <x:f>IF(INDEX('Listings'!$C$2:$C$169,MATCH($I73,'Listings'!$A$2:$A$169,0))="","",INDEX('Listings'!$C$2:$C$169,MATCH($I73,'Listings'!$A$2:$A$169,0)))</x:f>
        <x:v>https://offcampus.dasa.ncsu.edu/housing/property/madison-hunters-glen/rf696l2</x:v>
      </x:c>
      <x:c r="K73" s="10" t="str">
        <x:f>IF(INDEX('Listings'!$AG$2:$AG$169,MATCH($I73,'Listings'!$A$2:$A$169,0))="","",INDEX('Listings'!$AG$2:$AG$169,MATCH($I73,'Listings'!$A$2:$A$169,0)))</x:f>
        <x:v>Source pricing flag retained; automated consistency checks passed. This is not independent landlord verification.</x:v>
      </x:c>
    </x:row>
    <x:row r="74" ht="36" hidden="0" customHeight="1">
      <x:c r="A74" s="10" t="str">
        <x:f>IF(INDEX('Listings'!$B$2:$B$169,MATCH($I74,'Listings'!$A$2:$A$169,0))="","",INDEX('Listings'!$B$2:$B$169,MATCH($I74,'Listings'!$A$2:$A$169,0)))</x:f>
        <x:v>maisonNC --- Fully Furnished minutes away from Wolfline and Shopping</x:v>
      </x:c>
      <x:c r="B74" s="10" t="str">
        <x:f>IF(INDEX('Listings'!$E$2:$E$169,MATCH($I74,'Listings'!$A$2:$A$169,0))="","",INDEX('Listings'!$E$2:$E$169,MATCH($I74,'Listings'!$A$2:$A$169,0)))</x:f>
        <x:v>Per bedroom</x:v>
      </x:c>
      <x:c r="C74" s="11" t="n">
        <x:f>IF(INDEX('Listings'!$H$2:$H$169,MATCH($I74,'Listings'!$A$2:$A$169,0))="","",INDEX('Listings'!$H$2:$H$169,MATCH($I74,'Listings'!$A$2:$A$169,0)))</x:f>
        <x:v>750</x:v>
      </x:c>
      <x:c r="D74" s="11" t="n">
        <x:f>IF(INDEX('Listings'!$I$2:$I$169,MATCH($I74,'Listings'!$A$2:$A$169,0))="","",INDEX('Listings'!$I$2:$I$169,MATCH($I74,'Listings'!$A$2:$A$169,0)))</x:f>
        <x:v>750</x:v>
      </x:c>
      <x:c r="E74" s="10" t="str">
        <x:v>Usable price pair within study area.</x:v>
      </x:c>
      <x:c r="F74" s="10" t="str">
        <x:f>IF(INDEX('Listings'!$Q$2:$Q$169,MATCH($I74,'Listings'!$A$2:$A$169,0))="","",INDEX('Listings'!$Q$2:$Q$169,MATCH($I74,'Listings'!$A$2:$A$169,0)))</x:f>
        <x:v>&gt;1–3 mi</x:v>
      </x:c>
      <x:c r="G74" s="10" t="str">
        <x:f>IF(INDEX('Listings'!$S$2:$S$169,MATCH($I74,'Listings'!$A$2:$A$169,0))="","",INDEX('Listings'!$S$2:$S$169,MATCH($I74,'Listings'!$A$2:$A$169,0)))</x:f>
        <x:v>&gt;1–3 mi</x:v>
      </x:c>
      <x:c r="H74" s="10" t="str">
        <x:f>IF(INDEX('Listings'!$U$2:$U$169,MATCH($I74,'Listings'!$A$2:$A$169,0))="","",INDEX('Listings'!$U$2:$U$169,MATCH($I74,'Listings'!$A$2:$A$169,0)))</x:f>
        <x:v>&gt;1–3 mi</x:v>
      </x:c>
      <x:c r="I74" s="10" t="str">
        <x:v>ocpesl9n3p</x:v>
      </x:c>
      <x:c r="J74" s="10" t="str">
        <x:f>IF(INDEX('Listings'!$C$2:$C$169,MATCH($I74,'Listings'!$A$2:$A$169,0))="","",INDEX('Listings'!$C$2:$C$169,MATCH($I74,'Listings'!$A$2:$A$169,0)))</x:f>
        <x:v>https://offcampus.dasa.ncsu.edu/housing/property/maisonnc-fully-furnished-minutes-away-from-wolfline-and-shopping/ocpesl9n3p</x:v>
      </x:c>
      <x:c r="K74" s="10" t="str">
        <x:f>IF(INDEX('Listings'!$AG$2:$AG$169,MATCH($I74,'Listings'!$A$2:$A$169,0))="","",INDEX('Listings'!$AG$2:$AG$169,MATCH($I74,'Listings'!$A$2:$A$169,0)))</x:f>
        <x:v>Source pricing flag retained; automated consistency checks passed. This is not independent landlord verification.</x:v>
      </x:c>
    </x:row>
    <x:row r="75" ht="36" hidden="0" customHeight="1">
      <x:c r="A75" s="10" t="str">
        <x:f>IF(INDEX('Listings'!$B$2:$B$169,MATCH($I75,'Listings'!$A$2:$A$169,0))="","",INDEX('Listings'!$B$2:$B$169,MATCH($I75,'Listings'!$A$2:$A$169,0)))</x:f>
        <x:v>maisonNC --- Fully Furnished minutes away from Wolfline and Shopping</x:v>
      </x:c>
      <x:c r="B75" s="10" t="str">
        <x:f>IF(INDEX('Listings'!$E$2:$E$169,MATCH($I75,'Listings'!$A$2:$A$169,0))="","",INDEX('Listings'!$E$2:$E$169,MATCH($I75,'Listings'!$A$2:$A$169,0)))</x:f>
        <x:v>Per bedroom</x:v>
      </x:c>
      <x:c r="C75" s="11" t="n">
        <x:f>IF(INDEX('Listings'!$H$2:$H$169,MATCH($I75,'Listings'!$A$2:$A$169,0))="","",INDEX('Listings'!$H$2:$H$169,MATCH($I75,'Listings'!$A$2:$A$169,0)))</x:f>
        <x:v>750</x:v>
      </x:c>
      <x:c r="D75" s="11" t="n">
        <x:f>IF(INDEX('Listings'!$I$2:$I$169,MATCH($I75,'Listings'!$A$2:$A$169,0))="","",INDEX('Listings'!$I$2:$I$169,MATCH($I75,'Listings'!$A$2:$A$169,0)))</x:f>
        <x:v>750</x:v>
      </x:c>
      <x:c r="E75" s="10" t="str">
        <x:v>Usable price pair within study area.</x:v>
      </x:c>
      <x:c r="F75" s="10" t="str">
        <x:f>IF(INDEX('Listings'!$Q$2:$Q$169,MATCH($I75,'Listings'!$A$2:$A$169,0))="","",INDEX('Listings'!$Q$2:$Q$169,MATCH($I75,'Listings'!$A$2:$A$169,0)))</x:f>
        <x:v>&gt;1–3 mi</x:v>
      </x:c>
      <x:c r="G75" s="10" t="str">
        <x:f>IF(INDEX('Listings'!$S$2:$S$169,MATCH($I75,'Listings'!$A$2:$A$169,0))="","",INDEX('Listings'!$S$2:$S$169,MATCH($I75,'Listings'!$A$2:$A$169,0)))</x:f>
        <x:v>&gt;1–3 mi</x:v>
      </x:c>
      <x:c r="H75" s="10" t="str">
        <x:f>IF(INDEX('Listings'!$U$2:$U$169,MATCH($I75,'Listings'!$A$2:$A$169,0))="","",INDEX('Listings'!$U$2:$U$169,MATCH($I75,'Listings'!$A$2:$A$169,0)))</x:f>
        <x:v>&gt;1–3 mi</x:v>
      </x:c>
      <x:c r="I75" s="10" t="str">
        <x:v>ocpcm3jede</x:v>
      </x:c>
      <x:c r="J75" s="10" t="str">
        <x:f>IF(INDEX('Listings'!$C$2:$C$169,MATCH($I75,'Listings'!$A$2:$A$169,0))="","",INDEX('Listings'!$C$2:$C$169,MATCH($I75,'Listings'!$A$2:$A$169,0)))</x:f>
        <x:v>https://offcampus.dasa.ncsu.edu/housing/property/maisonnc-fully-furnished-minutes-away-from-wolfline-and-shopping/ocpcm3jede</x:v>
      </x:c>
      <x:c r="K75" s="10" t="str">
        <x:f>IF(INDEX('Listings'!$AG$2:$AG$169,MATCH($I75,'Listings'!$A$2:$A$169,0))="","",INDEX('Listings'!$AG$2:$AG$169,MATCH($I75,'Listings'!$A$2:$A$169,0)))</x:f>
        <x:v>Source pricing flag retained; automated consistency checks passed. This is not independent landlord verification.</x:v>
      </x:c>
    </x:row>
    <x:row r="76" ht="24" hidden="0" customHeight="1">
      <x:c r="A76" s="10" t="str">
        <x:f>IF(INDEX('Listings'!$B$2:$B$169,MATCH($I76,'Listings'!$A$2:$A$169,0))="","",INDEX('Listings'!$B$2:$B$169,MATCH($I76,'Listings'!$A$2:$A$169,0)))</x:f>
        <x:v>Modern &amp; spacious 3BR/3BA Apartment w/View</x:v>
      </x:c>
      <x:c r="B76" s="10" t="str">
        <x:f>IF(INDEX('Listings'!$E$2:$E$169,MATCH($I76,'Listings'!$A$2:$A$169,0))="","",INDEX('Listings'!$E$2:$E$169,MATCH($I76,'Listings'!$A$2:$A$169,0)))</x:f>
        <x:v>Per bedroom</x:v>
      </x:c>
      <x:c r="C76" s="11" t="n">
        <x:f>IF(INDEX('Listings'!$H$2:$H$169,MATCH($I76,'Listings'!$A$2:$A$169,0))="","",INDEX('Listings'!$H$2:$H$169,MATCH($I76,'Listings'!$A$2:$A$169,0)))</x:f>
        <x:v>1000</x:v>
      </x:c>
      <x:c r="D76" s="11" t="n">
        <x:f>IF(INDEX('Listings'!$I$2:$I$169,MATCH($I76,'Listings'!$A$2:$A$169,0))="","",INDEX('Listings'!$I$2:$I$169,MATCH($I76,'Listings'!$A$2:$A$169,0)))</x:f>
        <x:v>1000</x:v>
      </x:c>
      <x:c r="E76" s="10" t="str">
        <x:v>Usable price pair within study area.</x:v>
      </x:c>
      <x:c r="F76" s="10" t="str">
        <x:f>IF(INDEX('Listings'!$Q$2:$Q$169,MATCH($I76,'Listings'!$A$2:$A$169,0))="","",INDEX('Listings'!$Q$2:$Q$169,MATCH($I76,'Listings'!$A$2:$A$169,0)))</x:f>
        <x:v>&gt;1–3 mi</x:v>
      </x:c>
      <x:c r="G76" s="10" t="str">
        <x:f>IF(INDEX('Listings'!$S$2:$S$169,MATCH($I76,'Listings'!$A$2:$A$169,0))="","",INDEX('Listings'!$S$2:$S$169,MATCH($I76,'Listings'!$A$2:$A$169,0)))</x:f>
        <x:v>&gt;1–3 mi</x:v>
      </x:c>
      <x:c r="H76" s="10" t="str">
        <x:f>IF(INDEX('Listings'!$U$2:$U$169,MATCH($I76,'Listings'!$A$2:$A$169,0))="","",INDEX('Listings'!$U$2:$U$169,MATCH($I76,'Listings'!$A$2:$A$169,0)))</x:f>
        <x:v>&gt;1–3 mi</x:v>
      </x:c>
      <x:c r="I76" s="10" t="str">
        <x:v>ocpnx5c0kn</x:v>
      </x:c>
      <x:c r="J76" s="10" t="str">
        <x:f>IF(INDEX('Listings'!$C$2:$C$169,MATCH($I76,'Listings'!$A$2:$A$169,0))="","",INDEX('Listings'!$C$2:$C$169,MATCH($I76,'Listings'!$A$2:$A$169,0)))</x:f>
        <x:v>https://offcampus.dasa.ncsu.edu/housing/property/modern-and-spacious-3br-3ba-apartment-w-view/ocpnx5c0kn</x:v>
      </x:c>
      <x:c r="K76" s="10" t="str">
        <x:f>IF(INDEX('Listings'!$AG$2:$AG$169,MATCH($I76,'Listings'!$A$2:$A$169,0))="","",INDEX('Listings'!$AG$2:$AG$169,MATCH($I76,'Listings'!$A$2:$A$169,0)))</x:f>
        <x:v>Source pricing flag retained; automated consistency checks passed. This is not independent landlord verification.</x:v>
      </x:c>
    </x:row>
    <x:row r="77" ht="24" hidden="0" customHeight="1">
      <x:c r="A77" s="10" t="str">
        <x:f>IF(INDEX('Listings'!$B$2:$B$169,MATCH($I77,'Listings'!$A$2:$A$169,0))="","",INDEX('Listings'!$B$2:$B$169,MATCH($I77,'Listings'!$A$2:$A$169,0)))</x:f>
        <x:v>Modern/High Ceilings 2bed/2 bath</x:v>
      </x:c>
      <x:c r="B77" s="10" t="str">
        <x:f>IF(INDEX('Listings'!$E$2:$E$169,MATCH($I77,'Listings'!$A$2:$A$169,0))="","",INDEX('Listings'!$E$2:$E$169,MATCH($I77,'Listings'!$A$2:$A$169,0)))</x:f>
        <x:v>Per bedroom</x:v>
      </x:c>
      <x:c r="C77" s="11" t="n">
        <x:f>IF(INDEX('Listings'!$H$2:$H$169,MATCH($I77,'Listings'!$A$2:$A$169,0))="","",INDEX('Listings'!$H$2:$H$169,MATCH($I77,'Listings'!$A$2:$A$169,0)))</x:f>
        <x:v>1250</x:v>
      </x:c>
      <x:c r="D77" s="11" t="n">
        <x:f>IF(INDEX('Listings'!$I$2:$I$169,MATCH($I77,'Listings'!$A$2:$A$169,0))="","",INDEX('Listings'!$I$2:$I$169,MATCH($I77,'Listings'!$A$2:$A$169,0)))</x:f>
        <x:v>1250</x:v>
      </x:c>
      <x:c r="E77" s="10" t="str">
        <x:v>Usable price pair within study area.</x:v>
      </x:c>
      <x:c r="F77" s="10" t="str">
        <x:f>IF(INDEX('Listings'!$Q$2:$Q$169,MATCH($I77,'Listings'!$A$2:$A$169,0))="","",INDEX('Listings'!$Q$2:$Q$169,MATCH($I77,'Listings'!$A$2:$A$169,0)))</x:f>
        <x:v>&gt;1–3 mi</x:v>
      </x:c>
      <x:c r="G77" s="10" t="str">
        <x:f>IF(INDEX('Listings'!$S$2:$S$169,MATCH($I77,'Listings'!$A$2:$A$169,0))="","",INDEX('Listings'!$S$2:$S$169,MATCH($I77,'Listings'!$A$2:$A$169,0)))</x:f>
        <x:v>&gt;1–3 mi</x:v>
      </x:c>
      <x:c r="H77" s="10" t="str">
        <x:f>IF(INDEX('Listings'!$U$2:$U$169,MATCH($I77,'Listings'!$A$2:$A$169,0))="","",INDEX('Listings'!$U$2:$U$169,MATCH($I77,'Listings'!$A$2:$A$169,0)))</x:f>
        <x:v>&gt;1–3 mi</x:v>
      </x:c>
      <x:c r="I77" s="10" t="str">
        <x:v>ocpet5b7hm</x:v>
      </x:c>
      <x:c r="J77" s="10" t="str">
        <x:f>IF(INDEX('Listings'!$C$2:$C$169,MATCH($I77,'Listings'!$A$2:$A$169,0))="","",INDEX('Listings'!$C$2:$C$169,MATCH($I77,'Listings'!$A$2:$A$169,0)))</x:f>
        <x:v>https://offcampus.dasa.ncsu.edu/housing/property/modern-high-ceilings-2bed-2-bath/ocpet5b7hm</x:v>
      </x:c>
      <x:c r="K77" s="10" t="str">
        <x:f>IF(INDEX('Listings'!$AG$2:$AG$169,MATCH($I77,'Listings'!$A$2:$A$169,0))="","",INDEX('Listings'!$AG$2:$AG$169,MATCH($I77,'Listings'!$A$2:$A$169,0)))</x:f>
        <x:v>Source pricing flag retained; automated consistency checks passed. This is not independent landlord verification.</x:v>
      </x:c>
    </x:row>
    <x:row r="78" ht="24" hidden="0" customHeight="1">
      <x:c r="A78" s="10" t="str">
        <x:f>IF(INDEX('Listings'!$B$2:$B$169,MATCH($I78,'Listings'!$A$2:$A$169,0))="","",INDEX('Listings'!$B$2:$B$169,MATCH($I78,'Listings'!$A$2:$A$169,0)))</x:f>
        <x:v>New Construction: 4 Bed 4.5 Bath Townhomes</x:v>
      </x:c>
      <x:c r="B78" s="10" t="str">
        <x:f>IF(INDEX('Listings'!$E$2:$E$169,MATCH($I78,'Listings'!$A$2:$A$169,0))="","",INDEX('Listings'!$E$2:$E$169,MATCH($I78,'Listings'!$A$2:$A$169,0)))</x:f>
        <x:v>Whole unit</x:v>
      </x:c>
      <x:c r="C78" s="11" t="n">
        <x:f>IF(INDEX('Listings'!$H$2:$H$169,MATCH($I78,'Listings'!$A$2:$A$169,0))="","",INDEX('Listings'!$H$2:$H$169,MATCH($I78,'Listings'!$A$2:$A$169,0)))</x:f>
        <x:v>4000</x:v>
      </x:c>
      <x:c r="D78" s="11" t="n">
        <x:f>IF(INDEX('Listings'!$I$2:$I$169,MATCH($I78,'Listings'!$A$2:$A$169,0))="","",INDEX('Listings'!$I$2:$I$169,MATCH($I78,'Listings'!$A$2:$A$169,0)))</x:f>
        <x:v>4000</x:v>
      </x:c>
      <x:c r="E78" s="10" t="str">
        <x:v>Usable price pair within study area.</x:v>
      </x:c>
      <x:c r="F78" s="10" t="str">
        <x:f>IF(INDEX('Listings'!$Q$2:$Q$169,MATCH($I78,'Listings'!$A$2:$A$169,0))="","",INDEX('Listings'!$Q$2:$Q$169,MATCH($I78,'Listings'!$A$2:$A$169,0)))</x:f>
        <x:v>0–1 mi</x:v>
      </x:c>
      <x:c r="G78" s="10" t="str">
        <x:f>IF(INDEX('Listings'!$S$2:$S$169,MATCH($I78,'Listings'!$A$2:$A$169,0))="","",INDEX('Listings'!$S$2:$S$169,MATCH($I78,'Listings'!$A$2:$A$169,0)))</x:f>
        <x:v>0–1 mi</x:v>
      </x:c>
      <x:c r="H78" s="10" t="str">
        <x:f>IF(INDEX('Listings'!$U$2:$U$169,MATCH($I78,'Listings'!$A$2:$A$169,0))="","",INDEX('Listings'!$U$2:$U$169,MATCH($I78,'Listings'!$A$2:$A$169,0)))</x:f>
        <x:v>&gt;1–3 mi</x:v>
      </x:c>
      <x:c r="I78" s="10" t="str">
        <x:v>ocpd8x87kh</x:v>
      </x:c>
      <x:c r="J78" s="10" t="str">
        <x:f>IF(INDEX('Listings'!$C$2:$C$169,MATCH($I78,'Listings'!$A$2:$A$169,0))="","",INDEX('Listings'!$C$2:$C$169,MATCH($I78,'Listings'!$A$2:$A$169,0)))</x:f>
        <x:v>https://offcampus.dasa.ncsu.edu/housing/property/new-construction-4-bed-4-5-bath-townhomes/ocpd8x87kh</x:v>
      </x:c>
      <x:c r="K78" s="10" t="str">
        <x:f>IF(INDEX('Listings'!$AG$2:$AG$169,MATCH($I78,'Listings'!$A$2:$A$169,0))="","",INDEX('Listings'!$AG$2:$AG$169,MATCH($I78,'Listings'!$A$2:$A$169,0)))</x:f>
        <x:v>Source pricing flag retained; automated consistency checks passed. This is not independent landlord verification.</x:v>
      </x:c>
    </x:row>
    <x:row r="79" ht="36" hidden="0" customHeight="1">
      <x:c r="A79" s="10" t="str">
        <x:f>IF(INDEX('Listings'!$B$2:$B$169,MATCH($I79,'Listings'!$A$2:$A$169,0))="","",INDEX('Listings'!$B$2:$B$169,MATCH($I79,'Listings'!$A$2:$A$169,0)))</x:f>
        <x:v>Newly Renovated - All Girls Unit Room with Private Bathroom</x:v>
      </x:c>
      <x:c r="B79" s="10" t="str">
        <x:f>IF(INDEX('Listings'!$E$2:$E$169,MATCH($I79,'Listings'!$A$2:$A$169,0))="","",INDEX('Listings'!$E$2:$E$169,MATCH($I79,'Listings'!$A$2:$A$169,0)))</x:f>
        <x:v>Per bedroom</x:v>
      </x:c>
      <x:c r="C79" s="11" t="n">
        <x:f>IF(INDEX('Listings'!$H$2:$H$169,MATCH($I79,'Listings'!$A$2:$A$169,0))="","",INDEX('Listings'!$H$2:$H$169,MATCH($I79,'Listings'!$A$2:$A$169,0)))</x:f>
        <x:v>645</x:v>
      </x:c>
      <x:c r="D79" s="11" t="n">
        <x:f>IF(INDEX('Listings'!$I$2:$I$169,MATCH($I79,'Listings'!$A$2:$A$169,0))="","",INDEX('Listings'!$I$2:$I$169,MATCH($I79,'Listings'!$A$2:$A$169,0)))</x:f>
        <x:v>645</x:v>
      </x:c>
      <x:c r="E79" s="10" t="str">
        <x:v>Usable price pair within study area.</x:v>
      </x:c>
      <x:c r="F79" s="10" t="str">
        <x:f>IF(INDEX('Listings'!$Q$2:$Q$169,MATCH($I79,'Listings'!$A$2:$A$169,0))="","",INDEX('Listings'!$Q$2:$Q$169,MATCH($I79,'Listings'!$A$2:$A$169,0)))</x:f>
        <x:v>&gt;1–3 mi</x:v>
      </x:c>
      <x:c r="G79" s="10" t="str">
        <x:f>IF(INDEX('Listings'!$S$2:$S$169,MATCH($I79,'Listings'!$A$2:$A$169,0))="","",INDEX('Listings'!$S$2:$S$169,MATCH($I79,'Listings'!$A$2:$A$169,0)))</x:f>
        <x:v>&gt;1–3 mi</x:v>
      </x:c>
      <x:c r="H79" s="10" t="str">
        <x:f>IF(INDEX('Listings'!$U$2:$U$169,MATCH($I79,'Listings'!$A$2:$A$169,0))="","",INDEX('Listings'!$U$2:$U$169,MATCH($I79,'Listings'!$A$2:$A$169,0)))</x:f>
        <x:v>&gt;3–5 mi</x:v>
      </x:c>
      <x:c r="I79" s="10" t="str">
        <x:v>ocp6mp93ms</x:v>
      </x:c>
      <x:c r="J79" s="10" t="str">
        <x:f>IF(INDEX('Listings'!$C$2:$C$169,MATCH($I79,'Listings'!$A$2:$A$169,0))="","",INDEX('Listings'!$C$2:$C$169,MATCH($I79,'Listings'!$A$2:$A$169,0)))</x:f>
        <x:v>https://offcampus.dasa.ncsu.edu/housing/property/newly-renovated-all-girls-unit-room-with-private-bathroom/ocp6mp93ms</x:v>
      </x:c>
      <x:c r="K79" s="10" t="str">
        <x:f>IF(INDEX('Listings'!$AG$2:$AG$169,MATCH($I79,'Listings'!$A$2:$A$169,0))="","",INDEX('Listings'!$AG$2:$AG$169,MATCH($I79,'Listings'!$A$2:$A$169,0)))</x:f>
        <x:v>Source pricing flag retained; automated consistency checks passed. This is not independent landlord verification.</x:v>
      </x:c>
    </x:row>
    <x:row r="80" ht="36" hidden="0" customHeight="1">
      <x:c r="A80" s="10" t="str">
        <x:f>IF(INDEX('Listings'!$B$2:$B$169,MATCH($I80,'Listings'!$A$2:$A$169,0))="","",INDEX('Listings'!$B$2:$B$169,MATCH($I80,'Listings'!$A$2:$A$169,0)))</x:f>
        <x:v>Now Pre-Leasing for August 2026! 1 and 3 Bedrooms with Utilities! Marcom St Apartments!</x:v>
      </x:c>
      <x:c r="B80" s="10" t="str">
        <x:f>IF(INDEX('Listings'!$E$2:$E$169,MATCH($I80,'Listings'!$A$2:$A$169,0))="","",INDEX('Listings'!$E$2:$E$169,MATCH($I80,'Listings'!$A$2:$A$169,0)))</x:f>
        <x:v>Whole unit</x:v>
      </x:c>
      <x:c r="C80" s="11" t="n">
        <x:f>IF(INDEX('Listings'!$H$2:$H$169,MATCH($I80,'Listings'!$A$2:$A$169,0))="","",INDEX('Listings'!$H$2:$H$169,MATCH($I80,'Listings'!$A$2:$A$169,0)))</x:f>
        <x:v>1545</x:v>
      </x:c>
      <x:c r="D80" s="11" t="n">
        <x:f>IF(INDEX('Listings'!$I$2:$I$169,MATCH($I80,'Listings'!$A$2:$A$169,0))="","",INDEX('Listings'!$I$2:$I$169,MATCH($I80,'Listings'!$A$2:$A$169,0)))</x:f>
        <x:v>2045</x:v>
      </x:c>
      <x:c r="E80" s="10" t="str">
        <x:v>Usable price pair within study area.</x:v>
      </x:c>
      <x:c r="F80" s="10" t="str">
        <x:f>IF(INDEX('Listings'!$Q$2:$Q$169,MATCH($I80,'Listings'!$A$2:$A$169,0))="","",INDEX('Listings'!$Q$2:$Q$169,MATCH($I80,'Listings'!$A$2:$A$169,0)))</x:f>
        <x:v>0–1 mi</x:v>
      </x:c>
      <x:c r="G80" s="10" t="str">
        <x:f>IF(INDEX('Listings'!$S$2:$S$169,MATCH($I80,'Listings'!$A$2:$A$169,0))="","",INDEX('Listings'!$S$2:$S$169,MATCH($I80,'Listings'!$A$2:$A$169,0)))</x:f>
        <x:v>0–1 mi</x:v>
      </x:c>
      <x:c r="H80" s="10" t="str">
        <x:f>IF(INDEX('Listings'!$U$2:$U$169,MATCH($I80,'Listings'!$A$2:$A$169,0))="","",INDEX('Listings'!$U$2:$U$169,MATCH($I80,'Listings'!$A$2:$A$169,0)))</x:f>
        <x:v>&gt;1–3 mi</x:v>
      </x:c>
      <x:c r="I80" s="10" t="str">
        <x:v>ocpb48f058</x:v>
      </x:c>
      <x:c r="J80" s="10" t="str">
        <x:f>IF(INDEX('Listings'!$C$2:$C$169,MATCH($I80,'Listings'!$A$2:$A$169,0))="","",INDEX('Listings'!$C$2:$C$169,MATCH($I80,'Listings'!$A$2:$A$169,0)))</x:f>
        <x:v>https://offcampus.dasa.ncsu.edu/housing/property/now-pre-leasing-for-august-2026-1-and-3-bedrooms-with-utilities-marcom-st-apartments/ocpb48f058</x:v>
      </x:c>
      <x:c r="K80" s="10" t="str">
        <x:f>IF(INDEX('Listings'!$AG$2:$AG$169,MATCH($I80,'Listings'!$A$2:$A$169,0))="","",INDEX('Listings'!$AG$2:$AG$169,MATCH($I80,'Listings'!$A$2:$A$169,0)))</x:f>
        <x:v>Source pricing flag retained; automated consistency checks passed. This is not independent landlord verification.</x:v>
      </x:c>
    </x:row>
    <x:row r="81" ht="24" hidden="0" customHeight="1">
      <x:c r="A81" s="10" t="str">
        <x:f>IF(INDEX('Listings'!$B$2:$B$169,MATCH($I81,'Listings'!$A$2:$A$169,0))="","",INDEX('Listings'!$B$2:$B$169,MATCH($I81,'Listings'!$A$2:$A$169,0)))</x:f>
        <x:v>Paloma Raleigh</x:v>
      </x:c>
      <x:c r="B81" s="10" t="str">
        <x:f>IF(INDEX('Listings'!$E$2:$E$169,MATCH($I81,'Listings'!$A$2:$A$169,0))="","",INDEX('Listings'!$E$2:$E$169,MATCH($I81,'Listings'!$A$2:$A$169,0)))</x:f>
        <x:v>Per bedroom</x:v>
      </x:c>
      <x:c r="C81" s="11" t="n">
        <x:f>IF(INDEX('Listings'!$H$2:$H$169,MATCH($I81,'Listings'!$A$2:$A$169,0))="","",INDEX('Listings'!$H$2:$H$169,MATCH($I81,'Listings'!$A$2:$A$169,0)))</x:f>
        <x:v>749</x:v>
      </x:c>
      <x:c r="D81" s="11" t="n">
        <x:f>IF(INDEX('Listings'!$I$2:$I$169,MATCH($I81,'Listings'!$A$2:$A$169,0))="","",INDEX('Listings'!$I$2:$I$169,MATCH($I81,'Listings'!$A$2:$A$169,0)))</x:f>
        <x:v>1599</x:v>
      </x:c>
      <x:c r="E81" s="10" t="str">
        <x:v>Usable price pair within study area.</x:v>
      </x:c>
      <x:c r="F81" s="10" t="str">
        <x:f>IF(INDEX('Listings'!$Q$2:$Q$169,MATCH($I81,'Listings'!$A$2:$A$169,0))="","",INDEX('Listings'!$Q$2:$Q$169,MATCH($I81,'Listings'!$A$2:$A$169,0)))</x:f>
        <x:v>&gt;1–3 mi</x:v>
      </x:c>
      <x:c r="G81" s="10" t="str">
        <x:f>IF(INDEX('Listings'!$S$2:$S$169,MATCH($I81,'Listings'!$A$2:$A$169,0))="","",INDEX('Listings'!$S$2:$S$169,MATCH($I81,'Listings'!$A$2:$A$169,0)))</x:f>
        <x:v>&gt;3–5 mi</x:v>
      </x:c>
      <x:c r="H81" s="10" t="str">
        <x:f>IF(INDEX('Listings'!$U$2:$U$169,MATCH($I81,'Listings'!$A$2:$A$169,0))="","",INDEX('Listings'!$U$2:$U$169,MATCH($I81,'Listings'!$A$2:$A$169,0)))</x:f>
        <x:v>&gt;1–3 mi</x:v>
      </x:c>
      <x:c r="I81" s="10" t="str">
        <x:v>0smdl31</x:v>
      </x:c>
      <x:c r="J81" s="10" t="str">
        <x:f>IF(INDEX('Listings'!$C$2:$C$169,MATCH($I81,'Listings'!$A$2:$A$169,0))="","",INDEX('Listings'!$C$2:$C$169,MATCH($I81,'Listings'!$A$2:$A$169,0)))</x:f>
        <x:v>https://offcampus.dasa.ncsu.edu/housing/property/paloma-raleigh/0smdl31</x:v>
      </x:c>
      <x:c r="K81" s="10" t="str">
        <x:f>IF(INDEX('Listings'!$AG$2:$AG$169,MATCH($I81,'Listings'!$A$2:$A$169,0))="","",INDEX('Listings'!$AG$2:$AG$169,MATCH($I81,'Listings'!$A$2:$A$169,0)))</x:f>
        <x:v>Source pricing flag retained; automated consistency checks passed. This is not independent landlord verification.</x:v>
      </x:c>
    </x:row>
    <x:row r="82" ht="24" hidden="0" customHeight="1">
      <x:c r="A82" s="10" t="str">
        <x:f>IF(INDEX('Listings'!$B$2:$B$169,MATCH($I82,'Listings'!$A$2:$A$169,0))="","",INDEX('Listings'!$B$2:$B$169,MATCH($I82,'Listings'!$A$2:$A$169,0)))</x:f>
        <x:v>Pine Knoll Apartments</x:v>
      </x:c>
      <x:c r="B82" s="10" t="str">
        <x:f>IF(INDEX('Listings'!$E$2:$E$169,MATCH($I82,'Listings'!$A$2:$A$169,0))="","",INDEX('Listings'!$E$2:$E$169,MATCH($I82,'Listings'!$A$2:$A$169,0)))</x:f>
        <x:v>Whole unit</x:v>
      </x:c>
      <x:c r="C82" s="11" t="n">
        <x:f>IF(INDEX('Listings'!$H$2:$H$169,MATCH($I82,'Listings'!$A$2:$A$169,0))="","",INDEX('Listings'!$H$2:$H$169,MATCH($I82,'Listings'!$A$2:$A$169,0)))</x:f>
        <x:v>1095</x:v>
      </x:c>
      <x:c r="D82" s="11" t="n">
        <x:f>IF(INDEX('Listings'!$I$2:$I$169,MATCH($I82,'Listings'!$A$2:$A$169,0))="","",INDEX('Listings'!$I$2:$I$169,MATCH($I82,'Listings'!$A$2:$A$169,0)))</x:f>
        <x:v>1095</x:v>
      </x:c>
      <x:c r="E82" s="10" t="str">
        <x:v>Usable price pair within study area.</x:v>
      </x:c>
      <x:c r="F82" s="10" t="str">
        <x:f>IF(INDEX('Listings'!$Q$2:$Q$169,MATCH($I82,'Listings'!$A$2:$A$169,0))="","",INDEX('Listings'!$Q$2:$Q$169,MATCH($I82,'Listings'!$A$2:$A$169,0)))</x:f>
        <x:v>0–1 mi</x:v>
      </x:c>
      <x:c r="G82" s="10" t="str">
        <x:f>IF(INDEX('Listings'!$S$2:$S$169,MATCH($I82,'Listings'!$A$2:$A$169,0))="","",INDEX('Listings'!$S$2:$S$169,MATCH($I82,'Listings'!$A$2:$A$169,0)))</x:f>
        <x:v>0–1 mi</x:v>
      </x:c>
      <x:c r="H82" s="10" t="str">
        <x:f>IF(INDEX('Listings'!$U$2:$U$169,MATCH($I82,'Listings'!$A$2:$A$169,0))="","",INDEX('Listings'!$U$2:$U$169,MATCH($I82,'Listings'!$A$2:$A$169,0)))</x:f>
        <x:v>&gt;1–3 mi</x:v>
      </x:c>
      <x:c r="I82" s="10" t="str">
        <x:v>xr4rsmq</x:v>
      </x:c>
      <x:c r="J82" s="10" t="str">
        <x:f>IF(INDEX('Listings'!$C$2:$C$169,MATCH($I82,'Listings'!$A$2:$A$169,0))="","",INDEX('Listings'!$C$2:$C$169,MATCH($I82,'Listings'!$A$2:$A$169,0)))</x:f>
        <x:v>https://offcampus.dasa.ncsu.edu/housing/property/pine-knoll-apartments/xr4rsmq</x:v>
      </x:c>
      <x:c r="K82" s="10" t="str">
        <x:f>IF(INDEX('Listings'!$AG$2:$AG$169,MATCH($I82,'Listings'!$A$2:$A$169,0))="","",INDEX('Listings'!$AG$2:$AG$169,MATCH($I82,'Listings'!$A$2:$A$169,0)))</x:f>
        <x:v>Source pricing flag retained; automated consistency checks passed. This is not independent landlord verification.</x:v>
      </x:c>
    </x:row>
    <x:row r="83" ht="24" hidden="0" customHeight="1">
      <x:c r="A83" s="10" t="str">
        <x:f>IF(INDEX('Listings'!$B$2:$B$169,MATCH($I83,'Listings'!$A$2:$A$169,0))="","",INDEX('Listings'!$B$2:$B$169,MATCH($I83,'Listings'!$A$2:$A$169,0)))</x:f>
        <x:v>Prime ITB location one block off Ridge Road</x:v>
      </x:c>
      <x:c r="B83" s="10" t="str">
        <x:f>IF(INDEX('Listings'!$E$2:$E$169,MATCH($I83,'Listings'!$A$2:$A$169,0))="","",INDEX('Listings'!$E$2:$E$169,MATCH($I83,'Listings'!$A$2:$A$169,0)))</x:f>
        <x:v>Whole unit</x:v>
      </x:c>
      <x:c r="C83" s="11" t="n">
        <x:f>IF(INDEX('Listings'!$H$2:$H$169,MATCH($I83,'Listings'!$A$2:$A$169,0))="","",INDEX('Listings'!$H$2:$H$169,MATCH($I83,'Listings'!$A$2:$A$169,0)))</x:f>
        <x:v>2800</x:v>
      </x:c>
      <x:c r="D83" s="11" t="n">
        <x:f>IF(INDEX('Listings'!$I$2:$I$169,MATCH($I83,'Listings'!$A$2:$A$169,0))="","",INDEX('Listings'!$I$2:$I$169,MATCH($I83,'Listings'!$A$2:$A$169,0)))</x:f>
        <x:v>2800</x:v>
      </x:c>
      <x:c r="E83" s="10" t="str">
        <x:v>Usable price pair within study area.</x:v>
      </x:c>
      <x:c r="F83" s="10" t="str">
        <x:f>IF(INDEX('Listings'!$Q$2:$Q$169,MATCH($I83,'Listings'!$A$2:$A$169,0))="","",INDEX('Listings'!$Q$2:$Q$169,MATCH($I83,'Listings'!$A$2:$A$169,0)))</x:f>
        <x:v>&gt;1–3 mi</x:v>
      </x:c>
      <x:c r="G83" s="10" t="str">
        <x:f>IF(INDEX('Listings'!$S$2:$S$169,MATCH($I83,'Listings'!$A$2:$A$169,0))="","",INDEX('Listings'!$S$2:$S$169,MATCH($I83,'Listings'!$A$2:$A$169,0)))</x:f>
        <x:v>&gt;1–3 mi</x:v>
      </x:c>
      <x:c r="H83" s="10" t="str">
        <x:f>IF(INDEX('Listings'!$U$2:$U$169,MATCH($I83,'Listings'!$A$2:$A$169,0))="","",INDEX('Listings'!$U$2:$U$169,MATCH($I83,'Listings'!$A$2:$A$169,0)))</x:f>
        <x:v>0–1 mi</x:v>
      </x:c>
      <x:c r="I83" s="10" t="str">
        <x:v>ocpbp1v5c9</x:v>
      </x:c>
      <x:c r="J83" s="10" t="str">
        <x:f>IF(INDEX('Listings'!$C$2:$C$169,MATCH($I83,'Listings'!$A$2:$A$169,0))="","",INDEX('Listings'!$C$2:$C$169,MATCH($I83,'Listings'!$A$2:$A$169,0)))</x:f>
        <x:v>https://offcampus.dasa.ncsu.edu/housing/property/prime-itb-location-one-block-off-ridge-road/ocpbp1v5c9</x:v>
      </x:c>
      <x:c r="K83" s="10" t="str">
        <x:f>IF(INDEX('Listings'!$AG$2:$AG$169,MATCH($I83,'Listings'!$A$2:$A$169,0))="","",INDEX('Listings'!$AG$2:$AG$169,MATCH($I83,'Listings'!$A$2:$A$169,0)))</x:f>
        <x:v>Source pricing flag retained; automated consistency checks passed. This is not independent landlord verification.</x:v>
      </x:c>
    </x:row>
    <x:row r="84" ht="24" hidden="0" customHeight="1">
      <x:c r="A84" s="10" t="str">
        <x:f>IF(INDEX('Listings'!$B$2:$B$169,MATCH($I84,'Listings'!$A$2:$A$169,0))="","",INDEX('Listings'!$B$2:$B$169,MATCH($I84,'Listings'!$A$2:$A$169,0)))</x:f>
        <x:v>Private Townhome in North Raleigh</x:v>
      </x:c>
      <x:c r="B84" s="10" t="str">
        <x:f>IF(INDEX('Listings'!$E$2:$E$169,MATCH($I84,'Listings'!$A$2:$A$169,0))="","",INDEX('Listings'!$E$2:$E$169,MATCH($I84,'Listings'!$A$2:$A$169,0)))</x:f>
        <x:v>Whole unit</x:v>
      </x:c>
      <x:c r="C84" s="11" t="n">
        <x:f>IF(INDEX('Listings'!$H$2:$H$169,MATCH($I84,'Listings'!$A$2:$A$169,0))="","",INDEX('Listings'!$H$2:$H$169,MATCH($I84,'Listings'!$A$2:$A$169,0)))</x:f>
        <x:v>1495</x:v>
      </x:c>
      <x:c r="D84" s="11" t="n">
        <x:f>IF(INDEX('Listings'!$I$2:$I$169,MATCH($I84,'Listings'!$A$2:$A$169,0))="","",INDEX('Listings'!$I$2:$I$169,MATCH($I84,'Listings'!$A$2:$A$169,0)))</x:f>
        <x:v>1495</x:v>
      </x:c>
      <x:c r="E84" s="10" t="str">
        <x:v>Usable price pair within study area.</x:v>
      </x:c>
      <x:c r="F84" s="10" t="str">
        <x:f>IF(INDEX('Listings'!$Q$2:$Q$169,MATCH($I84,'Listings'!$A$2:$A$169,0))="","",INDEX('Listings'!$Q$2:$Q$169,MATCH($I84,'Listings'!$A$2:$A$169,0)))</x:f>
        <x:v>Outside 5 mi</x:v>
      </x:c>
      <x:c r="G84" s="10" t="str">
        <x:f>IF(INDEX('Listings'!$S$2:$S$169,MATCH($I84,'Listings'!$A$2:$A$169,0))="","",INDEX('Listings'!$S$2:$S$169,MATCH($I84,'Listings'!$A$2:$A$169,0)))</x:f>
        <x:v>Outside 5 mi</x:v>
      </x:c>
      <x:c r="H84" s="10" t="str">
        <x:f>IF(INDEX('Listings'!$U$2:$U$169,MATCH($I84,'Listings'!$A$2:$A$169,0))="","",INDEX('Listings'!$U$2:$U$169,MATCH($I84,'Listings'!$A$2:$A$169,0)))</x:f>
        <x:v>&gt;3–5 mi</x:v>
      </x:c>
      <x:c r="I84" s="10" t="str">
        <x:v>ocp5km4x4p</x:v>
      </x:c>
      <x:c r="J84" s="10" t="str">
        <x:f>IF(INDEX('Listings'!$C$2:$C$169,MATCH($I84,'Listings'!$A$2:$A$169,0))="","",INDEX('Listings'!$C$2:$C$169,MATCH($I84,'Listings'!$A$2:$A$169,0)))</x:f>
        <x:v>https://offcampus.dasa.ncsu.edu/housing/property/private-townhome-in-north-raleigh/ocp5km4x4p</x:v>
      </x:c>
      <x:c r="K84" s="10" t="str">
        <x:f>IF(INDEX('Listings'!$AG$2:$AG$169,MATCH($I84,'Listings'!$A$2:$A$169,0))="","",INDEX('Listings'!$AG$2:$AG$169,MATCH($I84,'Listings'!$A$2:$A$169,0)))</x:f>
        <x:v>Source pricing flag retained; automated consistency checks passed. This is not independent landlord verification.</x:v>
      </x:c>
    </x:row>
    <x:row r="85" ht="36" hidden="0" customHeight="1">
      <x:c r="A85" s="10" t="str">
        <x:f>IF(INDEX('Listings'!$B$2:$B$169,MATCH($I85,'Listings'!$A$2:$A$169,0))="","",INDEX('Listings'!$B$2:$B$169,MATCH($I85,'Listings'!$A$2:$A$169,0)))</x:f>
        <x:v>Quiet Furnished Room in Cary – Private Bath, Storage, Driveway Access, Near Bus 3</x:v>
      </x:c>
      <x:c r="B85" s="10" t="str">
        <x:f>IF(INDEX('Listings'!$E$2:$E$169,MATCH($I85,'Listings'!$A$2:$A$169,0))="","",INDEX('Listings'!$E$2:$E$169,MATCH($I85,'Listings'!$A$2:$A$169,0)))</x:f>
        <x:v>Per bedroom</x:v>
      </x:c>
      <x:c r="C85" s="11" t="n">
        <x:f>IF(INDEX('Listings'!$H$2:$H$169,MATCH($I85,'Listings'!$A$2:$A$169,0))="","",INDEX('Listings'!$H$2:$H$169,MATCH($I85,'Listings'!$A$2:$A$169,0)))</x:f>
        <x:v>950</x:v>
      </x:c>
      <x:c r="D85" s="11" t="n">
        <x:f>IF(INDEX('Listings'!$I$2:$I$169,MATCH($I85,'Listings'!$A$2:$A$169,0))="","",INDEX('Listings'!$I$2:$I$169,MATCH($I85,'Listings'!$A$2:$A$169,0)))</x:f>
        <x:v>950</x:v>
      </x:c>
      <x:c r="E85" s="10" t="str">
        <x:v>Usable price pair within study area.</x:v>
      </x:c>
      <x:c r="F85" s="10" t="str">
        <x:f>IF(INDEX('Listings'!$Q$2:$Q$169,MATCH($I85,'Listings'!$A$2:$A$169,0))="","",INDEX('Listings'!$Q$2:$Q$169,MATCH($I85,'Listings'!$A$2:$A$169,0)))</x:f>
        <x:v>Outside 5 mi</x:v>
      </x:c>
      <x:c r="G85" s="10" t="str">
        <x:f>IF(INDEX('Listings'!$S$2:$S$169,MATCH($I85,'Listings'!$A$2:$A$169,0))="","",INDEX('Listings'!$S$2:$S$169,MATCH($I85,'Listings'!$A$2:$A$169,0)))</x:f>
        <x:v>Outside 5 mi</x:v>
      </x:c>
      <x:c r="H85" s="10" t="str">
        <x:f>IF(INDEX('Listings'!$U$2:$U$169,MATCH($I85,'Listings'!$A$2:$A$169,0))="","",INDEX('Listings'!$U$2:$U$169,MATCH($I85,'Listings'!$A$2:$A$169,0)))</x:f>
        <x:v>&gt;3–5 mi</x:v>
      </x:c>
      <x:c r="I85" s="10" t="str">
        <x:v>ocp0gch9g2</x:v>
      </x:c>
      <x:c r="J85" s="10" t="str">
        <x:f>IF(INDEX('Listings'!$C$2:$C$169,MATCH($I85,'Listings'!$A$2:$A$169,0))="","",INDEX('Listings'!$C$2:$C$169,MATCH($I85,'Listings'!$A$2:$A$169,0)))</x:f>
        <x:v>https://offcampus.dasa.ncsu.edu/housing/property/quiet-furnished-room-in-cary-private-bath-storage-driveway-access-near-bus-3/ocp0gch9g2</x:v>
      </x:c>
      <x:c r="K85" s="10" t="str">
        <x:f>IF(INDEX('Listings'!$AG$2:$AG$169,MATCH($I85,'Listings'!$A$2:$A$169,0))="","",INDEX('Listings'!$AG$2:$AG$169,MATCH($I85,'Listings'!$A$2:$A$169,0)))</x:f>
        <x:v>Source pricing flag retained; automated consistency checks passed. This is not independent landlord verification.</x:v>
      </x:c>
    </x:row>
    <x:row r="86" ht="24" hidden="0" customHeight="1">
      <x:c r="A86" s="10" t="str">
        <x:f>IF(INDEX('Listings'!$B$2:$B$169,MATCH($I86,'Listings'!$A$2:$A$169,0))="","",INDEX('Listings'!$B$2:$B$169,MATCH($I86,'Listings'!$A$2:$A$169,0)))</x:f>
        <x:v>Rare 4 bedroom 4 full bath only $2200. per month</x:v>
      </x:c>
      <x:c r="B86" s="10" t="str">
        <x:f>IF(INDEX('Listings'!$E$2:$E$169,MATCH($I86,'Listings'!$A$2:$A$169,0))="","",INDEX('Listings'!$E$2:$E$169,MATCH($I86,'Listings'!$A$2:$A$169,0)))</x:f>
        <x:v>Whole unit</x:v>
      </x:c>
      <x:c r="C86" s="11" t="n">
        <x:f>IF(INDEX('Listings'!$H$2:$H$169,MATCH($I86,'Listings'!$A$2:$A$169,0))="","",INDEX('Listings'!$H$2:$H$169,MATCH($I86,'Listings'!$A$2:$A$169,0)))</x:f>
        <x:v>2200</x:v>
      </x:c>
      <x:c r="D86" s="11" t="n">
        <x:f>IF(INDEX('Listings'!$I$2:$I$169,MATCH($I86,'Listings'!$A$2:$A$169,0))="","",INDEX('Listings'!$I$2:$I$169,MATCH($I86,'Listings'!$A$2:$A$169,0)))</x:f>
        <x:v>2200</x:v>
      </x:c>
      <x:c r="E86" s="10" t="str">
        <x:v>Usable price pair within study area.</x:v>
      </x:c>
      <x:c r="F86" s="10" t="str">
        <x:f>IF(INDEX('Listings'!$Q$2:$Q$169,MATCH($I86,'Listings'!$A$2:$A$169,0))="","",INDEX('Listings'!$Q$2:$Q$169,MATCH($I86,'Listings'!$A$2:$A$169,0)))</x:f>
        <x:v>&gt;1–3 mi</x:v>
      </x:c>
      <x:c r="G86" s="10" t="str">
        <x:f>IF(INDEX('Listings'!$S$2:$S$169,MATCH($I86,'Listings'!$A$2:$A$169,0))="","",INDEX('Listings'!$S$2:$S$169,MATCH($I86,'Listings'!$A$2:$A$169,0)))</x:f>
        <x:v>&gt;1–3 mi</x:v>
      </x:c>
      <x:c r="H86" s="10" t="str">
        <x:f>IF(INDEX('Listings'!$U$2:$U$169,MATCH($I86,'Listings'!$A$2:$A$169,0))="","",INDEX('Listings'!$U$2:$U$169,MATCH($I86,'Listings'!$A$2:$A$169,0)))</x:f>
        <x:v>&gt;1–3 mi</x:v>
      </x:c>
      <x:c r="I86" s="10" t="str">
        <x:v>ocpvcjy8we</x:v>
      </x:c>
      <x:c r="J86" s="10" t="str">
        <x:f>IF(INDEX('Listings'!$C$2:$C$169,MATCH($I86,'Listings'!$A$2:$A$169,0))="","",INDEX('Listings'!$C$2:$C$169,MATCH($I86,'Listings'!$A$2:$A$169,0)))</x:f>
        <x:v>https://offcampus.dasa.ncsu.edu/housing/property/rare-4-bedroom-4-full-bath-only-2200-per-month/ocpvcjy8we</x:v>
      </x:c>
      <x:c r="K86" s="10" t="str">
        <x:f>IF(INDEX('Listings'!$AG$2:$AG$169,MATCH($I86,'Listings'!$A$2:$A$169,0))="","",INDEX('Listings'!$AG$2:$AG$169,MATCH($I86,'Listings'!$A$2:$A$169,0)))</x:f>
        <x:v>Source pricing flag retained; automated consistency checks passed. This is not independent landlord verification.</x:v>
      </x:c>
    </x:row>
    <x:row r="87" ht="36" hidden="0" customHeight="1">
      <x:c r="A87" s="10" t="str">
        <x:f>IF(INDEX('Listings'!$B$2:$B$169,MATCH($I87,'Listings'!$A$2:$A$169,0))="","",INDEX('Listings'!$B$2:$B$169,MATCH($I87,'Listings'!$A$2:$A$169,0)))</x:f>
        <x:v>Reavis ---Brand New Luxury Housing within walking distance to NCSU</x:v>
      </x:c>
      <x:c r="B87" s="10" t="str">
        <x:f>IF(INDEX('Listings'!$E$2:$E$169,MATCH($I87,'Listings'!$A$2:$A$169,0))="","",INDEX('Listings'!$E$2:$E$169,MATCH($I87,'Listings'!$A$2:$A$169,0)))</x:f>
        <x:v>Per bedroom</x:v>
      </x:c>
      <x:c r="C87" s="11" t="n">
        <x:f>IF(INDEX('Listings'!$H$2:$H$169,MATCH($I87,'Listings'!$A$2:$A$169,0))="","",INDEX('Listings'!$H$2:$H$169,MATCH($I87,'Listings'!$A$2:$A$169,0)))</x:f>
        <x:v>925</x:v>
      </x:c>
      <x:c r="D87" s="11" t="n">
        <x:f>IF(INDEX('Listings'!$I$2:$I$169,MATCH($I87,'Listings'!$A$2:$A$169,0))="","",INDEX('Listings'!$I$2:$I$169,MATCH($I87,'Listings'!$A$2:$A$169,0)))</x:f>
        <x:v>975</x:v>
      </x:c>
      <x:c r="E87" s="10" t="str">
        <x:v>Usable price pair within study area.</x:v>
      </x:c>
      <x:c r="F87" s="10" t="str">
        <x:f>IF(INDEX('Listings'!$Q$2:$Q$169,MATCH($I87,'Listings'!$A$2:$A$169,0))="","",INDEX('Listings'!$Q$2:$Q$169,MATCH($I87,'Listings'!$A$2:$A$169,0)))</x:f>
        <x:v>0–1 mi</x:v>
      </x:c>
      <x:c r="G87" s="10" t="str">
        <x:f>IF(INDEX('Listings'!$S$2:$S$169,MATCH($I87,'Listings'!$A$2:$A$169,0))="","",INDEX('Listings'!$S$2:$S$169,MATCH($I87,'Listings'!$A$2:$A$169,0)))</x:f>
        <x:v>&gt;1–3 mi</x:v>
      </x:c>
      <x:c r="H87" s="10" t="str">
        <x:f>IF(INDEX('Listings'!$U$2:$U$169,MATCH($I87,'Listings'!$A$2:$A$169,0))="","",INDEX('Listings'!$U$2:$U$169,MATCH($I87,'Listings'!$A$2:$A$169,0)))</x:f>
        <x:v>&gt;1–3 mi</x:v>
      </x:c>
      <x:c r="I87" s="10" t="str">
        <x:v>ocpvlydr3e</x:v>
      </x:c>
      <x:c r="J87" s="10" t="str">
        <x:f>IF(INDEX('Listings'!$C$2:$C$169,MATCH($I87,'Listings'!$A$2:$A$169,0))="","",INDEX('Listings'!$C$2:$C$169,MATCH($I87,'Listings'!$A$2:$A$169,0)))</x:f>
        <x:v>https://offcampus.dasa.ncsu.edu/housing/property/reavis-brand-new-luxury-housing-within-walking-distance-to-ncsu/ocpvlydr3e</x:v>
      </x:c>
      <x:c r="K87" s="10" t="str">
        <x:f>IF(INDEX('Listings'!$AG$2:$AG$169,MATCH($I87,'Listings'!$A$2:$A$169,0))="","",INDEX('Listings'!$AG$2:$AG$169,MATCH($I87,'Listings'!$A$2:$A$169,0)))</x:f>
        <x:v>Source pricing flag retained; automated consistency checks passed. This is not independent landlord verification.</x:v>
      </x:c>
    </x:row>
    <x:row r="88" ht="24" hidden="0" customHeight="1">
      <x:c r="A88" s="10" t="str">
        <x:f>IF(INDEX('Listings'!$B$2:$B$169,MATCH($I88,'Listings'!$A$2:$A$169,0))="","",INDEX('Listings'!$B$2:$B$169,MATCH($I88,'Listings'!$A$2:$A$169,0)))</x:f>
        <x:v>Redfield Villages</x:v>
      </x:c>
      <x:c r="B88" s="10" t="str">
        <x:f>IF(INDEX('Listings'!$E$2:$E$169,MATCH($I88,'Listings'!$A$2:$A$169,0))="","",INDEX('Listings'!$E$2:$E$169,MATCH($I88,'Listings'!$A$2:$A$169,0)))</x:f>
        <x:v>Per bedroom</x:v>
      </x:c>
      <x:c r="C88" s="11" t="n">
        <x:f>IF(INDEX('Listings'!$H$2:$H$169,MATCH($I88,'Listings'!$A$2:$A$169,0))="","",INDEX('Listings'!$H$2:$H$169,MATCH($I88,'Listings'!$A$2:$A$169,0)))</x:f>
        <x:v>799</x:v>
      </x:c>
      <x:c r="D88" s="11" t="n">
        <x:f>IF(INDEX('Listings'!$I$2:$I$169,MATCH($I88,'Listings'!$A$2:$A$169,0))="","",INDEX('Listings'!$I$2:$I$169,MATCH($I88,'Listings'!$A$2:$A$169,0)))</x:f>
        <x:v>899</x:v>
      </x:c>
      <x:c r="E88" s="10" t="str">
        <x:v>Usable price pair within study area.</x:v>
      </x:c>
      <x:c r="F88" s="10" t="str">
        <x:f>IF(INDEX('Listings'!$Q$2:$Q$169,MATCH($I88,'Listings'!$A$2:$A$169,0))="","",INDEX('Listings'!$Q$2:$Q$169,MATCH($I88,'Listings'!$A$2:$A$169,0)))</x:f>
        <x:v>0–1 mi</x:v>
      </x:c>
      <x:c r="G88" s="10" t="str">
        <x:f>IF(INDEX('Listings'!$S$2:$S$169,MATCH($I88,'Listings'!$A$2:$A$169,0))="","",INDEX('Listings'!$S$2:$S$169,MATCH($I88,'Listings'!$A$2:$A$169,0)))</x:f>
        <x:v>&gt;1–3 mi</x:v>
      </x:c>
      <x:c r="H88" s="10" t="str">
        <x:f>IF(INDEX('Listings'!$U$2:$U$169,MATCH($I88,'Listings'!$A$2:$A$169,0))="","",INDEX('Listings'!$U$2:$U$169,MATCH($I88,'Listings'!$A$2:$A$169,0)))</x:f>
        <x:v>&gt;1–3 mi</x:v>
      </x:c>
      <x:c r="I88" s="10" t="str">
        <x:v>h2l8mh2</x:v>
      </x:c>
      <x:c r="J88" s="10" t="str">
        <x:f>IF(INDEX('Listings'!$C$2:$C$169,MATCH($I88,'Listings'!$A$2:$A$169,0))="","",INDEX('Listings'!$C$2:$C$169,MATCH($I88,'Listings'!$A$2:$A$169,0)))</x:f>
        <x:v>https://offcampus.dasa.ncsu.edu/housing/property/redfield-villages/h2l8mh2</x:v>
      </x:c>
      <x:c r="K88" s="10" t="str">
        <x:f>IF(INDEX('Listings'!$AG$2:$AG$169,MATCH($I88,'Listings'!$A$2:$A$169,0))="","",INDEX('Listings'!$AG$2:$AG$169,MATCH($I88,'Listings'!$A$2:$A$169,0)))</x:f>
        <x:v>Source pricing flag retained; automated consistency checks passed. This is not independent landlord verification.</x:v>
      </x:c>
    </x:row>
    <x:row r="89" ht="24" hidden="0" customHeight="1">
      <x:c r="A89" s="10" t="str">
        <x:f>IF(INDEX('Listings'!$B$2:$B$169,MATCH($I89,'Listings'!$A$2:$A$169,0))="","",INDEX('Listings'!$B$2:$B$169,MATCH($I89,'Listings'!$A$2:$A$169,0)))</x:f>
        <x:v>Redpoint Raleigh</x:v>
      </x:c>
      <x:c r="B89" s="10" t="str">
        <x:f>IF(INDEX('Listings'!$E$2:$E$169,MATCH($I89,'Listings'!$A$2:$A$169,0))="","",INDEX('Listings'!$E$2:$E$169,MATCH($I89,'Listings'!$A$2:$A$169,0)))</x:f>
        <x:v>Per bedroom</x:v>
      </x:c>
      <x:c r="C89" s="11" t="n">
        <x:f>IF(INDEX('Listings'!$H$2:$H$169,MATCH($I89,'Listings'!$A$2:$A$169,0))="","",INDEX('Listings'!$H$2:$H$169,MATCH($I89,'Listings'!$A$2:$A$169,0)))</x:f>
        <x:v>899</x:v>
      </x:c>
      <x:c r="D89" s="11" t="n">
        <x:f>IF(INDEX('Listings'!$I$2:$I$169,MATCH($I89,'Listings'!$A$2:$A$169,0))="","",INDEX('Listings'!$I$2:$I$169,MATCH($I89,'Listings'!$A$2:$A$169,0)))</x:f>
        <x:v>995</x:v>
      </x:c>
      <x:c r="E89" s="10" t="str">
        <x:v>Usable price pair within study area.</x:v>
      </x:c>
      <x:c r="F89" s="10" t="str">
        <x:f>IF(INDEX('Listings'!$Q$2:$Q$169,MATCH($I89,'Listings'!$A$2:$A$169,0))="","",INDEX('Listings'!$Q$2:$Q$169,MATCH($I89,'Listings'!$A$2:$A$169,0)))</x:f>
        <x:v>&gt;1–3 mi</x:v>
      </x:c>
      <x:c r="G89" s="10" t="str">
        <x:f>IF(INDEX('Listings'!$S$2:$S$169,MATCH($I89,'Listings'!$A$2:$A$169,0))="","",INDEX('Listings'!$S$2:$S$169,MATCH($I89,'Listings'!$A$2:$A$169,0)))</x:f>
        <x:v>&gt;3–5 mi</x:v>
      </x:c>
      <x:c r="H89" s="10" t="str">
        <x:f>IF(INDEX('Listings'!$U$2:$U$169,MATCH($I89,'Listings'!$A$2:$A$169,0))="","",INDEX('Listings'!$U$2:$U$169,MATCH($I89,'Listings'!$A$2:$A$169,0)))</x:f>
        <x:v>&gt;1–3 mi</x:v>
      </x:c>
      <x:c r="I89" s="10" t="str">
        <x:v>5x5ph7m</x:v>
      </x:c>
      <x:c r="J89" s="10" t="str">
        <x:f>IF(INDEX('Listings'!$C$2:$C$169,MATCH($I89,'Listings'!$A$2:$A$169,0))="","",INDEX('Listings'!$C$2:$C$169,MATCH($I89,'Listings'!$A$2:$A$169,0)))</x:f>
        <x:v>https://offcampus.dasa.ncsu.edu/housing/property/redpoint-raleigh/5x5ph7m</x:v>
      </x:c>
      <x:c r="K89" s="10" t="str">
        <x:f>IF(INDEX('Listings'!$AG$2:$AG$169,MATCH($I89,'Listings'!$A$2:$A$169,0))="","",INDEX('Listings'!$AG$2:$AG$169,MATCH($I89,'Listings'!$A$2:$A$169,0)))</x:f>
        <x:v>Source pricing flag retained; automated consistency checks passed. This is not independent landlord verification.</x:v>
      </x:c>
    </x:row>
    <x:row r="90" ht="36" hidden="0" customHeight="1">
      <x:c r="A90" s="10" t="str">
        <x:f>IF(INDEX('Listings'!$B$2:$B$169,MATCH($I90,'Listings'!$A$2:$A$169,0))="","",INDEX('Listings'!$B$2:$B$169,MATCH($I90,'Listings'!$A$2:$A$169,0)))</x:f>
        <x:v>Rent a WHOLE unit with water, electric, washer and dryer! 4 Bed 4 Bath! Lake Park Condos!</x:v>
      </x:c>
      <x:c r="B90" s="10" t="str">
        <x:f>IF(INDEX('Listings'!$E$2:$E$169,MATCH($I90,'Listings'!$A$2:$A$169,0))="","",INDEX('Listings'!$E$2:$E$169,MATCH($I90,'Listings'!$A$2:$A$169,0)))</x:f>
        <x:v>Whole unit</x:v>
      </x:c>
      <x:c r="C90" s="11" t="n">
        <x:f>IF(INDEX('Listings'!$H$2:$H$169,MATCH($I90,'Listings'!$A$2:$A$169,0))="","",INDEX('Listings'!$H$2:$H$169,MATCH($I90,'Listings'!$A$2:$A$169,0)))</x:f>
        <x:v>2000</x:v>
      </x:c>
      <x:c r="D90" s="11" t="n">
        <x:f>IF(INDEX('Listings'!$I$2:$I$169,MATCH($I90,'Listings'!$A$2:$A$169,0))="","",INDEX('Listings'!$I$2:$I$169,MATCH($I90,'Listings'!$A$2:$A$169,0)))</x:f>
        <x:v>2000</x:v>
      </x:c>
      <x:c r="E90" s="10" t="str">
        <x:v>Usable price pair within study area.</x:v>
      </x:c>
      <x:c r="F90" s="10" t="str">
        <x:f>IF(INDEX('Listings'!$Q$2:$Q$169,MATCH($I90,'Listings'!$A$2:$A$169,0))="","",INDEX('Listings'!$Q$2:$Q$169,MATCH($I90,'Listings'!$A$2:$A$169,0)))</x:f>
        <x:v>&gt;1–3 mi</x:v>
      </x:c>
      <x:c r="G90" s="10" t="str">
        <x:f>IF(INDEX('Listings'!$S$2:$S$169,MATCH($I90,'Listings'!$A$2:$A$169,0))="","",INDEX('Listings'!$S$2:$S$169,MATCH($I90,'Listings'!$A$2:$A$169,0)))</x:f>
        <x:v>&gt;1–3 mi</x:v>
      </x:c>
      <x:c r="H90" s="10" t="str">
        <x:f>IF(INDEX('Listings'!$U$2:$U$169,MATCH($I90,'Listings'!$A$2:$A$169,0))="","",INDEX('Listings'!$U$2:$U$169,MATCH($I90,'Listings'!$A$2:$A$169,0)))</x:f>
        <x:v>&gt;1–3 mi</x:v>
      </x:c>
      <x:c r="I90" s="10" t="str">
        <x:v>ocp1kxjde4</x:v>
      </x:c>
      <x:c r="J90" s="10" t="str">
        <x:f>IF(INDEX('Listings'!$C$2:$C$169,MATCH($I90,'Listings'!$A$2:$A$169,0))="","",INDEX('Listings'!$C$2:$C$169,MATCH($I90,'Listings'!$A$2:$A$169,0)))</x:f>
        <x:v>https://offcampus.dasa.ncsu.edu/housing/property/rent-a-whole-unit-with-water-electric-washer-and-dryer-4-bed-4-bath-lake-park-condos/ocp1kxjde4</x:v>
      </x:c>
      <x:c r="K90" s="10" t="str">
        <x:f>IF(INDEX('Listings'!$AG$2:$AG$169,MATCH($I90,'Listings'!$A$2:$A$169,0))="","",INDEX('Listings'!$AG$2:$AG$169,MATCH($I90,'Listings'!$A$2:$A$169,0)))</x:f>
        <x:v>Source pricing flag retained; automated consistency checks passed. This is not independent landlord verification.</x:v>
      </x:c>
    </x:row>
    <x:row r="91" ht="24" hidden="0" customHeight="1">
      <x:c r="A91" s="10" t="str">
        <x:f>IF(INDEX('Listings'!$B$2:$B$169,MATCH($I91,'Listings'!$A$2:$A$169,0))="","",INDEX('Listings'!$B$2:$B$169,MATCH($I91,'Listings'!$A$2:$A$169,0)))</x:f>
        <x:v>Rhyne's Gate Apartments</x:v>
      </x:c>
      <x:c r="B91" s="10" t="str">
        <x:f>IF(INDEX('Listings'!$E$2:$E$169,MATCH($I91,'Listings'!$A$2:$A$169,0))="","",INDEX('Listings'!$E$2:$E$169,MATCH($I91,'Listings'!$A$2:$A$169,0)))</x:f>
        <x:v>Whole unit</x:v>
      </x:c>
      <x:c r="C91" s="11" t="n">
        <x:f>IF(INDEX('Listings'!$H$2:$H$169,MATCH($I91,'Listings'!$A$2:$A$169,0))="","",INDEX('Listings'!$H$2:$H$169,MATCH($I91,'Listings'!$A$2:$A$169,0)))</x:f>
        <x:v>1150</x:v>
      </x:c>
      <x:c r="D91" s="11" t="n">
        <x:f>IF(INDEX('Listings'!$I$2:$I$169,MATCH($I91,'Listings'!$A$2:$A$169,0))="","",INDEX('Listings'!$I$2:$I$169,MATCH($I91,'Listings'!$A$2:$A$169,0)))</x:f>
        <x:v>1150</x:v>
      </x:c>
      <x:c r="E91" s="10" t="str">
        <x:v>Usable price pair within study area.</x:v>
      </x:c>
      <x:c r="F91" s="10" t="str">
        <x:f>IF(INDEX('Listings'!$Q$2:$Q$169,MATCH($I91,'Listings'!$A$2:$A$169,0))="","",INDEX('Listings'!$Q$2:$Q$169,MATCH($I91,'Listings'!$A$2:$A$169,0)))</x:f>
        <x:v>0–1 mi</x:v>
      </x:c>
      <x:c r="G91" s="10" t="str">
        <x:f>IF(INDEX('Listings'!$S$2:$S$169,MATCH($I91,'Listings'!$A$2:$A$169,0))="","",INDEX('Listings'!$S$2:$S$169,MATCH($I91,'Listings'!$A$2:$A$169,0)))</x:f>
        <x:v>&gt;1–3 mi</x:v>
      </x:c>
      <x:c r="H91" s="10" t="str">
        <x:f>IF(INDEX('Listings'!$U$2:$U$169,MATCH($I91,'Listings'!$A$2:$A$169,0))="","",INDEX('Listings'!$U$2:$U$169,MATCH($I91,'Listings'!$A$2:$A$169,0)))</x:f>
        <x:v>&gt;1–3 mi</x:v>
      </x:c>
      <x:c r="I91" s="10" t="str">
        <x:v>ll5gb9f</x:v>
      </x:c>
      <x:c r="J91" s="10" t="str">
        <x:f>IF(INDEX('Listings'!$C$2:$C$169,MATCH($I91,'Listings'!$A$2:$A$169,0))="","",INDEX('Listings'!$C$2:$C$169,MATCH($I91,'Listings'!$A$2:$A$169,0)))</x:f>
        <x:v>https://offcampus.dasa.ncsu.edu/housing/property/rhynes-gate-apartments/ll5gb9f</x:v>
      </x:c>
      <x:c r="K91" s="10" t="str">
        <x:f>IF(INDEX('Listings'!$AG$2:$AG$169,MATCH($I91,'Listings'!$A$2:$A$169,0))="","",INDEX('Listings'!$AG$2:$AG$169,MATCH($I91,'Listings'!$A$2:$A$169,0)))</x:f>
        <x:v>Source pricing flag retained; automated consistency checks passed. This is not independent landlord verification.</x:v>
      </x:c>
    </x:row>
    <x:row r="92" ht="24" hidden="0" customHeight="1">
      <x:c r="A92" s="10" t="str">
        <x:f>IF(INDEX('Listings'!$B$2:$B$169,MATCH($I92,'Listings'!$A$2:$A$169,0))="","",INDEX('Listings'!$B$2:$B$169,MATCH($I92,'Listings'!$A$2:$A$169,0)))</x:f>
        <x:v>Room in Condo on Collegiate Cir</x:v>
      </x:c>
      <x:c r="B92" s="10" t="str">
        <x:f>IF(INDEX('Listings'!$E$2:$E$169,MATCH($I92,'Listings'!$A$2:$A$169,0))="","",INDEX('Listings'!$E$2:$E$169,MATCH($I92,'Listings'!$A$2:$A$169,0)))</x:f>
        <x:v>Per bedroom</x:v>
      </x:c>
      <x:c r="C92" s="11" t="n">
        <x:f>IF(INDEX('Listings'!$H$2:$H$169,MATCH($I92,'Listings'!$A$2:$A$169,0))="","",INDEX('Listings'!$H$2:$H$169,MATCH($I92,'Listings'!$A$2:$A$169,0)))</x:f>
        <x:v>675</x:v>
      </x:c>
      <x:c r="D92" s="11" t="n">
        <x:f>IF(INDEX('Listings'!$I$2:$I$169,MATCH($I92,'Listings'!$A$2:$A$169,0))="","",INDEX('Listings'!$I$2:$I$169,MATCH($I92,'Listings'!$A$2:$A$169,0)))</x:f>
        <x:v>675</x:v>
      </x:c>
      <x:c r="E92" s="10" t="str">
        <x:v>Kept after room/per-bedroom correction.</x:v>
      </x:c>
      <x:c r="F92" s="10" t="str">
        <x:f>IF(INDEX('Listings'!$Q$2:$Q$169,MATCH($I92,'Listings'!$A$2:$A$169,0))="","",INDEX('Listings'!$Q$2:$Q$169,MATCH($I92,'Listings'!$A$2:$A$169,0)))</x:f>
        <x:v>&gt;1–3 mi</x:v>
      </x:c>
      <x:c r="G92" s="10" t="str">
        <x:f>IF(INDEX('Listings'!$S$2:$S$169,MATCH($I92,'Listings'!$A$2:$A$169,0))="","",INDEX('Listings'!$S$2:$S$169,MATCH($I92,'Listings'!$A$2:$A$169,0)))</x:f>
        <x:v>&gt;1–3 mi</x:v>
      </x:c>
      <x:c r="H92" s="10" t="str">
        <x:f>IF(INDEX('Listings'!$U$2:$U$169,MATCH($I92,'Listings'!$A$2:$A$169,0))="","",INDEX('Listings'!$U$2:$U$169,MATCH($I92,'Listings'!$A$2:$A$169,0)))</x:f>
        <x:v>&gt;1–3 mi</x:v>
      </x:c>
      <x:c r="I92" s="10" t="str">
        <x:v>kf77vv8</x:v>
      </x:c>
      <x:c r="J92" s="10" t="str">
        <x:f>IF(INDEX('Listings'!$C$2:$C$169,MATCH($I92,'Listings'!$A$2:$A$169,0))="","",INDEX('Listings'!$C$2:$C$169,MATCH($I92,'Listings'!$A$2:$A$169,0)))</x:f>
        <x:v>https://offcampus.dasa.ncsu.edu/housing/property/room-in-condo-on-collegiate-cir/kf77vv8</x:v>
      </x:c>
      <x:c r="K92" s="10" t="str">
        <x:f>IF(INDEX('Listings'!$AG$2:$AG$169,MATCH($I92,'Listings'!$A$2:$A$169,0))="","",INDEX('Listings'!$AG$2:$AG$169,MATCH($I92,'Listings'!$A$2:$A$169,0)))</x:f>
        <x:v>Saved September 9 title explicitly offers a room. Reclassified from whole unit to room/per-bedroom; snapshot price unchanged.</x:v>
      </x:c>
    </x:row>
    <x:row r="93" ht="24" hidden="0" customHeight="1">
      <x:c r="A93" s="10" t="str">
        <x:f>IF(INDEX('Listings'!$B$2:$B$169,MATCH($I93,'Listings'!$A$2:$A$169,0))="","",INDEX('Listings'!$B$2:$B$169,MATCH($I93,'Listings'!$A$2:$A$169,0)))</x:f>
        <x:v>Room in Condo on Crab Orchard Dr</x:v>
      </x:c>
      <x:c r="B93" s="10" t="str">
        <x:f>IF(INDEX('Listings'!$E$2:$E$169,MATCH($I93,'Listings'!$A$2:$A$169,0))="","",INDEX('Listings'!$E$2:$E$169,MATCH($I93,'Listings'!$A$2:$A$169,0)))</x:f>
        <x:v>Per bedroom</x:v>
      </x:c>
      <x:c r="C93" s="11" t="n">
        <x:f>IF(INDEX('Listings'!$H$2:$H$169,MATCH($I93,'Listings'!$A$2:$A$169,0))="","",INDEX('Listings'!$H$2:$H$169,MATCH($I93,'Listings'!$A$2:$A$169,0)))</x:f>
        <x:v>675</x:v>
      </x:c>
      <x:c r="D93" s="11" t="n">
        <x:f>IF(INDEX('Listings'!$I$2:$I$169,MATCH($I93,'Listings'!$A$2:$A$169,0))="","",INDEX('Listings'!$I$2:$I$169,MATCH($I93,'Listings'!$A$2:$A$169,0)))</x:f>
        <x:v>675</x:v>
      </x:c>
      <x:c r="E93" s="10" t="str">
        <x:v>Kept after room/per-bedroom correction.</x:v>
      </x:c>
      <x:c r="F93" s="10" t="str">
        <x:f>IF(INDEX('Listings'!$Q$2:$Q$169,MATCH($I93,'Listings'!$A$2:$A$169,0))="","",INDEX('Listings'!$Q$2:$Q$169,MATCH($I93,'Listings'!$A$2:$A$169,0)))</x:f>
        <x:v>&gt;1–3 mi</x:v>
      </x:c>
      <x:c r="G93" s="10" t="str">
        <x:f>IF(INDEX('Listings'!$S$2:$S$169,MATCH($I93,'Listings'!$A$2:$A$169,0))="","",INDEX('Listings'!$S$2:$S$169,MATCH($I93,'Listings'!$A$2:$A$169,0)))</x:f>
        <x:v>&gt;1–3 mi</x:v>
      </x:c>
      <x:c r="H93" s="10" t="str">
        <x:f>IF(INDEX('Listings'!$U$2:$U$169,MATCH($I93,'Listings'!$A$2:$A$169,0))="","",INDEX('Listings'!$U$2:$U$169,MATCH($I93,'Listings'!$A$2:$A$169,0)))</x:f>
        <x:v>&gt;1–3 mi</x:v>
      </x:c>
      <x:c r="I93" s="10" t="str">
        <x:v>pxc3rhs</x:v>
      </x:c>
      <x:c r="J93" s="10" t="str">
        <x:f>IF(INDEX('Listings'!$C$2:$C$169,MATCH($I93,'Listings'!$A$2:$A$169,0))="","",INDEX('Listings'!$C$2:$C$169,MATCH($I93,'Listings'!$A$2:$A$169,0)))</x:f>
        <x:v>https://offcampus.dasa.ncsu.edu/housing/property/room-in-condo-on-crab-orchard-dr/pxc3rhs</x:v>
      </x:c>
      <x:c r="K93" s="10" t="str">
        <x:f>IF(INDEX('Listings'!$AG$2:$AG$169,MATCH($I93,'Listings'!$A$2:$A$169,0))="","",INDEX('Listings'!$AG$2:$AG$169,MATCH($I93,'Listings'!$A$2:$A$169,0)))</x:f>
        <x:v>Saved September 9 title explicitly offers a room. Reclassified from whole unit to room/per-bedroom; snapshot price unchanged.</x:v>
      </x:c>
    </x:row>
    <x:row r="94" ht="24" hidden="0" customHeight="1">
      <x:c r="A94" s="10" t="str">
        <x:f>IF(INDEX('Listings'!$B$2:$B$169,MATCH($I94,'Listings'!$A$2:$A$169,0))="","",INDEX('Listings'!$B$2:$B$169,MATCH($I94,'Listings'!$A$2:$A$169,0)))</x:f>
        <x:v>Room in Condo on Wolfmill Dr</x:v>
      </x:c>
      <x:c r="B94" s="10" t="str">
        <x:f>IF(INDEX('Listings'!$E$2:$E$169,MATCH($I94,'Listings'!$A$2:$A$169,0))="","",INDEX('Listings'!$E$2:$E$169,MATCH($I94,'Listings'!$A$2:$A$169,0)))</x:f>
        <x:v>Per bedroom</x:v>
      </x:c>
      <x:c r="C94" s="11" t="n">
        <x:f>IF(INDEX('Listings'!$H$2:$H$169,MATCH($I94,'Listings'!$A$2:$A$169,0))="","",INDEX('Listings'!$H$2:$H$169,MATCH($I94,'Listings'!$A$2:$A$169,0)))</x:f>
        <x:v>720</x:v>
      </x:c>
      <x:c r="D94" s="11" t="n">
        <x:f>IF(INDEX('Listings'!$I$2:$I$169,MATCH($I94,'Listings'!$A$2:$A$169,0))="","",INDEX('Listings'!$I$2:$I$169,MATCH($I94,'Listings'!$A$2:$A$169,0)))</x:f>
        <x:v>720</x:v>
      </x:c>
      <x:c r="E94" s="10" t="str">
        <x:v>Kept after room/per-bedroom correction.</x:v>
      </x:c>
      <x:c r="F94" s="10" t="str">
        <x:f>IF(INDEX('Listings'!$Q$2:$Q$169,MATCH($I94,'Listings'!$A$2:$A$169,0))="","",INDEX('Listings'!$Q$2:$Q$169,MATCH($I94,'Listings'!$A$2:$A$169,0)))</x:f>
        <x:v>&gt;1–3 mi</x:v>
      </x:c>
      <x:c r="G94" s="10" t="str">
        <x:f>IF(INDEX('Listings'!$S$2:$S$169,MATCH($I94,'Listings'!$A$2:$A$169,0))="","",INDEX('Listings'!$S$2:$S$169,MATCH($I94,'Listings'!$A$2:$A$169,0)))</x:f>
        <x:v>&gt;1–3 mi</x:v>
      </x:c>
      <x:c r="H94" s="10" t="str">
        <x:f>IF(INDEX('Listings'!$U$2:$U$169,MATCH($I94,'Listings'!$A$2:$A$169,0))="","",INDEX('Listings'!$U$2:$U$169,MATCH($I94,'Listings'!$A$2:$A$169,0)))</x:f>
        <x:v>&gt;3–5 mi</x:v>
      </x:c>
      <x:c r="I94" s="10" t="str">
        <x:v>zfenc9w</x:v>
      </x:c>
      <x:c r="J94" s="10" t="str">
        <x:f>IF(INDEX('Listings'!$C$2:$C$169,MATCH($I94,'Listings'!$A$2:$A$169,0))="","",INDEX('Listings'!$C$2:$C$169,MATCH($I94,'Listings'!$A$2:$A$169,0)))</x:f>
        <x:v>https://offcampus.dasa.ncsu.edu/housing/property/room-in-condo-on-wolfmill-dr/zfenc9w</x:v>
      </x:c>
      <x:c r="K94" s="10" t="str">
        <x:f>IF(INDEX('Listings'!$AG$2:$AG$169,MATCH($I94,'Listings'!$A$2:$A$169,0))="","",INDEX('Listings'!$AG$2:$AG$169,MATCH($I94,'Listings'!$A$2:$A$169,0)))</x:f>
        <x:v>Saved September 9 title explicitly offers a room. Reclassified from whole unit to room/per-bedroom; snapshot price unchanged.</x:v>
      </x:c>
    </x:row>
    <x:row r="95" ht="24" hidden="0" customHeight="1">
      <x:c r="A95" s="10" t="str">
        <x:f>IF(INDEX('Listings'!$B$2:$B$169,MATCH($I95,'Listings'!$A$2:$A$169,0))="","",INDEX('Listings'!$B$2:$B$169,MATCH($I95,'Listings'!$A$2:$A$169,0)))</x:f>
        <x:v>Room in House on Joyner Pl</x:v>
      </x:c>
      <x:c r="B95" s="10" t="str">
        <x:f>IF(INDEX('Listings'!$E$2:$E$169,MATCH($I95,'Listings'!$A$2:$A$169,0))="","",INDEX('Listings'!$E$2:$E$169,MATCH($I95,'Listings'!$A$2:$A$169,0)))</x:f>
        <x:v>Per bedroom</x:v>
      </x:c>
      <x:c r="C95" s="11" t="n">
        <x:f>IF(INDEX('Listings'!$H$2:$H$169,MATCH($I95,'Listings'!$A$2:$A$169,0))="","",INDEX('Listings'!$H$2:$H$169,MATCH($I95,'Listings'!$A$2:$A$169,0)))</x:f>
        <x:v>700</x:v>
      </x:c>
      <x:c r="D95" s="11" t="n">
        <x:f>IF(INDEX('Listings'!$I$2:$I$169,MATCH($I95,'Listings'!$A$2:$A$169,0))="","",INDEX('Listings'!$I$2:$I$169,MATCH($I95,'Listings'!$A$2:$A$169,0)))</x:f>
        <x:v>700</x:v>
      </x:c>
      <x:c r="E95" s="10" t="str">
        <x:v>Kept after room/per-bedroom correction.</x:v>
      </x:c>
      <x:c r="F95" s="10" t="str">
        <x:f>IF(INDEX('Listings'!$Q$2:$Q$169,MATCH($I95,'Listings'!$A$2:$A$169,0))="","",INDEX('Listings'!$Q$2:$Q$169,MATCH($I95,'Listings'!$A$2:$A$169,0)))</x:f>
        <x:v>&gt;3–5 mi</x:v>
      </x:c>
      <x:c r="G95" s="10" t="str">
        <x:f>IF(INDEX('Listings'!$S$2:$S$169,MATCH($I95,'Listings'!$A$2:$A$169,0))="","",INDEX('Listings'!$S$2:$S$169,MATCH($I95,'Listings'!$A$2:$A$169,0)))</x:f>
        <x:v>Outside 5 mi</x:v>
      </x:c>
      <x:c r="H95" s="10" t="str">
        <x:f>IF(INDEX('Listings'!$U$2:$U$169,MATCH($I95,'Listings'!$A$2:$A$169,0))="","",INDEX('Listings'!$U$2:$U$169,MATCH($I95,'Listings'!$A$2:$A$169,0)))</x:f>
        <x:v>&gt;3–5 mi</x:v>
      </x:c>
      <x:c r="I95" s="10" t="str">
        <x:v>jkg82q6</x:v>
      </x:c>
      <x:c r="J95" s="10" t="str">
        <x:f>IF(INDEX('Listings'!$C$2:$C$169,MATCH($I95,'Listings'!$A$2:$A$169,0))="","",INDEX('Listings'!$C$2:$C$169,MATCH($I95,'Listings'!$A$2:$A$169,0)))</x:f>
        <x:v>https://offcampus.dasa.ncsu.edu/housing/property/room-in-house-on-joyner-pl/jkg82q6</x:v>
      </x:c>
      <x:c r="K95" s="10" t="str">
        <x:f>IF(INDEX('Listings'!$AG$2:$AG$169,MATCH($I95,'Listings'!$A$2:$A$169,0))="","",INDEX('Listings'!$AG$2:$AG$169,MATCH($I95,'Listings'!$A$2:$A$169,0)))</x:f>
        <x:v>Saved September 9 title explicitly offers a room. Reclassified from whole unit to room/per-bedroom; snapshot price unchanged.</x:v>
      </x:c>
    </x:row>
    <x:row r="96" ht="24" hidden="0" customHeight="1">
      <x:c r="A96" s="10" t="str">
        <x:f>IF(INDEX('Listings'!$B$2:$B$169,MATCH($I96,'Listings'!$A$2:$A$169,0))="","",INDEX('Listings'!$B$2:$B$169,MATCH($I96,'Listings'!$A$2:$A$169,0)))</x:f>
        <x:v>Room in House on Pineland Cir</x:v>
      </x:c>
      <x:c r="B96" s="10" t="str">
        <x:f>IF(INDEX('Listings'!$E$2:$E$169,MATCH($I96,'Listings'!$A$2:$A$169,0))="","",INDEX('Listings'!$E$2:$E$169,MATCH($I96,'Listings'!$A$2:$A$169,0)))</x:f>
        <x:v>Per bedroom</x:v>
      </x:c>
      <x:c r="C96" s="11" t="n">
        <x:f>IF(INDEX('Listings'!$H$2:$H$169,MATCH($I96,'Listings'!$A$2:$A$169,0))="","",INDEX('Listings'!$H$2:$H$169,MATCH($I96,'Listings'!$A$2:$A$169,0)))</x:f>
        <x:v>700</x:v>
      </x:c>
      <x:c r="D96" s="11" t="n">
        <x:f>IF(INDEX('Listings'!$I$2:$I$169,MATCH($I96,'Listings'!$A$2:$A$169,0))="","",INDEX('Listings'!$I$2:$I$169,MATCH($I96,'Listings'!$A$2:$A$169,0)))</x:f>
        <x:v>700</x:v>
      </x:c>
      <x:c r="E96" s="10" t="str">
        <x:v>Kept after room/per-bedroom correction.</x:v>
      </x:c>
      <x:c r="F96" s="10" t="str">
        <x:f>IF(INDEX('Listings'!$Q$2:$Q$169,MATCH($I96,'Listings'!$A$2:$A$169,0))="","",INDEX('Listings'!$Q$2:$Q$169,MATCH($I96,'Listings'!$A$2:$A$169,0)))</x:f>
        <x:v>&gt;1–3 mi</x:v>
      </x:c>
      <x:c r="G96" s="10" t="str">
        <x:f>IF(INDEX('Listings'!$S$2:$S$169,MATCH($I96,'Listings'!$A$2:$A$169,0))="","",INDEX('Listings'!$S$2:$S$169,MATCH($I96,'Listings'!$A$2:$A$169,0)))</x:f>
        <x:v>&gt;1–3 mi</x:v>
      </x:c>
      <x:c r="H96" s="10" t="str">
        <x:f>IF(INDEX('Listings'!$U$2:$U$169,MATCH($I96,'Listings'!$A$2:$A$169,0))="","",INDEX('Listings'!$U$2:$U$169,MATCH($I96,'Listings'!$A$2:$A$169,0)))</x:f>
        <x:v>0–1 mi</x:v>
      </x:c>
      <x:c r="I96" s="10" t="str">
        <x:v>x5wd0zn</x:v>
      </x:c>
      <x:c r="J96" s="10" t="str">
        <x:f>IF(INDEX('Listings'!$C$2:$C$169,MATCH($I96,'Listings'!$A$2:$A$169,0))="","",INDEX('Listings'!$C$2:$C$169,MATCH($I96,'Listings'!$A$2:$A$169,0)))</x:f>
        <x:v>https://offcampus.dasa.ncsu.edu/housing/property/room-in-house-on-pineland-cir/x5wd0zn</x:v>
      </x:c>
      <x:c r="K96" s="10" t="str">
        <x:f>IF(INDEX('Listings'!$AG$2:$AG$169,MATCH($I96,'Listings'!$A$2:$A$169,0))="","",INDEX('Listings'!$AG$2:$AG$169,MATCH($I96,'Listings'!$A$2:$A$169,0)))</x:f>
        <x:v>Saved September 9 title explicitly offers a room. Reclassified from whole unit to room/per-bedroom; snapshot price unchanged.</x:v>
      </x:c>
    </x:row>
    <x:row r="97" ht="24" hidden="0" customHeight="1">
      <x:c r="A97" s="10" t="str">
        <x:f>IF(INDEX('Listings'!$B$2:$B$169,MATCH($I97,'Listings'!$A$2:$A$169,0))="","",INDEX('Listings'!$B$2:$B$169,MATCH($I97,'Listings'!$A$2:$A$169,0)))</x:f>
        <x:v>Room in House on Quartz Ct</x:v>
      </x:c>
      <x:c r="B97" s="10" t="str">
        <x:f>IF(INDEX('Listings'!$E$2:$E$169,MATCH($I97,'Listings'!$A$2:$A$169,0))="","",INDEX('Listings'!$E$2:$E$169,MATCH($I97,'Listings'!$A$2:$A$169,0)))</x:f>
        <x:v>Per bedroom</x:v>
      </x:c>
      <x:c r="C97" s="11" t="n">
        <x:f>IF(INDEX('Listings'!$H$2:$H$169,MATCH($I97,'Listings'!$A$2:$A$169,0))="","",INDEX('Listings'!$H$2:$H$169,MATCH($I97,'Listings'!$A$2:$A$169,0)))</x:f>
        <x:v>685</x:v>
      </x:c>
      <x:c r="D97" s="11" t="n">
        <x:f>IF(INDEX('Listings'!$I$2:$I$169,MATCH($I97,'Listings'!$A$2:$A$169,0))="","",INDEX('Listings'!$I$2:$I$169,MATCH($I97,'Listings'!$A$2:$A$169,0)))</x:f>
        <x:v>685</x:v>
      </x:c>
      <x:c r="E97" s="10" t="str">
        <x:v>Kept after room/per-bedroom correction.</x:v>
      </x:c>
      <x:c r="F97" s="10" t="str">
        <x:f>IF(INDEX('Listings'!$Q$2:$Q$169,MATCH($I97,'Listings'!$A$2:$A$169,0))="","",INDEX('Listings'!$Q$2:$Q$169,MATCH($I97,'Listings'!$A$2:$A$169,0)))</x:f>
        <x:v>&gt;3–5 mi</x:v>
      </x:c>
      <x:c r="G97" s="10" t="str">
        <x:f>IF(INDEX('Listings'!$S$2:$S$169,MATCH($I97,'Listings'!$A$2:$A$169,0))="","",INDEX('Listings'!$S$2:$S$169,MATCH($I97,'Listings'!$A$2:$A$169,0)))</x:f>
        <x:v>&gt;3–5 mi</x:v>
      </x:c>
      <x:c r="H97" s="10" t="str">
        <x:f>IF(INDEX('Listings'!$U$2:$U$169,MATCH($I97,'Listings'!$A$2:$A$169,0))="","",INDEX('Listings'!$U$2:$U$169,MATCH($I97,'Listings'!$A$2:$A$169,0)))</x:f>
        <x:v>Outside 5 mi</x:v>
      </x:c>
      <x:c r="I97" s="10" t="str">
        <x:v>bq6wzsb</x:v>
      </x:c>
      <x:c r="J97" s="10" t="str">
        <x:f>IF(INDEX('Listings'!$C$2:$C$169,MATCH($I97,'Listings'!$A$2:$A$169,0))="","",INDEX('Listings'!$C$2:$C$169,MATCH($I97,'Listings'!$A$2:$A$169,0)))</x:f>
        <x:v>https://offcampus.dasa.ncsu.edu/housing/property/room-in-house-on-quartz-ct/bq6wzsb</x:v>
      </x:c>
      <x:c r="K97" s="10" t="str">
        <x:f>IF(INDEX('Listings'!$AG$2:$AG$169,MATCH($I97,'Listings'!$A$2:$A$169,0))="","",INDEX('Listings'!$AG$2:$AG$169,MATCH($I97,'Listings'!$A$2:$A$169,0)))</x:f>
        <x:v>Saved September 9 title explicitly offers a room. Reclassified from whole unit to room/per-bedroom; snapshot price unchanged.</x:v>
      </x:c>
    </x:row>
    <x:row r="98" ht="24" hidden="0" customHeight="1">
      <x:c r="A98" s="10" t="str">
        <x:f>IF(INDEX('Listings'!$B$2:$B$169,MATCH($I98,'Listings'!$A$2:$A$169,0))="","",INDEX('Listings'!$B$2:$B$169,MATCH($I98,'Listings'!$A$2:$A$169,0)))</x:f>
        <x:v>Room in House on Slippery Elm Dr</x:v>
      </x:c>
      <x:c r="B98" s="10" t="str">
        <x:f>IF(INDEX('Listings'!$E$2:$E$169,MATCH($I98,'Listings'!$A$2:$A$169,0))="","",INDEX('Listings'!$E$2:$E$169,MATCH($I98,'Listings'!$A$2:$A$169,0)))</x:f>
        <x:v>Per bedroom</x:v>
      </x:c>
      <x:c r="C98" s="11" t="n">
        <x:f>IF(INDEX('Listings'!$H$2:$H$169,MATCH($I98,'Listings'!$A$2:$A$169,0))="","",INDEX('Listings'!$H$2:$H$169,MATCH($I98,'Listings'!$A$2:$A$169,0)))</x:f>
        <x:v>720</x:v>
      </x:c>
      <x:c r="D98" s="11" t="n">
        <x:f>IF(INDEX('Listings'!$I$2:$I$169,MATCH($I98,'Listings'!$A$2:$A$169,0))="","",INDEX('Listings'!$I$2:$I$169,MATCH($I98,'Listings'!$A$2:$A$169,0)))</x:f>
        <x:v>720</x:v>
      </x:c>
      <x:c r="E98" s="10" t="str">
        <x:v>Kept after room/per-bedroom correction.</x:v>
      </x:c>
      <x:c r="F98" s="10" t="str">
        <x:f>IF(INDEX('Listings'!$Q$2:$Q$169,MATCH($I98,'Listings'!$A$2:$A$169,0))="","",INDEX('Listings'!$Q$2:$Q$169,MATCH($I98,'Listings'!$A$2:$A$169,0)))</x:f>
        <x:v>Outside 5 mi</x:v>
      </x:c>
      <x:c r="G98" s="10" t="str">
        <x:f>IF(INDEX('Listings'!$S$2:$S$169,MATCH($I98,'Listings'!$A$2:$A$169,0))="","",INDEX('Listings'!$S$2:$S$169,MATCH($I98,'Listings'!$A$2:$A$169,0)))</x:f>
        <x:v>&gt;3–5 mi</x:v>
      </x:c>
      <x:c r="H98" s="10" t="str">
        <x:f>IF(INDEX('Listings'!$U$2:$U$169,MATCH($I98,'Listings'!$A$2:$A$169,0))="","",INDEX('Listings'!$U$2:$U$169,MATCH($I98,'Listings'!$A$2:$A$169,0)))</x:f>
        <x:v>Outside 5 mi</x:v>
      </x:c>
      <x:c r="I98" s="10" t="str">
        <x:v>3zb9brd</x:v>
      </x:c>
      <x:c r="J98" s="10" t="str">
        <x:f>IF(INDEX('Listings'!$C$2:$C$169,MATCH($I98,'Listings'!$A$2:$A$169,0))="","",INDEX('Listings'!$C$2:$C$169,MATCH($I98,'Listings'!$A$2:$A$169,0)))</x:f>
        <x:v>https://offcampus.dasa.ncsu.edu/housing/property/room-in-house-on-slippery-elm-dr/3zb9brd</x:v>
      </x:c>
      <x:c r="K98" s="10" t="str">
        <x:f>IF(INDEX('Listings'!$AG$2:$AG$169,MATCH($I98,'Listings'!$A$2:$A$169,0))="","",INDEX('Listings'!$AG$2:$AG$169,MATCH($I98,'Listings'!$A$2:$A$169,0)))</x:f>
        <x:v>Saved September 9 title explicitly offers a room. Reclassified from whole unit to room/per-bedroom; snapshot price unchanged.</x:v>
      </x:c>
    </x:row>
    <x:row r="99" ht="24" hidden="0" customHeight="1">
      <x:c r="A99" s="10" t="str">
        <x:f>IF(INDEX('Listings'!$B$2:$B$169,MATCH($I99,'Listings'!$A$2:$A$169,0))="","",INDEX('Listings'!$B$2:$B$169,MATCH($I99,'Listings'!$A$2:$A$169,0)))</x:f>
        <x:v>Room in Townhome on Haskell Dr</x:v>
      </x:c>
      <x:c r="B99" s="10" t="str">
        <x:f>IF(INDEX('Listings'!$E$2:$E$169,MATCH($I99,'Listings'!$A$2:$A$169,0))="","",INDEX('Listings'!$E$2:$E$169,MATCH($I99,'Listings'!$A$2:$A$169,0)))</x:f>
        <x:v>Per bedroom</x:v>
      </x:c>
      <x:c r="C99" s="11" t="n">
        <x:f>IF(INDEX('Listings'!$H$2:$H$169,MATCH($I99,'Listings'!$A$2:$A$169,0))="","",INDEX('Listings'!$H$2:$H$169,MATCH($I99,'Listings'!$A$2:$A$169,0)))</x:f>
        <x:v>563</x:v>
      </x:c>
      <x:c r="D99" s="11" t="n">
        <x:f>IF(INDEX('Listings'!$I$2:$I$169,MATCH($I99,'Listings'!$A$2:$A$169,0))="","",INDEX('Listings'!$I$2:$I$169,MATCH($I99,'Listings'!$A$2:$A$169,0)))</x:f>
        <x:v>563</x:v>
      </x:c>
      <x:c r="E99" s="10" t="str">
        <x:v>Kept after room/per-bedroom correction.</x:v>
      </x:c>
      <x:c r="F99" s="10" t="str">
        <x:f>IF(INDEX('Listings'!$Q$2:$Q$169,MATCH($I99,'Listings'!$A$2:$A$169,0))="","",INDEX('Listings'!$Q$2:$Q$169,MATCH($I99,'Listings'!$A$2:$A$169,0)))</x:f>
        <x:v>&gt;3–5 mi</x:v>
      </x:c>
      <x:c r="G99" s="10" t="str">
        <x:f>IF(INDEX('Listings'!$S$2:$S$169,MATCH($I99,'Listings'!$A$2:$A$169,0))="","",INDEX('Listings'!$S$2:$S$169,MATCH($I99,'Listings'!$A$2:$A$169,0)))</x:f>
        <x:v>&gt;3–5 mi</x:v>
      </x:c>
      <x:c r="H99" s="10" t="str">
        <x:f>IF(INDEX('Listings'!$U$2:$U$169,MATCH($I99,'Listings'!$A$2:$A$169,0))="","",INDEX('Listings'!$U$2:$U$169,MATCH($I99,'Listings'!$A$2:$A$169,0)))</x:f>
        <x:v>Outside 5 mi</x:v>
      </x:c>
      <x:c r="I99" s="10" t="str">
        <x:v>49jmmdh</x:v>
      </x:c>
      <x:c r="J99" s="10" t="str">
        <x:f>IF(INDEX('Listings'!$C$2:$C$169,MATCH($I99,'Listings'!$A$2:$A$169,0))="","",INDEX('Listings'!$C$2:$C$169,MATCH($I99,'Listings'!$A$2:$A$169,0)))</x:f>
        <x:v>https://offcampus.dasa.ncsu.edu/housing/property/room-in-townhome-on-haskell-dr/49jmmdh</x:v>
      </x:c>
      <x:c r="K99" s="10" t="str">
        <x:f>IF(INDEX('Listings'!$AG$2:$AG$169,MATCH($I99,'Listings'!$A$2:$A$169,0))="","",INDEX('Listings'!$AG$2:$AG$169,MATCH($I99,'Listings'!$A$2:$A$169,0)))</x:f>
        <x:v>Saved September 9 title explicitly offers a room. Reclassified from whole unit to room/per-bedroom; snapshot price unchanged.</x:v>
      </x:c>
    </x:row>
    <x:row r="100" ht="24" hidden="0" customHeight="1">
      <x:c r="A100" s="10" t="str">
        <x:f>IF(INDEX('Listings'!$B$2:$B$169,MATCH($I100,'Listings'!$A$2:$A$169,0))="","",INDEX('Listings'!$B$2:$B$169,MATCH($I100,'Listings'!$A$2:$A$169,0)))</x:f>
        <x:v>Room in Townhome on Ivory Run Way</x:v>
      </x:c>
      <x:c r="B100" s="10" t="str">
        <x:f>IF(INDEX('Listings'!$E$2:$E$169,MATCH($I100,'Listings'!$A$2:$A$169,0))="","",INDEX('Listings'!$E$2:$E$169,MATCH($I100,'Listings'!$A$2:$A$169,0)))</x:f>
        <x:v>Per bedroom</x:v>
      </x:c>
      <x:c r="C100" s="11" t="n">
        <x:f>IF(INDEX('Listings'!$H$2:$H$169,MATCH($I100,'Listings'!$A$2:$A$169,0))="","",INDEX('Listings'!$H$2:$H$169,MATCH($I100,'Listings'!$A$2:$A$169,0)))</x:f>
        <x:v>690</x:v>
      </x:c>
      <x:c r="D100" s="11" t="n">
        <x:f>IF(INDEX('Listings'!$I$2:$I$169,MATCH($I100,'Listings'!$A$2:$A$169,0))="","",INDEX('Listings'!$I$2:$I$169,MATCH($I100,'Listings'!$A$2:$A$169,0)))</x:f>
        <x:v>690</x:v>
      </x:c>
      <x:c r="E100" s="10" t="str">
        <x:v>Kept after room/per-bedroom correction.</x:v>
      </x:c>
      <x:c r="F100" s="10" t="str">
        <x:f>IF(INDEX('Listings'!$Q$2:$Q$169,MATCH($I100,'Listings'!$A$2:$A$169,0))="","",INDEX('Listings'!$Q$2:$Q$169,MATCH($I100,'Listings'!$A$2:$A$169,0)))</x:f>
        <x:v>&gt;1–3 mi</x:v>
      </x:c>
      <x:c r="G100" s="10" t="str">
        <x:f>IF(INDEX('Listings'!$S$2:$S$169,MATCH($I100,'Listings'!$A$2:$A$169,0))="","",INDEX('Listings'!$S$2:$S$169,MATCH($I100,'Listings'!$A$2:$A$169,0)))</x:f>
        <x:v>&gt;1–3 mi</x:v>
      </x:c>
      <x:c r="H100" s="10" t="str">
        <x:f>IF(INDEX('Listings'!$U$2:$U$169,MATCH($I100,'Listings'!$A$2:$A$169,0))="","",INDEX('Listings'!$U$2:$U$169,MATCH($I100,'Listings'!$A$2:$A$169,0)))</x:f>
        <x:v>&gt;3–5 mi</x:v>
      </x:c>
      <x:c r="I100" s="10" t="str">
        <x:v>hz5leg1</x:v>
      </x:c>
      <x:c r="J100" s="10" t="str">
        <x:f>IF(INDEX('Listings'!$C$2:$C$169,MATCH($I100,'Listings'!$A$2:$A$169,0))="","",INDEX('Listings'!$C$2:$C$169,MATCH($I100,'Listings'!$A$2:$A$169,0)))</x:f>
        <x:v>https://offcampus.dasa.ncsu.edu/housing/property/room-in-townhome-on-ivory-run-way/hz5leg1</x:v>
      </x:c>
      <x:c r="K100" s="10" t="str">
        <x:f>IF(INDEX('Listings'!$AG$2:$AG$169,MATCH($I100,'Listings'!$A$2:$A$169,0))="","",INDEX('Listings'!$AG$2:$AG$169,MATCH($I100,'Listings'!$A$2:$A$169,0)))</x:f>
        <x:v>Saved September 9 title explicitly offers a room. Reclassified from whole unit to room/per-bedroom; snapshot price unchanged.</x:v>
      </x:c>
    </x:row>
    <x:row r="101" ht="24" hidden="0" customHeight="1">
      <x:c r="A101" s="10" t="str">
        <x:f>IF(INDEX('Listings'!$B$2:$B$169,MATCH($I101,'Listings'!$A$2:$A$169,0))="","",INDEX('Listings'!$B$2:$B$169,MATCH($I101,'Listings'!$A$2:$A$169,0)))</x:f>
        <x:v>Room in Townhome on Macedonia Lake Dr</x:v>
      </x:c>
      <x:c r="B101" s="10" t="str">
        <x:f>IF(INDEX('Listings'!$E$2:$E$169,MATCH($I101,'Listings'!$A$2:$A$169,0))="","",INDEX('Listings'!$E$2:$E$169,MATCH($I101,'Listings'!$A$2:$A$169,0)))</x:f>
        <x:v>Per bedroom</x:v>
      </x:c>
      <x:c r="C101" s="11" t="n">
        <x:f>IF(INDEX('Listings'!$H$2:$H$169,MATCH($I101,'Listings'!$A$2:$A$169,0))="","",INDEX('Listings'!$H$2:$H$169,MATCH($I101,'Listings'!$A$2:$A$169,0)))</x:f>
        <x:v>800</x:v>
      </x:c>
      <x:c r="D101" s="11" t="n">
        <x:f>IF(INDEX('Listings'!$I$2:$I$169,MATCH($I101,'Listings'!$A$2:$A$169,0))="","",INDEX('Listings'!$I$2:$I$169,MATCH($I101,'Listings'!$A$2:$A$169,0)))</x:f>
        <x:v>800</x:v>
      </x:c>
      <x:c r="E101" s="10" t="str">
        <x:v>Kept after room/per-bedroom correction.</x:v>
      </x:c>
      <x:c r="F101" s="10" t="str">
        <x:f>IF(INDEX('Listings'!$Q$2:$Q$169,MATCH($I101,'Listings'!$A$2:$A$169,0))="","",INDEX('Listings'!$Q$2:$Q$169,MATCH($I101,'Listings'!$A$2:$A$169,0)))</x:f>
        <x:v>&gt;3–5 mi</x:v>
      </x:c>
      <x:c r="G101" s="10" t="str">
        <x:f>IF(INDEX('Listings'!$S$2:$S$169,MATCH($I101,'Listings'!$A$2:$A$169,0))="","",INDEX('Listings'!$S$2:$S$169,MATCH($I101,'Listings'!$A$2:$A$169,0)))</x:f>
        <x:v>&gt;3–5 mi</x:v>
      </x:c>
      <x:c r="H101" s="10" t="str">
        <x:f>IF(INDEX('Listings'!$U$2:$U$169,MATCH($I101,'Listings'!$A$2:$A$169,0))="","",INDEX('Listings'!$U$2:$U$169,MATCH($I101,'Listings'!$A$2:$A$169,0)))</x:f>
        <x:v>&gt;3–5 mi</x:v>
      </x:c>
      <x:c r="I101" s="10" t="str">
        <x:v>9m73sq5</x:v>
      </x:c>
      <x:c r="J101" s="10" t="str">
        <x:f>IF(INDEX('Listings'!$C$2:$C$169,MATCH($I101,'Listings'!$A$2:$A$169,0))="","",INDEX('Listings'!$C$2:$C$169,MATCH($I101,'Listings'!$A$2:$A$169,0)))</x:f>
        <x:v>https://offcampus.dasa.ncsu.edu/housing/property/room-in-townhome-on-macedonia-lake-dr/9m73sq5</x:v>
      </x:c>
      <x:c r="K101" s="10" t="str">
        <x:f>IF(INDEX('Listings'!$AG$2:$AG$169,MATCH($I101,'Listings'!$A$2:$A$169,0))="","",INDEX('Listings'!$AG$2:$AG$169,MATCH($I101,'Listings'!$A$2:$A$169,0)))</x:f>
        <x:v>Saved September 9 title explicitly offers a room. Reclassified from whole unit to room/per-bedroom; snapshot price unchanged.</x:v>
      </x:c>
    </x:row>
    <x:row r="102" ht="24" hidden="0" customHeight="1">
      <x:c r="A102" s="10" t="str">
        <x:f>IF(INDEX('Listings'!$B$2:$B$169,MATCH($I102,'Listings'!$A$2:$A$169,0))="","",INDEX('Listings'!$B$2:$B$169,MATCH($I102,'Listings'!$A$2:$A$169,0)))</x:f>
        <x:v>Signature 1505</x:v>
      </x:c>
      <x:c r="B102" s="10" t="str">
        <x:f>IF(INDEX('Listings'!$E$2:$E$169,MATCH($I102,'Listings'!$A$2:$A$169,0))="","",INDEX('Listings'!$E$2:$E$169,MATCH($I102,'Listings'!$A$2:$A$169,0)))</x:f>
        <x:v>Per bedroom</x:v>
      </x:c>
      <x:c r="C102" s="11" t="n">
        <x:f>IF(INDEX('Listings'!$H$2:$H$169,MATCH($I102,'Listings'!$A$2:$A$169,0))="","",INDEX('Listings'!$H$2:$H$169,MATCH($I102,'Listings'!$A$2:$A$169,0)))</x:f>
        <x:v>650</x:v>
      </x:c>
      <x:c r="D102" s="11" t="n">
        <x:f>IF(INDEX('Listings'!$I$2:$I$169,MATCH($I102,'Listings'!$A$2:$A$169,0))="","",INDEX('Listings'!$I$2:$I$169,MATCH($I102,'Listings'!$A$2:$A$169,0)))</x:f>
        <x:v>1305</x:v>
      </x:c>
      <x:c r="E102" s="10" t="str">
        <x:v>Usable price pair within study area.</x:v>
      </x:c>
      <x:c r="F102" s="10" t="str">
        <x:f>IF(INDEX('Listings'!$Q$2:$Q$169,MATCH($I102,'Listings'!$A$2:$A$169,0))="","",INDEX('Listings'!$Q$2:$Q$169,MATCH($I102,'Listings'!$A$2:$A$169,0)))</x:f>
        <x:v>&gt;1–3 mi</x:v>
      </x:c>
      <x:c r="G102" s="10" t="str">
        <x:f>IF(INDEX('Listings'!$S$2:$S$169,MATCH($I102,'Listings'!$A$2:$A$169,0))="","",INDEX('Listings'!$S$2:$S$169,MATCH($I102,'Listings'!$A$2:$A$169,0)))</x:f>
        <x:v>&gt;1–3 mi</x:v>
      </x:c>
      <x:c r="H102" s="10" t="str">
        <x:f>IF(INDEX('Listings'!$U$2:$U$169,MATCH($I102,'Listings'!$A$2:$A$169,0))="","",INDEX('Listings'!$U$2:$U$169,MATCH($I102,'Listings'!$A$2:$A$169,0)))</x:f>
        <x:v>&gt;1–3 mi</x:v>
      </x:c>
      <x:c r="I102" s="10" t="str">
        <x:v>5je4q3n</x:v>
      </x:c>
      <x:c r="J102" s="10" t="str">
        <x:f>IF(INDEX('Listings'!$C$2:$C$169,MATCH($I102,'Listings'!$A$2:$A$169,0))="","",INDEX('Listings'!$C$2:$C$169,MATCH($I102,'Listings'!$A$2:$A$169,0)))</x:f>
        <x:v>https://offcampus.dasa.ncsu.edu/housing/property/signature-1505/5je4q3n</x:v>
      </x:c>
      <x:c r="K102" s="10" t="str">
        <x:f>IF(INDEX('Listings'!$AG$2:$AG$169,MATCH($I102,'Listings'!$A$2:$A$169,0))="","",INDEX('Listings'!$AG$2:$AG$169,MATCH($I102,'Listings'!$A$2:$A$169,0)))</x:f>
        <x:v>Source pricing flag retained; automated consistency checks passed. This is not independent landlord verification.</x:v>
      </x:c>
    </x:row>
    <x:row r="103" ht="24" hidden="0" customHeight="1">
      <x:c r="A103" s="10" t="str">
        <x:f>IF(INDEX('Listings'!$B$2:$B$169,MATCH($I103,'Listings'!$A$2:$A$169,0))="","",INDEX('Listings'!$B$2:$B$169,MATCH($I103,'Listings'!$A$2:$A$169,0)))</x:f>
        <x:v>Signature 1505 4X4 Apartment</x:v>
      </x:c>
      <x:c r="B103" s="10" t="str">
        <x:f>IF(INDEX('Listings'!$E$2:$E$169,MATCH($I103,'Listings'!$A$2:$A$169,0))="","",INDEX('Listings'!$E$2:$E$169,MATCH($I103,'Listings'!$A$2:$A$169,0)))</x:f>
        <x:v>Per bedroom</x:v>
      </x:c>
      <x:c r="C103" s="11" t="n">
        <x:f>IF(INDEX('Listings'!$H$2:$H$169,MATCH($I103,'Listings'!$A$2:$A$169,0))="","",INDEX('Listings'!$H$2:$H$169,MATCH($I103,'Listings'!$A$2:$A$169,0)))</x:f>
        <x:v>1230</x:v>
      </x:c>
      <x:c r="D103" s="11" t="n">
        <x:f>IF(INDEX('Listings'!$I$2:$I$169,MATCH($I103,'Listings'!$A$2:$A$169,0))="","",INDEX('Listings'!$I$2:$I$169,MATCH($I103,'Listings'!$A$2:$A$169,0)))</x:f>
        <x:v>1230</x:v>
      </x:c>
      <x:c r="E103" s="10" t="str">
        <x:v>Usable price pair within study area.</x:v>
      </x:c>
      <x:c r="F103" s="10" t="str">
        <x:f>IF(INDEX('Listings'!$Q$2:$Q$169,MATCH($I103,'Listings'!$A$2:$A$169,0))="","",INDEX('Listings'!$Q$2:$Q$169,MATCH($I103,'Listings'!$A$2:$A$169,0)))</x:f>
        <x:v>&gt;1–3 mi</x:v>
      </x:c>
      <x:c r="G103" s="10" t="str">
        <x:f>IF(INDEX('Listings'!$S$2:$S$169,MATCH($I103,'Listings'!$A$2:$A$169,0))="","",INDEX('Listings'!$S$2:$S$169,MATCH($I103,'Listings'!$A$2:$A$169,0)))</x:f>
        <x:v>&gt;1–3 mi</x:v>
      </x:c>
      <x:c r="H103" s="10" t="str">
        <x:f>IF(INDEX('Listings'!$U$2:$U$169,MATCH($I103,'Listings'!$A$2:$A$169,0))="","",INDEX('Listings'!$U$2:$U$169,MATCH($I103,'Listings'!$A$2:$A$169,0)))</x:f>
        <x:v>&gt;1–3 mi</x:v>
      </x:c>
      <x:c r="I103" s="10" t="str">
        <x:v>ocpszqbd35</x:v>
      </x:c>
      <x:c r="J103" s="10" t="str">
        <x:f>IF(INDEX('Listings'!$C$2:$C$169,MATCH($I103,'Listings'!$A$2:$A$169,0))="","",INDEX('Listings'!$C$2:$C$169,MATCH($I103,'Listings'!$A$2:$A$169,0)))</x:f>
        <x:v>https://offcampus.dasa.ncsu.edu/housing/property/signature-1505-4x4-apartment/ocpszqbd35</x:v>
      </x:c>
      <x:c r="K103" s="10" t="str">
        <x:f>IF(INDEX('Listings'!$AG$2:$AG$169,MATCH($I103,'Listings'!$A$2:$A$169,0))="","",INDEX('Listings'!$AG$2:$AG$169,MATCH($I103,'Listings'!$A$2:$A$169,0)))</x:f>
        <x:v>Source pricing flag retained; automated consistency checks passed. This is not independent landlord verification.</x:v>
      </x:c>
    </x:row>
    <x:row r="104" ht="36" hidden="0" customHeight="1">
      <x:c r="A104" s="10" t="str">
        <x:f>IF(INDEX('Listings'!$B$2:$B$169,MATCH($I104,'Listings'!$A$2:$A$169,0))="","",INDEX('Listings'!$B$2:$B$169,MATCH($I104,'Listings'!$A$2:$A$169,0)))</x:f>
        <x:v>Spacious 2BD/1BA apartment available 08/01/26- 1 block from the NCSU McKimmon Center!</x:v>
      </x:c>
      <x:c r="B104" s="10" t="str">
        <x:f>IF(INDEX('Listings'!$E$2:$E$169,MATCH($I104,'Listings'!$A$2:$A$169,0))="","",INDEX('Listings'!$E$2:$E$169,MATCH($I104,'Listings'!$A$2:$A$169,0)))</x:f>
        <x:v>Whole unit</x:v>
      </x:c>
      <x:c r="C104" s="11" t="n">
        <x:f>IF(INDEX('Listings'!$H$2:$H$169,MATCH($I104,'Listings'!$A$2:$A$169,0))="","",INDEX('Listings'!$H$2:$H$169,MATCH($I104,'Listings'!$A$2:$A$169,0)))</x:f>
        <x:v>1200</x:v>
      </x:c>
      <x:c r="D104" s="11" t="n">
        <x:f>IF(INDEX('Listings'!$I$2:$I$169,MATCH($I104,'Listings'!$A$2:$A$169,0))="","",INDEX('Listings'!$I$2:$I$169,MATCH($I104,'Listings'!$A$2:$A$169,0)))</x:f>
        <x:v>1200</x:v>
      </x:c>
      <x:c r="E104" s="10" t="str">
        <x:v>Usable price pair within study area.</x:v>
      </x:c>
      <x:c r="F104" s="10" t="str">
        <x:f>IF(INDEX('Listings'!$Q$2:$Q$169,MATCH($I104,'Listings'!$A$2:$A$169,0))="","",INDEX('Listings'!$Q$2:$Q$169,MATCH($I104,'Listings'!$A$2:$A$169,0)))</x:f>
        <x:v>0–1 mi</x:v>
      </x:c>
      <x:c r="G104" s="10" t="str">
        <x:f>IF(INDEX('Listings'!$S$2:$S$169,MATCH($I104,'Listings'!$A$2:$A$169,0))="","",INDEX('Listings'!$S$2:$S$169,MATCH($I104,'Listings'!$A$2:$A$169,0)))</x:f>
        <x:v>&gt;1–3 mi</x:v>
      </x:c>
      <x:c r="H104" s="10" t="str">
        <x:f>IF(INDEX('Listings'!$U$2:$U$169,MATCH($I104,'Listings'!$A$2:$A$169,0))="","",INDEX('Listings'!$U$2:$U$169,MATCH($I104,'Listings'!$A$2:$A$169,0)))</x:f>
        <x:v>&gt;1–3 mi</x:v>
      </x:c>
      <x:c r="I104" s="10" t="str">
        <x:v>ocptf3fhqb</x:v>
      </x:c>
      <x:c r="J104" s="10" t="str">
        <x:f>IF(INDEX('Listings'!$C$2:$C$169,MATCH($I104,'Listings'!$A$2:$A$169,0))="","",INDEX('Listings'!$C$2:$C$169,MATCH($I104,'Listings'!$A$2:$A$169,0)))</x:f>
        <x:v>https://offcampus.dasa.ncsu.edu/housing/property/spacious-2bd-1ba-apartment-available-08-01-26-1-block-from-the-ncsu-mckimmon-center/ocptf3fhqb</x:v>
      </x:c>
      <x:c r="K104" s="10" t="str">
        <x:f>IF(INDEX('Listings'!$AG$2:$AG$169,MATCH($I104,'Listings'!$A$2:$A$169,0))="","",INDEX('Listings'!$AG$2:$AG$169,MATCH($I104,'Listings'!$A$2:$A$169,0)))</x:f>
        <x:v>Source pricing flag retained; automated consistency checks passed. This is not independent landlord verification.</x:v>
      </x:c>
    </x:row>
    <x:row r="105" ht="36" hidden="0" customHeight="1">
      <x:c r="A105" s="10" t="str">
        <x:f>IF(INDEX('Listings'!$B$2:$B$169,MATCH($I105,'Listings'!$A$2:$A$169,0))="","",INDEX('Listings'!$B$2:$B$169,MATCH($I105,'Listings'!$A$2:$A$169,0)))</x:f>
        <x:v>Spacious bedroom with private bath in 2BR townhome – 5 minutes to NC State</x:v>
      </x:c>
      <x:c r="B105" s="10" t="str">
        <x:f>IF(INDEX('Listings'!$E$2:$E$169,MATCH($I105,'Listings'!$A$2:$A$169,0))="","",INDEX('Listings'!$E$2:$E$169,MATCH($I105,'Listings'!$A$2:$A$169,0)))</x:f>
        <x:v>Per bedroom</x:v>
      </x:c>
      <x:c r="C105" s="11" t="n">
        <x:f>IF(INDEX('Listings'!$H$2:$H$169,MATCH($I105,'Listings'!$A$2:$A$169,0))="","",INDEX('Listings'!$H$2:$H$169,MATCH($I105,'Listings'!$A$2:$A$169,0)))</x:f>
        <x:v>800</x:v>
      </x:c>
      <x:c r="D105" s="11" t="n">
        <x:f>IF(INDEX('Listings'!$I$2:$I$169,MATCH($I105,'Listings'!$A$2:$A$169,0))="","",INDEX('Listings'!$I$2:$I$169,MATCH($I105,'Listings'!$A$2:$A$169,0)))</x:f>
        <x:v>800</x:v>
      </x:c>
      <x:c r="E105" s="10" t="str">
        <x:v>Usable price pair within study area.</x:v>
      </x:c>
      <x:c r="F105" s="10" t="str">
        <x:f>IF(INDEX('Listings'!$Q$2:$Q$169,MATCH($I105,'Listings'!$A$2:$A$169,0))="","",INDEX('Listings'!$Q$2:$Q$169,MATCH($I105,'Listings'!$A$2:$A$169,0)))</x:f>
        <x:v>0–1 mi</x:v>
      </x:c>
      <x:c r="G105" s="10" t="str">
        <x:f>IF(INDEX('Listings'!$S$2:$S$169,MATCH($I105,'Listings'!$A$2:$A$169,0))="","",INDEX('Listings'!$S$2:$S$169,MATCH($I105,'Listings'!$A$2:$A$169,0)))</x:f>
        <x:v>0–1 mi</x:v>
      </x:c>
      <x:c r="H105" s="10" t="str">
        <x:f>IF(INDEX('Listings'!$U$2:$U$169,MATCH($I105,'Listings'!$A$2:$A$169,0))="","",INDEX('Listings'!$U$2:$U$169,MATCH($I105,'Listings'!$A$2:$A$169,0)))</x:f>
        <x:v>&gt;1–3 mi</x:v>
      </x:c>
      <x:c r="I105" s="10" t="str">
        <x:v>ocpszex2v4</x:v>
      </x:c>
      <x:c r="J105" s="10" t="str">
        <x:f>IF(INDEX('Listings'!$C$2:$C$169,MATCH($I105,'Listings'!$A$2:$A$169,0))="","",INDEX('Listings'!$C$2:$C$169,MATCH($I105,'Listings'!$A$2:$A$169,0)))</x:f>
        <x:v>https://offcampus.dasa.ncsu.edu/housing/property/spacious-bedroom-with-private-bath-in-2br-townhome-5-minutes-to-nc-state/ocpszex2v4</x:v>
      </x:c>
      <x:c r="K105" s="10" t="str">
        <x:f>IF(INDEX('Listings'!$AG$2:$AG$169,MATCH($I105,'Listings'!$A$2:$A$169,0))="","",INDEX('Listings'!$AG$2:$AG$169,MATCH($I105,'Listings'!$A$2:$A$169,0)))</x:f>
        <x:v>Source pricing flag retained; automated consistency checks passed. This is not independent landlord verification.</x:v>
      </x:c>
    </x:row>
    <x:row r="106" ht="36" hidden="0" customHeight="1">
      <x:c r="A106" s="10" t="str">
        <x:f>IF(INDEX('Listings'!$B$2:$B$169,MATCH($I106,'Listings'!$A$2:$A$169,0))="","",INDEX('Listings'!$B$2:$B$169,MATCH($I106,'Listings'!$A$2:$A$169,0)))</x:f>
        <x:v>Spacious En-suite with private patio and garage parking in Crescent Ridge Townhome Community</x:v>
      </x:c>
      <x:c r="B106" s="10" t="str">
        <x:f>IF(INDEX('Listings'!$E$2:$E$169,MATCH($I106,'Listings'!$A$2:$A$169,0))="","",INDEX('Listings'!$E$2:$E$169,MATCH($I106,'Listings'!$A$2:$A$169,0)))</x:f>
        <x:v>Per bedroom</x:v>
      </x:c>
      <x:c r="C106" s="11" t="n">
        <x:f>IF(INDEX('Listings'!$H$2:$H$169,MATCH($I106,'Listings'!$A$2:$A$169,0))="","",INDEX('Listings'!$H$2:$H$169,MATCH($I106,'Listings'!$A$2:$A$169,0)))</x:f>
        <x:v>900</x:v>
      </x:c>
      <x:c r="D106" s="11" t="n">
        <x:f>IF(INDEX('Listings'!$I$2:$I$169,MATCH($I106,'Listings'!$A$2:$A$169,0))="","",INDEX('Listings'!$I$2:$I$169,MATCH($I106,'Listings'!$A$2:$A$169,0)))</x:f>
        <x:v>900</x:v>
      </x:c>
      <x:c r="E106" s="10" t="str">
        <x:v>Usable price pair within study area.</x:v>
      </x:c>
      <x:c r="F106" s="10" t="str">
        <x:f>IF(INDEX('Listings'!$Q$2:$Q$169,MATCH($I106,'Listings'!$A$2:$A$169,0))="","",INDEX('Listings'!$Q$2:$Q$169,MATCH($I106,'Listings'!$A$2:$A$169,0)))</x:f>
        <x:v>&gt;1–3 mi</x:v>
      </x:c>
      <x:c r="G106" s="10" t="str">
        <x:f>IF(INDEX('Listings'!$S$2:$S$169,MATCH($I106,'Listings'!$A$2:$A$169,0))="","",INDEX('Listings'!$S$2:$S$169,MATCH($I106,'Listings'!$A$2:$A$169,0)))</x:f>
        <x:v>&gt;1–3 mi</x:v>
      </x:c>
      <x:c r="H106" s="10" t="str">
        <x:f>IF(INDEX('Listings'!$U$2:$U$169,MATCH($I106,'Listings'!$A$2:$A$169,0))="","",INDEX('Listings'!$U$2:$U$169,MATCH($I106,'Listings'!$A$2:$A$169,0)))</x:f>
        <x:v>&gt;3–5 mi</x:v>
      </x:c>
      <x:c r="I106" s="10" t="str">
        <x:v>ocpsd8dpj6</x:v>
      </x:c>
      <x:c r="J106" s="10" t="str">
        <x:f>IF(INDEX('Listings'!$C$2:$C$169,MATCH($I106,'Listings'!$A$2:$A$169,0))="","",INDEX('Listings'!$C$2:$C$169,MATCH($I106,'Listings'!$A$2:$A$169,0)))</x:f>
        <x:v>https://offcampus.dasa.ncsu.edu/housing/property/spacious-en-suite-with-private-patio-and-garage-parking-in-crescent-ridge-townhome-community/ocpsd8dpj6</x:v>
      </x:c>
      <x:c r="K106" s="10" t="str">
        <x:f>IF(INDEX('Listings'!$AG$2:$AG$169,MATCH($I106,'Listings'!$A$2:$A$169,0))="","",INDEX('Listings'!$AG$2:$AG$169,MATCH($I106,'Listings'!$A$2:$A$169,0)))</x:f>
        <x:v>Source pricing flag retained; automated consistency checks passed. This is not independent landlord verification.</x:v>
      </x:c>
    </x:row>
    <x:row r="107" ht="36" hidden="0" customHeight="1">
      <x:c r="A107" s="10" t="str">
        <x:f>IF(INDEX('Listings'!$B$2:$B$169,MATCH($I107,'Listings'!$A$2:$A$169,0))="","",INDEX('Listings'!$B$2:$B$169,MATCH($I107,'Listings'!$A$2:$A$169,0)))</x:f>
        <x:v>Spacious Forest Park Two-Room Suite + Private Bath - Walk to Campus (Includes Utilities)</x:v>
      </x:c>
      <x:c r="B107" s="10" t="str">
        <x:f>IF(INDEX('Listings'!$E$2:$E$169,MATCH($I107,'Listings'!$A$2:$A$169,0))="","",INDEX('Listings'!$E$2:$E$169,MATCH($I107,'Listings'!$A$2:$A$169,0)))</x:f>
        <x:v>Per bedroom</x:v>
      </x:c>
      <x:c r="C107" s="11" t="n">
        <x:f>IF(INDEX('Listings'!$H$2:$H$169,MATCH($I107,'Listings'!$A$2:$A$169,0))="","",INDEX('Listings'!$H$2:$H$169,MATCH($I107,'Listings'!$A$2:$A$169,0)))</x:f>
        <x:v>1225</x:v>
      </x:c>
      <x:c r="D107" s="11" t="n">
        <x:f>IF(INDEX('Listings'!$I$2:$I$169,MATCH($I107,'Listings'!$A$2:$A$169,0))="","",INDEX('Listings'!$I$2:$I$169,MATCH($I107,'Listings'!$A$2:$A$169,0)))</x:f>
        <x:v>1225</x:v>
      </x:c>
      <x:c r="E107" s="10" t="str">
        <x:v>Kept after room/per-bedroom correction.</x:v>
      </x:c>
      <x:c r="F107" s="10" t="str">
        <x:f>IF(INDEX('Listings'!$Q$2:$Q$169,MATCH($I107,'Listings'!$A$2:$A$169,0))="","",INDEX('Listings'!$Q$2:$Q$169,MATCH($I107,'Listings'!$A$2:$A$169,0)))</x:f>
        <x:v>&gt;1–3 mi</x:v>
      </x:c>
      <x:c r="G107" s="10" t="str">
        <x:f>IF(INDEX('Listings'!$S$2:$S$169,MATCH($I107,'Listings'!$A$2:$A$169,0))="","",INDEX('Listings'!$S$2:$S$169,MATCH($I107,'Listings'!$A$2:$A$169,0)))</x:f>
        <x:v>&gt;1–3 mi</x:v>
      </x:c>
      <x:c r="H107" s="10" t="str">
        <x:f>IF(INDEX('Listings'!$U$2:$U$169,MATCH($I107,'Listings'!$A$2:$A$169,0))="","",INDEX('Listings'!$U$2:$U$169,MATCH($I107,'Listings'!$A$2:$A$169,0)))</x:f>
        <x:v>&gt;1–3 mi</x:v>
      </x:c>
      <x:c r="I107" s="10" t="str">
        <x:v>ocpgxr290w</x:v>
      </x:c>
      <x:c r="J107" s="10" t="str">
        <x:f>IF(INDEX('Listings'!$C$2:$C$169,MATCH($I107,'Listings'!$A$2:$A$169,0))="","",INDEX('Listings'!$C$2:$C$169,MATCH($I107,'Listings'!$A$2:$A$169,0)))</x:f>
        <x:v>https://offcampus.dasa.ncsu.edu/housing/property/spacious-forest-park-two-room-suite-private-bath-walk-to-campus-includes-utilities/ocpgxr290w</x:v>
      </x:c>
      <x:c r="K107" s="10" t="str">
        <x:f>IF(INDEX('Listings'!$AG$2:$AG$169,MATCH($I107,'Listings'!$A$2:$A$169,0))="","",INDEX('Listings'!$AG$2:$AG$169,MATCH($I107,'Listings'!$A$2:$A$169,0)))</x:f>
        <x:v>September 13 source describes one housemate renting a bedroom plus office and private bath, with shared common spaces. Classified as a per-person room/suite, not an entire dwelling; September 9 price retained.</x:v>
      </x:c>
    </x:row>
    <x:row r="108" ht="24" hidden="0" customHeight="1">
      <x:c r="A108" s="10" t="str">
        <x:f>IF(INDEX('Listings'!$B$2:$B$169,MATCH($I108,'Listings'!$A$2:$A$169,0))="","",INDEX('Listings'!$B$2:$B$169,MATCH($I108,'Listings'!$A$2:$A$169,0)))</x:f>
        <x:v>St. Albans Lofts in North Hills</x:v>
      </x:c>
      <x:c r="B108" s="10" t="str">
        <x:f>IF(INDEX('Listings'!$E$2:$E$169,MATCH($I108,'Listings'!$A$2:$A$169,0))="","",INDEX('Listings'!$E$2:$E$169,MATCH($I108,'Listings'!$A$2:$A$169,0)))</x:f>
        <x:v>Whole unit</x:v>
      </x:c>
      <x:c r="C108" s="11" t="n">
        <x:f>IF(INDEX('Listings'!$H$2:$H$169,MATCH($I108,'Listings'!$A$2:$A$169,0))="","",INDEX('Listings'!$H$2:$H$169,MATCH($I108,'Listings'!$A$2:$A$169,0)))</x:f>
        <x:v>1330</x:v>
      </x:c>
      <x:c r="D108" s="11" t="n">
        <x:f>IF(INDEX('Listings'!$I$2:$I$169,MATCH($I108,'Listings'!$A$2:$A$169,0))="","",INDEX('Listings'!$I$2:$I$169,MATCH($I108,'Listings'!$A$2:$A$169,0)))</x:f>
        <x:v>1330</x:v>
      </x:c>
      <x:c r="E108" s="10" t="str">
        <x:v>Usable price pair within study area.</x:v>
      </x:c>
      <x:c r="F108" s="10" t="str">
        <x:f>IF(INDEX('Listings'!$Q$2:$Q$169,MATCH($I108,'Listings'!$A$2:$A$169,0))="","",INDEX('Listings'!$Q$2:$Q$169,MATCH($I108,'Listings'!$A$2:$A$169,0)))</x:f>
        <x:v>&gt;3–5 mi</x:v>
      </x:c>
      <x:c r="G108" s="10" t="str">
        <x:f>IF(INDEX('Listings'!$S$2:$S$169,MATCH($I108,'Listings'!$A$2:$A$169,0))="","",INDEX('Listings'!$S$2:$S$169,MATCH($I108,'Listings'!$A$2:$A$169,0)))</x:f>
        <x:v>Outside 5 mi</x:v>
      </x:c>
      <x:c r="H108" s="10" t="str">
        <x:f>IF(INDEX('Listings'!$U$2:$U$169,MATCH($I108,'Listings'!$A$2:$A$169,0))="","",INDEX('Listings'!$U$2:$U$169,MATCH($I108,'Listings'!$A$2:$A$169,0)))</x:f>
        <x:v>&gt;3–5 mi</x:v>
      </x:c>
      <x:c r="I108" s="10" t="str">
        <x:v>ocpmf8tflk</x:v>
      </x:c>
      <x:c r="J108" s="10" t="str">
        <x:f>IF(INDEX('Listings'!$C$2:$C$169,MATCH($I108,'Listings'!$A$2:$A$169,0))="","",INDEX('Listings'!$C$2:$C$169,MATCH($I108,'Listings'!$A$2:$A$169,0)))</x:f>
        <x:v>https://offcampus.dasa.ncsu.edu/housing/property/st-albans-lofts-in-north-hills/ocpmf8tflk</x:v>
      </x:c>
      <x:c r="K108" s="10" t="str">
        <x:f>IF(INDEX('Listings'!$AG$2:$AG$169,MATCH($I108,'Listings'!$A$2:$A$169,0))="","",INDEX('Listings'!$AG$2:$AG$169,MATCH($I108,'Listings'!$A$2:$A$169,0)))</x:f>
        <x:v>Source pricing flag retained; automated consistency checks passed. This is not independent landlord verification.</x:v>
      </x:c>
    </x:row>
    <x:row r="109" ht="24" hidden="0" customHeight="1">
      <x:c r="A109" s="10" t="str">
        <x:f>IF(INDEX('Listings'!$B$2:$B$169,MATCH($I109,'Listings'!$A$2:$A$169,0))="","",INDEX('Listings'!$B$2:$B$169,MATCH($I109,'Listings'!$A$2:$A$169,0)))</x:f>
        <x:v>Stanhope Student Apartments</x:v>
      </x:c>
      <x:c r="B109" s="10" t="str">
        <x:f>IF(INDEX('Listings'!$E$2:$E$169,MATCH($I109,'Listings'!$A$2:$A$169,0))="","",INDEX('Listings'!$E$2:$E$169,MATCH($I109,'Listings'!$A$2:$A$169,0)))</x:f>
        <x:v>Per bedroom</x:v>
      </x:c>
      <x:c r="C109" s="11" t="n">
        <x:f>IF(INDEX('Listings'!$H$2:$H$169,MATCH($I109,'Listings'!$A$2:$A$169,0))="","",INDEX('Listings'!$H$2:$H$169,MATCH($I109,'Listings'!$A$2:$A$169,0)))</x:f>
        <x:v>1300</x:v>
      </x:c>
      <x:c r="D109" s="11" t="n">
        <x:f>IF(INDEX('Listings'!$I$2:$I$169,MATCH($I109,'Listings'!$A$2:$A$169,0))="","",INDEX('Listings'!$I$2:$I$169,MATCH($I109,'Listings'!$A$2:$A$169,0)))</x:f>
        <x:v>1300</x:v>
      </x:c>
      <x:c r="E109" s="10" t="str">
        <x:v>Usable price pair within study area.</x:v>
      </x:c>
      <x:c r="F109" s="10" t="str">
        <x:f>IF(INDEX('Listings'!$Q$2:$Q$169,MATCH($I109,'Listings'!$A$2:$A$169,0))="","",INDEX('Listings'!$Q$2:$Q$169,MATCH($I109,'Listings'!$A$2:$A$169,0)))</x:f>
        <x:v>0–1 mi</x:v>
      </x:c>
      <x:c r="G109" s="10" t="str">
        <x:f>IF(INDEX('Listings'!$S$2:$S$169,MATCH($I109,'Listings'!$A$2:$A$169,0))="","",INDEX('Listings'!$S$2:$S$169,MATCH($I109,'Listings'!$A$2:$A$169,0)))</x:f>
        <x:v>&gt;1–3 mi</x:v>
      </x:c>
      <x:c r="H109" s="10" t="str">
        <x:f>IF(INDEX('Listings'!$U$2:$U$169,MATCH($I109,'Listings'!$A$2:$A$169,0))="","",INDEX('Listings'!$U$2:$U$169,MATCH($I109,'Listings'!$A$2:$A$169,0)))</x:f>
        <x:v>&gt;1–3 mi</x:v>
      </x:c>
      <x:c r="I109" s="10" t="str">
        <x:v>ocpk5yz73b</x:v>
      </x:c>
      <x:c r="J109" s="10" t="str">
        <x:f>IF(INDEX('Listings'!$C$2:$C$169,MATCH($I109,'Listings'!$A$2:$A$169,0))="","",INDEX('Listings'!$C$2:$C$169,MATCH($I109,'Listings'!$A$2:$A$169,0)))</x:f>
        <x:v>https://offcampus.dasa.ncsu.edu/housing/property/stanhope-student-apartments/ocpk5yz73b</x:v>
      </x:c>
      <x:c r="K109" s="10" t="str">
        <x:f>IF(INDEX('Listings'!$AG$2:$AG$169,MATCH($I109,'Listings'!$A$2:$A$169,0))="","",INDEX('Listings'!$AG$2:$AG$169,MATCH($I109,'Listings'!$A$2:$A$169,0)))</x:f>
        <x:v>Source pricing flag retained; automated consistency checks passed. This is not independent landlord verification.</x:v>
      </x:c>
    </x:row>
    <x:row r="110" ht="36" hidden="0" customHeight="1">
      <x:c r="A110" s="10" t="str">
        <x:f>IF(INDEX('Listings'!$B$2:$B$169,MATCH($I110,'Listings'!$A$2:$A$169,0))="","",INDEX('Listings'!$B$2:$B$169,MATCH($I110,'Listings'!$A$2:$A$169,0)))</x:f>
        <x:v>Studio, One and Two Bedrooms at Westgrove Towers</x:v>
      </x:c>
      <x:c r="B110" s="10" t="str">
        <x:f>IF(INDEX('Listings'!$E$2:$E$169,MATCH($I110,'Listings'!$A$2:$A$169,0))="","",INDEX('Listings'!$E$2:$E$169,MATCH($I110,'Listings'!$A$2:$A$169,0)))</x:f>
        <x:v>Whole unit</x:v>
      </x:c>
      <x:c r="C110" s="11" t="n">
        <x:f>IF(INDEX('Listings'!$H$2:$H$169,MATCH($I110,'Listings'!$A$2:$A$169,0))="","",INDEX('Listings'!$H$2:$H$169,MATCH($I110,'Listings'!$A$2:$A$169,0)))</x:f>
        <x:v>805</x:v>
      </x:c>
      <x:c r="D110" s="11" t="n">
        <x:f>IF(INDEX('Listings'!$I$2:$I$169,MATCH($I110,'Listings'!$A$2:$A$169,0))="","",INDEX('Listings'!$I$2:$I$169,MATCH($I110,'Listings'!$A$2:$A$169,0)))</x:f>
        <x:v>1050</x:v>
      </x:c>
      <x:c r="E110" s="10" t="str">
        <x:v>Usable price pair within study area.</x:v>
      </x:c>
      <x:c r="F110" s="10" t="str">
        <x:f>IF(INDEX('Listings'!$Q$2:$Q$169,MATCH($I110,'Listings'!$A$2:$A$169,0))="","",INDEX('Listings'!$Q$2:$Q$169,MATCH($I110,'Listings'!$A$2:$A$169,0)))</x:f>
        <x:v>&gt;1–3 mi</x:v>
      </x:c>
      <x:c r="G110" s="10" t="str">
        <x:f>IF(INDEX('Listings'!$S$2:$S$169,MATCH($I110,'Listings'!$A$2:$A$169,0))="","",INDEX('Listings'!$S$2:$S$169,MATCH($I110,'Listings'!$A$2:$A$169,0)))</x:f>
        <x:v>&gt;1–3 mi</x:v>
      </x:c>
      <x:c r="H110" s="10" t="str">
        <x:f>IF(INDEX('Listings'!$U$2:$U$169,MATCH($I110,'Listings'!$A$2:$A$169,0))="","",INDEX('Listings'!$U$2:$U$169,MATCH($I110,'Listings'!$A$2:$A$169,0)))</x:f>
        <x:v>0–1 mi</x:v>
      </x:c>
      <x:c r="I110" s="10" t="str">
        <x:v>ocp9blcpd7</x:v>
      </x:c>
      <x:c r="J110" s="10" t="str">
        <x:f>IF(INDEX('Listings'!$C$2:$C$169,MATCH($I110,'Listings'!$A$2:$A$169,0))="","",INDEX('Listings'!$C$2:$C$169,MATCH($I110,'Listings'!$A$2:$A$169,0)))</x:f>
        <x:v>https://offcampus.dasa.ncsu.edu/housing/property/studio-one-and-two-bedrooms-at-westgrove-towers/ocp9blcpd7</x:v>
      </x:c>
      <x:c r="K110" s="10" t="str">
        <x:f>IF(INDEX('Listings'!$AG$2:$AG$169,MATCH($I110,'Listings'!$A$2:$A$169,0))="","",INDEX('Listings'!$AG$2:$AG$169,MATCH($I110,'Listings'!$A$2:$A$169,0)))</x:f>
        <x:v>Source pricing flag retained; automated consistency checks passed. This is not independent landlord verification.</x:v>
      </x:c>
    </x:row>
    <x:row r="111" ht="36" hidden="0" customHeight="1">
      <x:c r="A111" s="10" t="str">
        <x:f>IF(INDEX('Listings'!$B$2:$B$169,MATCH($I111,'Listings'!$A$2:$A$169,0))="","",INDEX('Listings'!$B$2:$B$169,MATCH($I111,'Listings'!$A$2:$A$169,0)))</x:f>
        <x:v>Stylish Studio Condo on NC State University Campus</x:v>
      </x:c>
      <x:c r="B111" s="10" t="str">
        <x:f>IF(INDEX('Listings'!$E$2:$E$169,MATCH($I111,'Listings'!$A$2:$A$169,0))="","",INDEX('Listings'!$E$2:$E$169,MATCH($I111,'Listings'!$A$2:$A$169,0)))</x:f>
        <x:v>Whole unit</x:v>
      </x:c>
      <x:c r="C111" s="11" t="n">
        <x:f>IF(INDEX('Listings'!$H$2:$H$169,MATCH($I111,'Listings'!$A$2:$A$169,0))="","",INDEX('Listings'!$H$2:$H$169,MATCH($I111,'Listings'!$A$2:$A$169,0)))</x:f>
        <x:v>1630</x:v>
      </x:c>
      <x:c r="D111" s="11" t="n">
        <x:f>IF(INDEX('Listings'!$I$2:$I$169,MATCH($I111,'Listings'!$A$2:$A$169,0))="","",INDEX('Listings'!$I$2:$I$169,MATCH($I111,'Listings'!$A$2:$A$169,0)))</x:f>
        <x:v>1630</x:v>
      </x:c>
      <x:c r="E111" s="10" t="str">
        <x:v>Usable price pair within study area.</x:v>
      </x:c>
      <x:c r="F111" s="10" t="str">
        <x:f>IF(INDEX('Listings'!$Q$2:$Q$169,MATCH($I111,'Listings'!$A$2:$A$169,0))="","",INDEX('Listings'!$Q$2:$Q$169,MATCH($I111,'Listings'!$A$2:$A$169,0)))</x:f>
        <x:v>0–1 mi</x:v>
      </x:c>
      <x:c r="G111" s="10" t="str">
        <x:f>IF(INDEX('Listings'!$S$2:$S$169,MATCH($I111,'Listings'!$A$2:$A$169,0))="","",INDEX('Listings'!$S$2:$S$169,MATCH($I111,'Listings'!$A$2:$A$169,0)))</x:f>
        <x:v>0–1 mi</x:v>
      </x:c>
      <x:c r="H111" s="10" t="str">
        <x:f>IF(INDEX('Listings'!$U$2:$U$169,MATCH($I111,'Listings'!$A$2:$A$169,0))="","",INDEX('Listings'!$U$2:$U$169,MATCH($I111,'Listings'!$A$2:$A$169,0)))</x:f>
        <x:v>&gt;1–3 mi</x:v>
      </x:c>
      <x:c r="I111" s="10" t="str">
        <x:v>ocp9g1mkz6</x:v>
      </x:c>
      <x:c r="J111" s="10" t="str">
        <x:f>IF(INDEX('Listings'!$C$2:$C$169,MATCH($I111,'Listings'!$A$2:$A$169,0))="","",INDEX('Listings'!$C$2:$C$169,MATCH($I111,'Listings'!$A$2:$A$169,0)))</x:f>
        <x:v>https://offcampus.dasa.ncsu.edu/housing/property/stylish-studio-condo-on-nc-state-university-campus/ocp9g1mkz6</x:v>
      </x:c>
      <x:c r="K111" s="10" t="str">
        <x:f>IF(INDEX('Listings'!$AG$2:$AG$169,MATCH($I111,'Listings'!$A$2:$A$169,0))="","",INDEX('Listings'!$AG$2:$AG$169,MATCH($I111,'Listings'!$A$2:$A$169,0)))</x:f>
        <x:v>Source pricing flag retained; automated consistency checks passed. This is not independent landlord verification.</x:v>
      </x:c>
    </x:row>
    <x:row r="112" ht="24" hidden="0" customHeight="1">
      <x:c r="A112" s="10" t="str">
        <x:f>IF(INDEX('Listings'!$B$2:$B$169,MATCH($I112,'Listings'!$A$2:$A$169,0))="","",INDEX('Listings'!$B$2:$B$169,MATCH($I112,'Listings'!$A$2:$A$169,0)))</x:f>
        <x:v>The Hub Raleigh</x:v>
      </x:c>
      <x:c r="B112" s="10" t="str">
        <x:f>IF(INDEX('Listings'!$E$2:$E$169,MATCH($I112,'Listings'!$A$2:$A$169,0))="","",INDEX('Listings'!$E$2:$E$169,MATCH($I112,'Listings'!$A$2:$A$169,0)))</x:f>
        <x:v>Whole unit</x:v>
      </x:c>
      <x:c r="C112" s="11" t="n">
        <x:f>IF(INDEX('Listings'!$H$2:$H$169,MATCH($I112,'Listings'!$A$2:$A$169,0))="","",INDEX('Listings'!$H$2:$H$169,MATCH($I112,'Listings'!$A$2:$A$169,0)))</x:f>
        <x:v>1500</x:v>
      </x:c>
      <x:c r="D112" s="11" t="n">
        <x:f>IF(INDEX('Listings'!$I$2:$I$169,MATCH($I112,'Listings'!$A$2:$A$169,0))="","",INDEX('Listings'!$I$2:$I$169,MATCH($I112,'Listings'!$A$2:$A$169,0)))</x:f>
        <x:v>1500</x:v>
      </x:c>
      <x:c r="E112" s="10" t="str">
        <x:v>Usable price pair within study area.</x:v>
      </x:c>
      <x:c r="F112" s="10" t="str">
        <x:f>IF(INDEX('Listings'!$Q$2:$Q$169,MATCH($I112,'Listings'!$A$2:$A$169,0))="","",INDEX('Listings'!$Q$2:$Q$169,MATCH($I112,'Listings'!$A$2:$A$169,0)))</x:f>
        <x:v>&gt;1–3 mi</x:v>
      </x:c>
      <x:c r="G112" s="10" t="str">
        <x:f>IF(INDEX('Listings'!$S$2:$S$169,MATCH($I112,'Listings'!$A$2:$A$169,0))="","",INDEX('Listings'!$S$2:$S$169,MATCH($I112,'Listings'!$A$2:$A$169,0)))</x:f>
        <x:v>&gt;1–3 mi</x:v>
      </x:c>
      <x:c r="H112" s="10" t="str">
        <x:f>IF(INDEX('Listings'!$U$2:$U$169,MATCH($I112,'Listings'!$A$2:$A$169,0))="","",INDEX('Listings'!$U$2:$U$169,MATCH($I112,'Listings'!$A$2:$A$169,0)))</x:f>
        <x:v>&gt;1–3 mi</x:v>
      </x:c>
      <x:c r="I112" s="10" t="str">
        <x:v>ocpkrnvkk8</x:v>
      </x:c>
      <x:c r="J112" s="10" t="str">
        <x:f>IF(INDEX('Listings'!$C$2:$C$169,MATCH($I112,'Listings'!$A$2:$A$169,0))="","",INDEX('Listings'!$C$2:$C$169,MATCH($I112,'Listings'!$A$2:$A$169,0)))</x:f>
        <x:v>https://offcampus.dasa.ncsu.edu/housing/property/the-hub-raleigh/ocpkrnvkk8</x:v>
      </x:c>
      <x:c r="K112" s="10" t="str">
        <x:f>IF(INDEX('Listings'!$AG$2:$AG$169,MATCH($I112,'Listings'!$A$2:$A$169,0))="","",INDEX('Listings'!$AG$2:$AG$169,MATCH($I112,'Listings'!$A$2:$A$169,0)))</x:f>
        <x:v>Source pricing flag retained; automated consistency checks passed. This is not independent landlord verification.</x:v>
      </x:c>
    </x:row>
    <x:row r="113" ht="24" hidden="0" customHeight="1">
      <x:c r="A113" s="10" t="str">
        <x:f>IF(INDEX('Listings'!$B$2:$B$169,MATCH($I113,'Listings'!$A$2:$A$169,0))="","",INDEX('Listings'!$B$2:$B$169,MATCH($I113,'Listings'!$A$2:$A$169,0)))</x:f>
        <x:v>The Station</x:v>
      </x:c>
      <x:c r="B113" s="10" t="str">
        <x:f>IF(INDEX('Listings'!$E$2:$E$169,MATCH($I113,'Listings'!$A$2:$A$169,0))="","",INDEX('Listings'!$E$2:$E$169,MATCH($I113,'Listings'!$A$2:$A$169,0)))</x:f>
        <x:v>Per bedroom</x:v>
      </x:c>
      <x:c r="C113" s="11" t="n">
        <x:f>IF(INDEX('Listings'!$H$2:$H$169,MATCH($I113,'Listings'!$A$2:$A$169,0))="","",INDEX('Listings'!$H$2:$H$169,MATCH($I113,'Listings'!$A$2:$A$169,0)))</x:f>
        <x:v>969</x:v>
      </x:c>
      <x:c r="D113" s="11" t="n">
        <x:f>IF(INDEX('Listings'!$I$2:$I$169,MATCH($I113,'Listings'!$A$2:$A$169,0))="","",INDEX('Listings'!$I$2:$I$169,MATCH($I113,'Listings'!$A$2:$A$169,0)))</x:f>
        <x:v>969</x:v>
      </x:c>
      <x:c r="E113" s="10" t="str">
        <x:v>Usable price pair within study area.</x:v>
      </x:c>
      <x:c r="F113" s="10" t="str">
        <x:f>IF(INDEX('Listings'!$Q$2:$Q$169,MATCH($I113,'Listings'!$A$2:$A$169,0))="","",INDEX('Listings'!$Q$2:$Q$169,MATCH($I113,'Listings'!$A$2:$A$169,0)))</x:f>
        <x:v>&gt;1–3 mi</x:v>
      </x:c>
      <x:c r="G113" s="10" t="str">
        <x:f>IF(INDEX('Listings'!$S$2:$S$169,MATCH($I113,'Listings'!$A$2:$A$169,0))="","",INDEX('Listings'!$S$2:$S$169,MATCH($I113,'Listings'!$A$2:$A$169,0)))</x:f>
        <x:v>&gt;1–3 mi</x:v>
      </x:c>
      <x:c r="H113" s="10" t="str">
        <x:f>IF(INDEX('Listings'!$U$2:$U$169,MATCH($I113,'Listings'!$A$2:$A$169,0))="","",INDEX('Listings'!$U$2:$U$169,MATCH($I113,'Listings'!$A$2:$A$169,0)))</x:f>
        <x:v>0–1 mi</x:v>
      </x:c>
      <x:c r="I113" s="10" t="str">
        <x:v>ocp2gxtxqc</x:v>
      </x:c>
      <x:c r="J113" s="10" t="str">
        <x:f>IF(INDEX('Listings'!$C$2:$C$169,MATCH($I113,'Listings'!$A$2:$A$169,0))="","",INDEX('Listings'!$C$2:$C$169,MATCH($I113,'Listings'!$A$2:$A$169,0)))</x:f>
        <x:v>https://offcampus.dasa.ncsu.edu/housing/property/the-station/ocp2gxtxqc</x:v>
      </x:c>
      <x:c r="K113" s="10" t="str">
        <x:f>IF(INDEX('Listings'!$AG$2:$AG$169,MATCH($I113,'Listings'!$A$2:$A$169,0))="","",INDEX('Listings'!$AG$2:$AG$169,MATCH($I113,'Listings'!$A$2:$A$169,0)))</x:f>
        <x:v>Source pricing flag retained; automated consistency checks passed. This is not independent landlord verification.</x:v>
      </x:c>
    </x:row>
    <x:row r="114" ht="24" hidden="0" customHeight="1">
      <x:c r="A114" s="10" t="str">
        <x:f>IF(INDEX('Listings'!$B$2:$B$169,MATCH($I114,'Listings'!$A$2:$A$169,0))="","",INDEX('Listings'!$B$2:$B$169,MATCH($I114,'Listings'!$A$2:$A$169,0)))</x:f>
        <x:v>The Station Raleigh</x:v>
      </x:c>
      <x:c r="B114" s="10" t="str">
        <x:f>IF(INDEX('Listings'!$E$2:$E$169,MATCH($I114,'Listings'!$A$2:$A$169,0))="","",INDEX('Listings'!$E$2:$E$169,MATCH($I114,'Listings'!$A$2:$A$169,0)))</x:f>
        <x:v>Per bedroom</x:v>
      </x:c>
      <x:c r="C114" s="11" t="n">
        <x:f>IF(INDEX('Listings'!$H$2:$H$169,MATCH($I114,'Listings'!$A$2:$A$169,0))="","",INDEX('Listings'!$H$2:$H$169,MATCH($I114,'Listings'!$A$2:$A$169,0)))</x:f>
        <x:v>749</x:v>
      </x:c>
      <x:c r="D114" s="11" t="n">
        <x:f>IF(INDEX('Listings'!$I$2:$I$169,MATCH($I114,'Listings'!$A$2:$A$169,0))="","",INDEX('Listings'!$I$2:$I$169,MATCH($I114,'Listings'!$A$2:$A$169,0)))</x:f>
        <x:v>1930</x:v>
      </x:c>
      <x:c r="E114" s="10" t="str">
        <x:v>Usable price pair within study area.</x:v>
      </x:c>
      <x:c r="F114" s="10" t="str">
        <x:f>IF(INDEX('Listings'!$Q$2:$Q$169,MATCH($I114,'Listings'!$A$2:$A$169,0))="","",INDEX('Listings'!$Q$2:$Q$169,MATCH($I114,'Listings'!$A$2:$A$169,0)))</x:f>
        <x:v>&gt;1–3 mi</x:v>
      </x:c>
      <x:c r="G114" s="10" t="str">
        <x:f>IF(INDEX('Listings'!$S$2:$S$169,MATCH($I114,'Listings'!$A$2:$A$169,0))="","",INDEX('Listings'!$S$2:$S$169,MATCH($I114,'Listings'!$A$2:$A$169,0)))</x:f>
        <x:v>&gt;1–3 mi</x:v>
      </x:c>
      <x:c r="H114" s="10" t="str">
        <x:f>IF(INDEX('Listings'!$U$2:$U$169,MATCH($I114,'Listings'!$A$2:$A$169,0))="","",INDEX('Listings'!$U$2:$U$169,MATCH($I114,'Listings'!$A$2:$A$169,0)))</x:f>
        <x:v>0–1 mi</x:v>
      </x:c>
      <x:c r="I114" s="10" t="str">
        <x:v>5hme2mn</x:v>
      </x:c>
      <x:c r="J114" s="10" t="str">
        <x:f>IF(INDEX('Listings'!$C$2:$C$169,MATCH($I114,'Listings'!$A$2:$A$169,0))="","",INDEX('Listings'!$C$2:$C$169,MATCH($I114,'Listings'!$A$2:$A$169,0)))</x:f>
        <x:v>https://offcampus.dasa.ncsu.edu/housing/property/the-station-raleigh/5hme2mn</x:v>
      </x:c>
      <x:c r="K114" s="10" t="str">
        <x:f>IF(INDEX('Listings'!$AG$2:$AG$169,MATCH($I114,'Listings'!$A$2:$A$169,0))="","",INDEX('Listings'!$AG$2:$AG$169,MATCH($I114,'Listings'!$A$2:$A$169,0)))</x:f>
        <x:v>Source pricing flag retained; automated consistency checks passed. This is not independent landlord verification.</x:v>
      </x:c>
    </x:row>
    <x:row r="115" ht="24" hidden="0" customHeight="1">
      <x:c r="A115" s="10" t="str">
        <x:f>IF(INDEX('Listings'!$B$2:$B$169,MATCH($I115,'Listings'!$A$2:$A$169,0))="","",INDEX('Listings'!$B$2:$B$169,MATCH($I115,'Listings'!$A$2:$A$169,0)))</x:f>
        <x:v>The Wilde</x:v>
      </x:c>
      <x:c r="B115" s="10" t="str">
        <x:f>IF(INDEX('Listings'!$E$2:$E$169,MATCH($I115,'Listings'!$A$2:$A$169,0))="","",INDEX('Listings'!$E$2:$E$169,MATCH($I115,'Listings'!$A$2:$A$169,0)))</x:f>
        <x:v>Per bedroom</x:v>
      </x:c>
      <x:c r="C115" s="11" t="n">
        <x:f>IF(INDEX('Listings'!$H$2:$H$169,MATCH($I115,'Listings'!$A$2:$A$169,0))="","",INDEX('Listings'!$H$2:$H$169,MATCH($I115,'Listings'!$A$2:$A$169,0)))</x:f>
        <x:v>599</x:v>
      </x:c>
      <x:c r="D115" s="11" t="n">
        <x:f>IF(INDEX('Listings'!$I$2:$I$169,MATCH($I115,'Listings'!$A$2:$A$169,0))="","",INDEX('Listings'!$I$2:$I$169,MATCH($I115,'Listings'!$A$2:$A$169,0)))</x:f>
        <x:v>920</x:v>
      </x:c>
      <x:c r="E115" s="10" t="str">
        <x:v>Usable price pair within study area.</x:v>
      </x:c>
      <x:c r="F115" s="10" t="str">
        <x:f>IF(INDEX('Listings'!$Q$2:$Q$169,MATCH($I115,'Listings'!$A$2:$A$169,0))="","",INDEX('Listings'!$Q$2:$Q$169,MATCH($I115,'Listings'!$A$2:$A$169,0)))</x:f>
        <x:v>&gt;1–3 mi</x:v>
      </x:c>
      <x:c r="G115" s="10" t="str">
        <x:f>IF(INDEX('Listings'!$S$2:$S$169,MATCH($I115,'Listings'!$A$2:$A$169,0))="","",INDEX('Listings'!$S$2:$S$169,MATCH($I115,'Listings'!$A$2:$A$169,0)))</x:f>
        <x:v>&gt;1–3 mi</x:v>
      </x:c>
      <x:c r="H115" s="10" t="str">
        <x:f>IF(INDEX('Listings'!$U$2:$U$169,MATCH($I115,'Listings'!$A$2:$A$169,0))="","",INDEX('Listings'!$U$2:$U$169,MATCH($I115,'Listings'!$A$2:$A$169,0)))</x:f>
        <x:v>&gt;3–5 mi</x:v>
      </x:c>
      <x:c r="I115" s="10" t="str">
        <x:v>syvz9l4</x:v>
      </x:c>
      <x:c r="J115" s="10" t="str">
        <x:f>IF(INDEX('Listings'!$C$2:$C$169,MATCH($I115,'Listings'!$A$2:$A$169,0))="","",INDEX('Listings'!$C$2:$C$169,MATCH($I115,'Listings'!$A$2:$A$169,0)))</x:f>
        <x:v>https://offcampus.dasa.ncsu.edu/housing/property/the-wilde/syvz9l4</x:v>
      </x:c>
      <x:c r="K115" s="10" t="str">
        <x:f>IF(INDEX('Listings'!$AG$2:$AG$169,MATCH($I115,'Listings'!$A$2:$A$169,0))="","",INDEX('Listings'!$AG$2:$AG$169,MATCH($I115,'Listings'!$A$2:$A$169,0)))</x:f>
        <x:v>Source pricing flag retained; automated consistency checks passed. This is not independent landlord verification.</x:v>
      </x:c>
    </x:row>
    <x:row r="116" ht="24" hidden="0" customHeight="1">
      <x:c r="A116" s="10" t="str">
        <x:f>IF(INDEX('Listings'!$B$2:$B$169,MATCH($I116,'Listings'!$A$2:$A$169,0))="","",INDEX('Listings'!$B$2:$B$169,MATCH($I116,'Listings'!$A$2:$A$169,0)))</x:f>
        <x:v>The Wilde</x:v>
      </x:c>
      <x:c r="B116" s="10" t="str">
        <x:f>IF(INDEX('Listings'!$E$2:$E$169,MATCH($I116,'Listings'!$A$2:$A$169,0))="","",INDEX('Listings'!$E$2:$E$169,MATCH($I116,'Listings'!$A$2:$A$169,0)))</x:f>
        <x:v>Per bedroom</x:v>
      </x:c>
      <x:c r="C116" s="11" t="n">
        <x:f>IF(INDEX('Listings'!$H$2:$H$169,MATCH($I116,'Listings'!$A$2:$A$169,0))="","",INDEX('Listings'!$H$2:$H$169,MATCH($I116,'Listings'!$A$2:$A$169,0)))</x:f>
        <x:v>860</x:v>
      </x:c>
      <x:c r="D116" s="11" t="n">
        <x:f>IF(INDEX('Listings'!$I$2:$I$169,MATCH($I116,'Listings'!$A$2:$A$169,0))="","",INDEX('Listings'!$I$2:$I$169,MATCH($I116,'Listings'!$A$2:$A$169,0)))</x:f>
        <x:v>860</x:v>
      </x:c>
      <x:c r="E116" s="10" t="str">
        <x:v>Usable price pair within study area.</x:v>
      </x:c>
      <x:c r="F116" s="10" t="str">
        <x:f>IF(INDEX('Listings'!$Q$2:$Q$169,MATCH($I116,'Listings'!$A$2:$A$169,0))="","",INDEX('Listings'!$Q$2:$Q$169,MATCH($I116,'Listings'!$A$2:$A$169,0)))</x:f>
        <x:v>&gt;1–3 mi</x:v>
      </x:c>
      <x:c r="G116" s="10" t="str">
        <x:f>IF(INDEX('Listings'!$S$2:$S$169,MATCH($I116,'Listings'!$A$2:$A$169,0))="","",INDEX('Listings'!$S$2:$S$169,MATCH($I116,'Listings'!$A$2:$A$169,0)))</x:f>
        <x:v>&gt;1–3 mi</x:v>
      </x:c>
      <x:c r="H116" s="10" t="str">
        <x:f>IF(INDEX('Listings'!$U$2:$U$169,MATCH($I116,'Listings'!$A$2:$A$169,0))="","",INDEX('Listings'!$U$2:$U$169,MATCH($I116,'Listings'!$A$2:$A$169,0)))</x:f>
        <x:v>&gt;3–5 mi</x:v>
      </x:c>
      <x:c r="I116" s="10" t="str">
        <x:v>ocp67ldb5s</x:v>
      </x:c>
      <x:c r="J116" s="10" t="str">
        <x:f>IF(INDEX('Listings'!$C$2:$C$169,MATCH($I116,'Listings'!$A$2:$A$169,0))="","",INDEX('Listings'!$C$2:$C$169,MATCH($I116,'Listings'!$A$2:$A$169,0)))</x:f>
        <x:v>https://offcampus.dasa.ncsu.edu/housing/property/the-wilde/ocp67ldb5s</x:v>
      </x:c>
      <x:c r="K116" s="10" t="str">
        <x:f>IF(INDEX('Listings'!$AG$2:$AG$169,MATCH($I116,'Listings'!$A$2:$A$169,0))="","",INDEX('Listings'!$AG$2:$AG$169,MATCH($I116,'Listings'!$A$2:$A$169,0)))</x:f>
        <x:v>Source pricing flag retained; automated consistency checks passed. This is not independent landlord verification.</x:v>
      </x:c>
    </x:row>
    <x:row r="117" ht="24" hidden="0" customHeight="1">
      <x:c r="A117" s="10" t="str">
        <x:f>IF(INDEX('Listings'!$B$2:$B$169,MATCH($I117,'Listings'!$A$2:$A$169,0))="","",INDEX('Listings'!$B$2:$B$169,MATCH($I117,'Listings'!$A$2:$A$169,0)))</x:f>
        <x:v>Tryon Flats Apartments</x:v>
      </x:c>
      <x:c r="B117" s="10" t="str">
        <x:f>IF(INDEX('Listings'!$E$2:$E$169,MATCH($I117,'Listings'!$A$2:$A$169,0))="","",INDEX('Listings'!$E$2:$E$169,MATCH($I117,'Listings'!$A$2:$A$169,0)))</x:f>
        <x:v>Per bedroom</x:v>
      </x:c>
      <x:c r="C117" s="11" t="n">
        <x:f>IF(INDEX('Listings'!$H$2:$H$169,MATCH($I117,'Listings'!$A$2:$A$169,0))="","",INDEX('Listings'!$H$2:$H$169,MATCH($I117,'Listings'!$A$2:$A$169,0)))</x:f>
        <x:v>750</x:v>
      </x:c>
      <x:c r="D117" s="11" t="n">
        <x:f>IF(INDEX('Listings'!$I$2:$I$169,MATCH($I117,'Listings'!$A$2:$A$169,0))="","",INDEX('Listings'!$I$2:$I$169,MATCH($I117,'Listings'!$A$2:$A$169,0)))</x:f>
        <x:v>750</x:v>
      </x:c>
      <x:c r="E117" s="10" t="str">
        <x:v>Usable price pair within study area.</x:v>
      </x:c>
      <x:c r="F117" s="10" t="str">
        <x:f>IF(INDEX('Listings'!$Q$2:$Q$169,MATCH($I117,'Listings'!$A$2:$A$169,0))="","",INDEX('Listings'!$Q$2:$Q$169,MATCH($I117,'Listings'!$A$2:$A$169,0)))</x:f>
        <x:v>&gt;1–3 mi</x:v>
      </x:c>
      <x:c r="G117" s="10" t="str">
        <x:f>IF(INDEX('Listings'!$S$2:$S$169,MATCH($I117,'Listings'!$A$2:$A$169,0))="","",INDEX('Listings'!$S$2:$S$169,MATCH($I117,'Listings'!$A$2:$A$169,0)))</x:f>
        <x:v>&gt;1–3 mi</x:v>
      </x:c>
      <x:c r="H117" s="10" t="str">
        <x:f>IF(INDEX('Listings'!$U$2:$U$169,MATCH($I117,'Listings'!$A$2:$A$169,0))="","",INDEX('Listings'!$U$2:$U$169,MATCH($I117,'Listings'!$A$2:$A$169,0)))</x:f>
        <x:v>&gt;3–5 mi</x:v>
      </x:c>
      <x:c r="I117" s="10" t="str">
        <x:v>xcp87fm</x:v>
      </x:c>
      <x:c r="J117" s="10" t="str">
        <x:f>IF(INDEX('Listings'!$C$2:$C$169,MATCH($I117,'Listings'!$A$2:$A$169,0))="","",INDEX('Listings'!$C$2:$C$169,MATCH($I117,'Listings'!$A$2:$A$169,0)))</x:f>
        <x:v>https://offcampus.dasa.ncsu.edu/housing/property/tryon-flats-apartments/xcp87fm</x:v>
      </x:c>
      <x:c r="K117" s="10" t="str">
        <x:f>IF(INDEX('Listings'!$AG$2:$AG$169,MATCH($I117,'Listings'!$A$2:$A$169,0))="","",INDEX('Listings'!$AG$2:$AG$169,MATCH($I117,'Listings'!$A$2:$A$169,0)))</x:f>
        <x:v>Source pricing flag retained; automated consistency checks passed. This is not independent landlord verification.</x:v>
      </x:c>
    </x:row>
    <x:row r="118" ht="24" hidden="0" customHeight="1">
      <x:c r="A118" s="10" t="str">
        <x:f>IF(INDEX('Listings'!$B$2:$B$169,MATCH($I118,'Listings'!$A$2:$A$169,0))="","",INDEX('Listings'!$B$2:$B$169,MATCH($I118,'Listings'!$A$2:$A$169,0)))</x:f>
        <x:v>TWO BEDROOM TOWNHOUSE IN EXCELLENT CONDITION</x:v>
      </x:c>
      <x:c r="B118" s="10" t="str">
        <x:f>IF(INDEX('Listings'!$E$2:$E$169,MATCH($I118,'Listings'!$A$2:$A$169,0))="","",INDEX('Listings'!$E$2:$E$169,MATCH($I118,'Listings'!$A$2:$A$169,0)))</x:f>
        <x:v>Whole unit</x:v>
      </x:c>
      <x:c r="C118" s="11" t="n">
        <x:f>IF(INDEX('Listings'!$H$2:$H$169,MATCH($I118,'Listings'!$A$2:$A$169,0))="","",INDEX('Listings'!$H$2:$H$169,MATCH($I118,'Listings'!$A$2:$A$169,0)))</x:f>
        <x:v>1550</x:v>
      </x:c>
      <x:c r="D118" s="11" t="n">
        <x:f>IF(INDEX('Listings'!$I$2:$I$169,MATCH($I118,'Listings'!$A$2:$A$169,0))="","",INDEX('Listings'!$I$2:$I$169,MATCH($I118,'Listings'!$A$2:$A$169,0)))</x:f>
        <x:v>1550</x:v>
      </x:c>
      <x:c r="E118" s="10" t="str">
        <x:v>Usable price pair within study area.</x:v>
      </x:c>
      <x:c r="F118" s="10" t="str">
        <x:f>IF(INDEX('Listings'!$Q$2:$Q$169,MATCH($I118,'Listings'!$A$2:$A$169,0))="","",INDEX('Listings'!$Q$2:$Q$169,MATCH($I118,'Listings'!$A$2:$A$169,0)))</x:f>
        <x:v>0–1 mi</x:v>
      </x:c>
      <x:c r="G118" s="10" t="str">
        <x:f>IF(INDEX('Listings'!$S$2:$S$169,MATCH($I118,'Listings'!$A$2:$A$169,0))="","",INDEX('Listings'!$S$2:$S$169,MATCH($I118,'Listings'!$A$2:$A$169,0)))</x:f>
        <x:v>0–1 mi</x:v>
      </x:c>
      <x:c r="H118" s="10" t="str">
        <x:f>IF(INDEX('Listings'!$U$2:$U$169,MATCH($I118,'Listings'!$A$2:$A$169,0))="","",INDEX('Listings'!$U$2:$U$169,MATCH($I118,'Listings'!$A$2:$A$169,0)))</x:f>
        <x:v>&gt;1–3 mi</x:v>
      </x:c>
      <x:c r="I118" s="10" t="str">
        <x:v>ocpqsb7fkz</x:v>
      </x:c>
      <x:c r="J118" s="10" t="str">
        <x:f>IF(INDEX('Listings'!$C$2:$C$169,MATCH($I118,'Listings'!$A$2:$A$169,0))="","",INDEX('Listings'!$C$2:$C$169,MATCH($I118,'Listings'!$A$2:$A$169,0)))</x:f>
        <x:v>https://offcampus.dasa.ncsu.edu/housing/property/two-bedroom-townhouse-in-excellent-condition/ocpqsb7fkz</x:v>
      </x:c>
      <x:c r="K118" s="10" t="str">
        <x:f>IF(INDEX('Listings'!$AG$2:$AG$169,MATCH($I118,'Listings'!$A$2:$A$169,0))="","",INDEX('Listings'!$AG$2:$AG$169,MATCH($I118,'Listings'!$A$2:$A$169,0)))</x:f>
        <x:v>Source pricing flag retained; automated consistency checks passed. This is not independent landlord verification.</x:v>
      </x:c>
    </x:row>
    <x:row r="119" ht="24" hidden="0" customHeight="1">
      <x:c r="A119" s="10" t="str">
        <x:f>IF(INDEX('Listings'!$B$2:$B$169,MATCH($I119,'Listings'!$A$2:$A$169,0))="","",INDEX('Listings'!$B$2:$B$169,MATCH($I119,'Listings'!$A$2:$A$169,0)))</x:f>
        <x:v>University Commons PRELEASING FOR 2026-2027</x:v>
      </x:c>
      <x:c r="B119" s="10" t="str">
        <x:f>IF(INDEX('Listings'!$E$2:$E$169,MATCH($I119,'Listings'!$A$2:$A$169,0))="","",INDEX('Listings'!$E$2:$E$169,MATCH($I119,'Listings'!$A$2:$A$169,0)))</x:f>
        <x:v>Whole unit</x:v>
      </x:c>
      <x:c r="C119" s="11" t="n">
        <x:f>IF(INDEX('Listings'!$H$2:$H$169,MATCH($I119,'Listings'!$A$2:$A$169,0))="","",INDEX('Listings'!$H$2:$H$169,MATCH($I119,'Listings'!$A$2:$A$169,0)))</x:f>
        <x:v>2200</x:v>
      </x:c>
      <x:c r="D119" s="11" t="n">
        <x:f>IF(INDEX('Listings'!$I$2:$I$169,MATCH($I119,'Listings'!$A$2:$A$169,0))="","",INDEX('Listings'!$I$2:$I$169,MATCH($I119,'Listings'!$A$2:$A$169,0)))</x:f>
        <x:v>2700</x:v>
      </x:c>
      <x:c r="E119" s="10" t="str">
        <x:v>Usable price pair within study area.</x:v>
      </x:c>
      <x:c r="F119" s="10" t="str">
        <x:f>IF(INDEX('Listings'!$Q$2:$Q$169,MATCH($I119,'Listings'!$A$2:$A$169,0))="","",INDEX('Listings'!$Q$2:$Q$169,MATCH($I119,'Listings'!$A$2:$A$169,0)))</x:f>
        <x:v>0–1 mi</x:v>
      </x:c>
      <x:c r="G119" s="10" t="str">
        <x:f>IF(INDEX('Listings'!$S$2:$S$169,MATCH($I119,'Listings'!$A$2:$A$169,0))="","",INDEX('Listings'!$S$2:$S$169,MATCH($I119,'Listings'!$A$2:$A$169,0)))</x:f>
        <x:v>0–1 mi</x:v>
      </x:c>
      <x:c r="H119" s="10" t="str">
        <x:f>IF(INDEX('Listings'!$U$2:$U$169,MATCH($I119,'Listings'!$A$2:$A$169,0))="","",INDEX('Listings'!$U$2:$U$169,MATCH($I119,'Listings'!$A$2:$A$169,0)))</x:f>
        <x:v>&gt;1–3 mi</x:v>
      </x:c>
      <x:c r="I119" s="10" t="str">
        <x:v>ocpqfg7r3z</x:v>
      </x:c>
      <x:c r="J119" s="10" t="str">
        <x:f>IF(INDEX('Listings'!$C$2:$C$169,MATCH($I119,'Listings'!$A$2:$A$169,0))="","",INDEX('Listings'!$C$2:$C$169,MATCH($I119,'Listings'!$A$2:$A$169,0)))</x:f>
        <x:v>https://offcampus.dasa.ncsu.edu/housing/property/university-commons-preleasing-for-2026-2027/ocpqfg7r3z</x:v>
      </x:c>
      <x:c r="K119" s="10" t="str">
        <x:f>IF(INDEX('Listings'!$AG$2:$AG$169,MATCH($I119,'Listings'!$A$2:$A$169,0))="","",INDEX('Listings'!$AG$2:$AG$169,MATCH($I119,'Listings'!$A$2:$A$169,0)))</x:f>
        <x:v>Source pricing flag retained; automated consistency checks passed. This is not independent landlord verification.</x:v>
      </x:c>
    </x:row>
    <x:row r="120" ht="24" hidden="0" customHeight="1">
      <x:c r="A120" s="10" t="str">
        <x:f>IF(INDEX('Listings'!$B$2:$B$169,MATCH($I120,'Listings'!$A$2:$A$169,0))="","",INDEX('Listings'!$B$2:$B$169,MATCH($I120,'Listings'!$A$2:$A$169,0)))</x:f>
        <x:v>University Commons, close to Wolfline Stops</x:v>
      </x:c>
      <x:c r="B120" s="10" t="str">
        <x:f>IF(INDEX('Listings'!$E$2:$E$169,MATCH($I120,'Listings'!$A$2:$A$169,0))="","",INDEX('Listings'!$E$2:$E$169,MATCH($I120,'Listings'!$A$2:$A$169,0)))</x:f>
        <x:v>Whole unit</x:v>
      </x:c>
      <x:c r="C120" s="11" t="n">
        <x:f>IF(INDEX('Listings'!$H$2:$H$169,MATCH($I120,'Listings'!$A$2:$A$169,0))="","",INDEX('Listings'!$H$2:$H$169,MATCH($I120,'Listings'!$A$2:$A$169,0)))</x:f>
        <x:v>2500</x:v>
      </x:c>
      <x:c r="D120" s="11" t="n">
        <x:f>IF(INDEX('Listings'!$I$2:$I$169,MATCH($I120,'Listings'!$A$2:$A$169,0))="","",INDEX('Listings'!$I$2:$I$169,MATCH($I120,'Listings'!$A$2:$A$169,0)))</x:f>
        <x:v>2500</x:v>
      </x:c>
      <x:c r="E120" s="10" t="str">
        <x:v>Usable price pair within study area.</x:v>
      </x:c>
      <x:c r="F120" s="10" t="str">
        <x:f>IF(INDEX('Listings'!$Q$2:$Q$169,MATCH($I120,'Listings'!$A$2:$A$169,0))="","",INDEX('Listings'!$Q$2:$Q$169,MATCH($I120,'Listings'!$A$2:$A$169,0)))</x:f>
        <x:v>0–1 mi</x:v>
      </x:c>
      <x:c r="G120" s="10" t="str">
        <x:f>IF(INDEX('Listings'!$S$2:$S$169,MATCH($I120,'Listings'!$A$2:$A$169,0))="","",INDEX('Listings'!$S$2:$S$169,MATCH($I120,'Listings'!$A$2:$A$169,0)))</x:f>
        <x:v>0–1 mi</x:v>
      </x:c>
      <x:c r="H120" s="10" t="str">
        <x:f>IF(INDEX('Listings'!$U$2:$U$169,MATCH($I120,'Listings'!$A$2:$A$169,0))="","",INDEX('Listings'!$U$2:$U$169,MATCH($I120,'Listings'!$A$2:$A$169,0)))</x:f>
        <x:v>&gt;1–3 mi</x:v>
      </x:c>
      <x:c r="I120" s="10" t="str">
        <x:v>ocpqe84m5z</x:v>
      </x:c>
      <x:c r="J120" s="10" t="str">
        <x:f>IF(INDEX('Listings'!$C$2:$C$169,MATCH($I120,'Listings'!$A$2:$A$169,0))="","",INDEX('Listings'!$C$2:$C$169,MATCH($I120,'Listings'!$A$2:$A$169,0)))</x:f>
        <x:v>https://offcampus.dasa.ncsu.edu/housing/property/university-commons-close-to-wolfline-stops/ocpqe84m5z</x:v>
      </x:c>
      <x:c r="K120" s="10" t="str">
        <x:f>IF(INDEX('Listings'!$AG$2:$AG$169,MATCH($I120,'Listings'!$A$2:$A$169,0))="","",INDEX('Listings'!$AG$2:$AG$169,MATCH($I120,'Listings'!$A$2:$A$169,0)))</x:f>
        <x:v>Source pricing flag retained; automated consistency checks passed. This is not independent landlord verification.</x:v>
      </x:c>
    </x:row>
    <x:row r="121" ht="24" hidden="0" customHeight="1">
      <x:c r="A121" s="10" t="str">
        <x:f>IF(INDEX('Listings'!$B$2:$B$169,MATCH($I121,'Listings'!$A$2:$A$169,0))="","",INDEX('Listings'!$B$2:$B$169,MATCH($I121,'Listings'!$A$2:$A$169,0)))</x:f>
        <x:v>University Oaks</x:v>
      </x:c>
      <x:c r="B121" s="10" t="str">
        <x:f>IF(INDEX('Listings'!$E$2:$E$169,MATCH($I121,'Listings'!$A$2:$A$169,0))="","",INDEX('Listings'!$E$2:$E$169,MATCH($I121,'Listings'!$A$2:$A$169,0)))</x:f>
        <x:v>Per bedroom</x:v>
      </x:c>
      <x:c r="C121" s="11" t="n">
        <x:f>IF(INDEX('Listings'!$H$2:$H$169,MATCH($I121,'Listings'!$A$2:$A$169,0))="","",INDEX('Listings'!$H$2:$H$169,MATCH($I121,'Listings'!$A$2:$A$169,0)))</x:f>
        <x:v>725</x:v>
      </x:c>
      <x:c r="D121" s="11" t="n">
        <x:f>IF(INDEX('Listings'!$I$2:$I$169,MATCH($I121,'Listings'!$A$2:$A$169,0))="","",INDEX('Listings'!$I$2:$I$169,MATCH($I121,'Listings'!$A$2:$A$169,0)))</x:f>
        <x:v>725</x:v>
      </x:c>
      <x:c r="E121" s="10" t="str">
        <x:v>Usable price pair within study area.</x:v>
      </x:c>
      <x:c r="F121" s="10" t="str">
        <x:f>IF(INDEX('Listings'!$Q$2:$Q$169,MATCH($I121,'Listings'!$A$2:$A$169,0))="","",INDEX('Listings'!$Q$2:$Q$169,MATCH($I121,'Listings'!$A$2:$A$169,0)))</x:f>
        <x:v>0–1 mi</x:v>
      </x:c>
      <x:c r="G121" s="10" t="str">
        <x:f>IF(INDEX('Listings'!$S$2:$S$169,MATCH($I121,'Listings'!$A$2:$A$169,0))="","",INDEX('Listings'!$S$2:$S$169,MATCH($I121,'Listings'!$A$2:$A$169,0)))</x:f>
        <x:v>&gt;1–3 mi</x:v>
      </x:c>
      <x:c r="H121" s="10" t="str">
        <x:f>IF(INDEX('Listings'!$U$2:$U$169,MATCH($I121,'Listings'!$A$2:$A$169,0))="","",INDEX('Listings'!$U$2:$U$169,MATCH($I121,'Listings'!$A$2:$A$169,0)))</x:f>
        <x:v>&gt;1–3 mi</x:v>
      </x:c>
      <x:c r="I121" s="10" t="str">
        <x:v>ocp4t7wmxk</x:v>
      </x:c>
      <x:c r="J121" s="10" t="str">
        <x:f>IF(INDEX('Listings'!$C$2:$C$169,MATCH($I121,'Listings'!$A$2:$A$169,0))="","",INDEX('Listings'!$C$2:$C$169,MATCH($I121,'Listings'!$A$2:$A$169,0)))</x:f>
        <x:v>https://offcampus.dasa.ncsu.edu/housing/property/university-oaks/ocp4t7wmxk</x:v>
      </x:c>
      <x:c r="K121" s="10" t="str">
        <x:f>IF(INDEX('Listings'!$AG$2:$AG$169,MATCH($I121,'Listings'!$A$2:$A$169,0))="","",INDEX('Listings'!$AG$2:$AG$169,MATCH($I121,'Listings'!$A$2:$A$169,0)))</x:f>
        <x:v>Source pricing flag retained; automated consistency checks passed. This is not independent landlord verification.</x:v>
      </x:c>
    </x:row>
    <x:row r="122" ht="24" hidden="0" customHeight="1">
      <x:c r="A122" s="10" t="str">
        <x:f>IF(INDEX('Listings'!$B$2:$B$169,MATCH($I122,'Listings'!$A$2:$A$169,0))="","",INDEX('Listings'!$B$2:$B$169,MATCH($I122,'Listings'!$A$2:$A$169,0)))</x:f>
        <x:v>University Oaks -</x:v>
      </x:c>
      <x:c r="B122" s="10" t="str">
        <x:f>IF(INDEX('Listings'!$E$2:$E$169,MATCH($I122,'Listings'!$A$2:$A$169,0))="","",INDEX('Listings'!$E$2:$E$169,MATCH($I122,'Listings'!$A$2:$A$169,0)))</x:f>
        <x:v>Per bedroom</x:v>
      </x:c>
      <x:c r="C122" s="11" t="n">
        <x:f>IF(INDEX('Listings'!$H$2:$H$169,MATCH($I122,'Listings'!$A$2:$A$169,0))="","",INDEX('Listings'!$H$2:$H$169,MATCH($I122,'Listings'!$A$2:$A$169,0)))</x:f>
        <x:v>725</x:v>
      </x:c>
      <x:c r="D122" s="11" t="n">
        <x:f>IF(INDEX('Listings'!$I$2:$I$169,MATCH($I122,'Listings'!$A$2:$A$169,0))="","",INDEX('Listings'!$I$2:$I$169,MATCH($I122,'Listings'!$A$2:$A$169,0)))</x:f>
        <x:v>725</x:v>
      </x:c>
      <x:c r="E122" s="10" t="str">
        <x:v>Usable price pair within study area.</x:v>
      </x:c>
      <x:c r="F122" s="10" t="str">
        <x:f>IF(INDEX('Listings'!$Q$2:$Q$169,MATCH($I122,'Listings'!$A$2:$A$169,0))="","",INDEX('Listings'!$Q$2:$Q$169,MATCH($I122,'Listings'!$A$2:$A$169,0)))</x:f>
        <x:v>0–1 mi</x:v>
      </x:c>
      <x:c r="G122" s="10" t="str">
        <x:f>IF(INDEX('Listings'!$S$2:$S$169,MATCH($I122,'Listings'!$A$2:$A$169,0))="","",INDEX('Listings'!$S$2:$S$169,MATCH($I122,'Listings'!$A$2:$A$169,0)))</x:f>
        <x:v>&gt;1–3 mi</x:v>
      </x:c>
      <x:c r="H122" s="10" t="str">
        <x:f>IF(INDEX('Listings'!$U$2:$U$169,MATCH($I122,'Listings'!$A$2:$A$169,0))="","",INDEX('Listings'!$U$2:$U$169,MATCH($I122,'Listings'!$A$2:$A$169,0)))</x:f>
        <x:v>&gt;1–3 mi</x:v>
      </x:c>
      <x:c r="I122" s="10" t="str">
        <x:v>ocp2evl6hb</x:v>
      </x:c>
      <x:c r="J122" s="10" t="str">
        <x:f>IF(INDEX('Listings'!$C$2:$C$169,MATCH($I122,'Listings'!$A$2:$A$169,0))="","",INDEX('Listings'!$C$2:$C$169,MATCH($I122,'Listings'!$A$2:$A$169,0)))</x:f>
        <x:v>https://offcampus.dasa.ncsu.edu/housing/property/university-oaks/ocp2evl6hb</x:v>
      </x:c>
      <x:c r="K122" s="10" t="str">
        <x:f>IF(INDEX('Listings'!$AG$2:$AG$169,MATCH($I122,'Listings'!$A$2:$A$169,0))="","",INDEX('Listings'!$AG$2:$AG$169,MATCH($I122,'Listings'!$A$2:$A$169,0)))</x:f>
        <x:v>Source pricing flag retained; automated consistency checks passed. This is not independent landlord verification.</x:v>
      </x:c>
    </x:row>
    <x:row r="123" ht="24" hidden="0" customHeight="1">
      <x:c r="A123" s="10" t="str">
        <x:f>IF(INDEX('Listings'!$B$2:$B$169,MATCH($I123,'Listings'!$A$2:$A$169,0))="","",INDEX('Listings'!$B$2:$B$169,MATCH($I123,'Listings'!$A$2:$A$169,0)))</x:f>
        <x:v>University Suites Student Housing</x:v>
      </x:c>
      <x:c r="B123" s="10" t="str">
        <x:f>IF(INDEX('Listings'!$E$2:$E$169,MATCH($I123,'Listings'!$A$2:$A$169,0))="","",INDEX('Listings'!$E$2:$E$169,MATCH($I123,'Listings'!$A$2:$A$169,0)))</x:f>
        <x:v>Per bedroom</x:v>
      </x:c>
      <x:c r="C123" s="11" t="n">
        <x:f>IF(INDEX('Listings'!$H$2:$H$169,MATCH($I123,'Listings'!$A$2:$A$169,0))="","",INDEX('Listings'!$H$2:$H$169,MATCH($I123,'Listings'!$A$2:$A$169,0)))</x:f>
        <x:v>699</x:v>
      </x:c>
      <x:c r="D123" s="11" t="n">
        <x:f>IF(INDEX('Listings'!$I$2:$I$169,MATCH($I123,'Listings'!$A$2:$A$169,0))="","",INDEX('Listings'!$I$2:$I$169,MATCH($I123,'Listings'!$A$2:$A$169,0)))</x:f>
        <x:v>799</x:v>
      </x:c>
      <x:c r="E123" s="10" t="str">
        <x:v>Usable price pair within study area.</x:v>
      </x:c>
      <x:c r="F123" s="10" t="str">
        <x:f>IF(INDEX('Listings'!$Q$2:$Q$169,MATCH($I123,'Listings'!$A$2:$A$169,0))="","",INDEX('Listings'!$Q$2:$Q$169,MATCH($I123,'Listings'!$A$2:$A$169,0)))</x:f>
        <x:v>&gt;1–3 mi</x:v>
      </x:c>
      <x:c r="G123" s="10" t="str">
        <x:f>IF(INDEX('Listings'!$S$2:$S$169,MATCH($I123,'Listings'!$A$2:$A$169,0))="","",INDEX('Listings'!$S$2:$S$169,MATCH($I123,'Listings'!$A$2:$A$169,0)))</x:f>
        <x:v>&gt;1–3 mi</x:v>
      </x:c>
      <x:c r="H123" s="10" t="str">
        <x:f>IF(INDEX('Listings'!$U$2:$U$169,MATCH($I123,'Listings'!$A$2:$A$169,0))="","",INDEX('Listings'!$U$2:$U$169,MATCH($I123,'Listings'!$A$2:$A$169,0)))</x:f>
        <x:v>&gt;3–5 mi</x:v>
      </x:c>
      <x:c r="I123" s="10" t="str">
        <x:v>e13mz5m</x:v>
      </x:c>
      <x:c r="J123" s="10" t="str">
        <x:f>IF(INDEX('Listings'!$C$2:$C$169,MATCH($I123,'Listings'!$A$2:$A$169,0))="","",INDEX('Listings'!$C$2:$C$169,MATCH($I123,'Listings'!$A$2:$A$169,0)))</x:f>
        <x:v>https://offcampus.dasa.ncsu.edu/housing/property/university-suites-student-housing/e13mz5m</x:v>
      </x:c>
      <x:c r="K123" s="10" t="str">
        <x:f>IF(INDEX('Listings'!$AG$2:$AG$169,MATCH($I123,'Listings'!$A$2:$A$169,0))="","",INDEX('Listings'!$AG$2:$AG$169,MATCH($I123,'Listings'!$A$2:$A$169,0)))</x:f>
        <x:v>Source pricing flag retained; automated consistency checks passed. This is not independent landlord verification.</x:v>
      </x:c>
    </x:row>
    <x:row r="124" ht="24" hidden="0" customHeight="1">
      <x:c r="A124" s="10" t="str">
        <x:f>IF(INDEX('Listings'!$B$2:$B$169,MATCH($I124,'Listings'!$A$2:$A$169,0))="","",INDEX('Listings'!$B$2:$B$169,MATCH($I124,'Listings'!$A$2:$A$169,0)))</x:f>
        <x:v>University Village at 2505</x:v>
      </x:c>
      <x:c r="B124" s="10" t="str">
        <x:f>IF(INDEX('Listings'!$E$2:$E$169,MATCH($I124,'Listings'!$A$2:$A$169,0))="","",INDEX('Listings'!$E$2:$E$169,MATCH($I124,'Listings'!$A$2:$A$169,0)))</x:f>
        <x:v>Per bedroom</x:v>
      </x:c>
      <x:c r="C124" s="11" t="n">
        <x:f>IF(INDEX('Listings'!$H$2:$H$169,MATCH($I124,'Listings'!$A$2:$A$169,0))="","",INDEX('Listings'!$H$2:$H$169,MATCH($I124,'Listings'!$A$2:$A$169,0)))</x:f>
        <x:v>799</x:v>
      </x:c>
      <x:c r="D124" s="11" t="n">
        <x:f>IF(INDEX('Listings'!$I$2:$I$169,MATCH($I124,'Listings'!$A$2:$A$169,0))="","",INDEX('Listings'!$I$2:$I$169,MATCH($I124,'Listings'!$A$2:$A$169,0)))</x:f>
        <x:v>799</x:v>
      </x:c>
      <x:c r="E124" s="10" t="str">
        <x:v>Usable price pair within study area.</x:v>
      </x:c>
      <x:c r="F124" s="10" t="str">
        <x:f>IF(INDEX('Listings'!$Q$2:$Q$169,MATCH($I124,'Listings'!$A$2:$A$169,0))="","",INDEX('Listings'!$Q$2:$Q$169,MATCH($I124,'Listings'!$A$2:$A$169,0)))</x:f>
        <x:v>&gt;1–3 mi</x:v>
      </x:c>
      <x:c r="G124" s="10" t="str">
        <x:f>IF(INDEX('Listings'!$S$2:$S$169,MATCH($I124,'Listings'!$A$2:$A$169,0))="","",INDEX('Listings'!$S$2:$S$169,MATCH($I124,'Listings'!$A$2:$A$169,0)))</x:f>
        <x:v>&gt;1–3 mi</x:v>
      </x:c>
      <x:c r="H124" s="10" t="str">
        <x:f>IF(INDEX('Listings'!$U$2:$U$169,MATCH($I124,'Listings'!$A$2:$A$169,0))="","",INDEX('Listings'!$U$2:$U$169,MATCH($I124,'Listings'!$A$2:$A$169,0)))</x:f>
        <x:v>&gt;3–5 mi</x:v>
      </x:c>
      <x:c r="I124" s="10" t="str">
        <x:v>33f756e</x:v>
      </x:c>
      <x:c r="J124" s="10" t="str">
        <x:f>IF(INDEX('Listings'!$C$2:$C$169,MATCH($I124,'Listings'!$A$2:$A$169,0))="","",INDEX('Listings'!$C$2:$C$169,MATCH($I124,'Listings'!$A$2:$A$169,0)))</x:f>
        <x:v>https://offcampus.dasa.ncsu.edu/housing/property/university-village-at-2505/33f756e</x:v>
      </x:c>
      <x:c r="K124" s="10" t="str">
        <x:f>IF(INDEX('Listings'!$AG$2:$AG$169,MATCH($I124,'Listings'!$A$2:$A$169,0))="","",INDEX('Listings'!$AG$2:$AG$169,MATCH($I124,'Listings'!$A$2:$A$169,0)))</x:f>
        <x:v>Source pricing flag retained; automated consistency checks passed. This is not independent landlord verification.</x:v>
      </x:c>
    </x:row>
    <x:row r="125" ht="24" hidden="0" customHeight="1">
      <x:c r="A125" s="10" t="str">
        <x:f>IF(INDEX('Listings'!$B$2:$B$169,MATCH($I125,'Listings'!$A$2:$A$169,0))="","",INDEX('Listings'!$B$2:$B$169,MATCH($I125,'Listings'!$A$2:$A$169,0)))</x:f>
        <x:v>University Woods</x:v>
      </x:c>
      <x:c r="B125" s="10" t="str">
        <x:f>IF(INDEX('Listings'!$E$2:$E$169,MATCH($I125,'Listings'!$A$2:$A$169,0))="","",INDEX('Listings'!$E$2:$E$169,MATCH($I125,'Listings'!$A$2:$A$169,0)))</x:f>
        <x:v>Per bedroom</x:v>
      </x:c>
      <x:c r="C125" s="11" t="n">
        <x:f>IF(INDEX('Listings'!$H$2:$H$169,MATCH($I125,'Listings'!$A$2:$A$169,0))="","",INDEX('Listings'!$H$2:$H$169,MATCH($I125,'Listings'!$A$2:$A$169,0)))</x:f>
        <x:v>600</x:v>
      </x:c>
      <x:c r="D125" s="11" t="n">
        <x:f>IF(INDEX('Listings'!$I$2:$I$169,MATCH($I125,'Listings'!$A$2:$A$169,0))="","",INDEX('Listings'!$I$2:$I$169,MATCH($I125,'Listings'!$A$2:$A$169,0)))</x:f>
        <x:v>600</x:v>
      </x:c>
      <x:c r="E125" s="10" t="str">
        <x:v>Usable price pair within study area.</x:v>
      </x:c>
      <x:c r="F125" s="10" t="str">
        <x:f>IF(INDEX('Listings'!$Q$2:$Q$169,MATCH($I125,'Listings'!$A$2:$A$169,0))="","",INDEX('Listings'!$Q$2:$Q$169,MATCH($I125,'Listings'!$A$2:$A$169,0)))</x:f>
        <x:v>&gt;1–3 mi</x:v>
      </x:c>
      <x:c r="G125" s="10" t="str">
        <x:f>IF(INDEX('Listings'!$S$2:$S$169,MATCH($I125,'Listings'!$A$2:$A$169,0))="","",INDEX('Listings'!$S$2:$S$169,MATCH($I125,'Listings'!$A$2:$A$169,0)))</x:f>
        <x:v>&gt;1–3 mi</x:v>
      </x:c>
      <x:c r="H125" s="10" t="str">
        <x:f>IF(INDEX('Listings'!$U$2:$U$169,MATCH($I125,'Listings'!$A$2:$A$169,0))="","",INDEX('Listings'!$U$2:$U$169,MATCH($I125,'Listings'!$A$2:$A$169,0)))</x:f>
        <x:v>&gt;3–5 mi</x:v>
      </x:c>
      <x:c r="I125" s="10" t="str">
        <x:v>ocps6ymwl7</x:v>
      </x:c>
      <x:c r="J125" s="10" t="str">
        <x:f>IF(INDEX('Listings'!$C$2:$C$169,MATCH($I125,'Listings'!$A$2:$A$169,0))="","",INDEX('Listings'!$C$2:$C$169,MATCH($I125,'Listings'!$A$2:$A$169,0)))</x:f>
        <x:v>https://offcampus.dasa.ncsu.edu/housing/property/university-woods/ocps6ymwl7</x:v>
      </x:c>
      <x:c r="K125" s="10" t="str">
        <x:f>IF(INDEX('Listings'!$AG$2:$AG$169,MATCH($I125,'Listings'!$A$2:$A$169,0))="","",INDEX('Listings'!$AG$2:$AG$169,MATCH($I125,'Listings'!$A$2:$A$169,0)))</x:f>
        <x:v>Source pricing flag retained; automated consistency checks passed. This is not independent landlord verification.</x:v>
      </x:c>
    </x:row>
    <x:row r="126" ht="24" hidden="0" customHeight="1">
      <x:c r="A126" s="10" t="str">
        <x:f>IF(INDEX('Listings'!$B$2:$B$169,MATCH($I126,'Listings'!$A$2:$A$169,0))="","",INDEX('Listings'!$B$2:$B$169,MATCH($I126,'Listings'!$A$2:$A$169,0)))</x:f>
        <x:v>Valentine Commons</x:v>
      </x:c>
      <x:c r="B126" s="10" t="str">
        <x:f>IF(INDEX('Listings'!$E$2:$E$169,MATCH($I126,'Listings'!$A$2:$A$169,0))="","",INDEX('Listings'!$E$2:$E$169,MATCH($I126,'Listings'!$A$2:$A$169,0)))</x:f>
        <x:v>Per bedroom</x:v>
      </x:c>
      <x:c r="C126" s="11" t="n">
        <x:f>IF(INDEX('Listings'!$H$2:$H$169,MATCH($I126,'Listings'!$A$2:$A$169,0))="","",INDEX('Listings'!$H$2:$H$169,MATCH($I126,'Listings'!$A$2:$A$169,0)))</x:f>
        <x:v>1000</x:v>
      </x:c>
      <x:c r="D126" s="11" t="n">
        <x:f>IF(INDEX('Listings'!$I$2:$I$169,MATCH($I126,'Listings'!$A$2:$A$169,0))="","",INDEX('Listings'!$I$2:$I$169,MATCH($I126,'Listings'!$A$2:$A$169,0)))</x:f>
        <x:v>1300</x:v>
      </x:c>
      <x:c r="E126" s="10" t="str">
        <x:v>Usable price pair within study area.</x:v>
      </x:c>
      <x:c r="F126" s="10" t="str">
        <x:f>IF(INDEX('Listings'!$Q$2:$Q$169,MATCH($I126,'Listings'!$A$2:$A$169,0))="","",INDEX('Listings'!$Q$2:$Q$169,MATCH($I126,'Listings'!$A$2:$A$169,0)))</x:f>
        <x:v>0–1 mi</x:v>
      </x:c>
      <x:c r="G126" s="10" t="str">
        <x:f>IF(INDEX('Listings'!$S$2:$S$169,MATCH($I126,'Listings'!$A$2:$A$169,0))="","",INDEX('Listings'!$S$2:$S$169,MATCH($I126,'Listings'!$A$2:$A$169,0)))</x:f>
        <x:v>&gt;1–3 mi</x:v>
      </x:c>
      <x:c r="H126" s="10" t="str">
        <x:f>IF(INDEX('Listings'!$U$2:$U$169,MATCH($I126,'Listings'!$A$2:$A$169,0))="","",INDEX('Listings'!$U$2:$U$169,MATCH($I126,'Listings'!$A$2:$A$169,0)))</x:f>
        <x:v>&gt;1–3 mi</x:v>
      </x:c>
      <x:c r="I126" s="10" t="str">
        <x:v>ocp5cx5drn</x:v>
      </x:c>
      <x:c r="J126" s="10" t="str">
        <x:f>IF(INDEX('Listings'!$C$2:$C$169,MATCH($I126,'Listings'!$A$2:$A$169,0))="","",INDEX('Listings'!$C$2:$C$169,MATCH($I126,'Listings'!$A$2:$A$169,0)))</x:f>
        <x:v>https://offcampus.dasa.ncsu.edu/housing/property/valentine-commons/ocp5cx5drn</x:v>
      </x:c>
      <x:c r="K126" s="10" t="str">
        <x:f>IF(INDEX('Listings'!$AG$2:$AG$169,MATCH($I126,'Listings'!$A$2:$A$169,0))="","",INDEX('Listings'!$AG$2:$AG$169,MATCH($I126,'Listings'!$A$2:$A$169,0)))</x:f>
        <x:v>Source pricing flag retained; automated consistency checks passed. This is not independent landlord verification.</x:v>
      </x:c>
    </x:row>
    <x:row r="127" ht="24" hidden="0" customHeight="1">
      <x:c r="A127" s="10" t="str">
        <x:f>IF(INDEX('Listings'!$B$2:$B$169,MATCH($I127,'Listings'!$A$2:$A$169,0))="","",INDEX('Listings'!$B$2:$B$169,MATCH($I127,'Listings'!$A$2:$A$169,0)))</x:f>
        <x:v>Village Green</x:v>
      </x:c>
      <x:c r="B127" s="10" t="str">
        <x:f>IF(INDEX('Listings'!$E$2:$E$169,MATCH($I127,'Listings'!$A$2:$A$169,0))="","",INDEX('Listings'!$E$2:$E$169,MATCH($I127,'Listings'!$A$2:$A$169,0)))</x:f>
        <x:v>Per bedroom</x:v>
      </x:c>
      <x:c r="C127" s="11" t="n">
        <x:f>IF(INDEX('Listings'!$H$2:$H$169,MATCH($I127,'Listings'!$A$2:$A$169,0))="","",INDEX('Listings'!$H$2:$H$169,MATCH($I127,'Listings'!$A$2:$A$169,0)))</x:f>
        <x:v>930</x:v>
      </x:c>
      <x:c r="D127" s="11" t="n">
        <x:f>IF(INDEX('Listings'!$I$2:$I$169,MATCH($I127,'Listings'!$A$2:$A$169,0))="","",INDEX('Listings'!$I$2:$I$169,MATCH($I127,'Listings'!$A$2:$A$169,0)))</x:f>
        <x:v>930</x:v>
      </x:c>
      <x:c r="E127" s="10" t="str">
        <x:v>Usable price pair within study area.</x:v>
      </x:c>
      <x:c r="F127" s="10" t="str">
        <x:f>IF(INDEX('Listings'!$Q$2:$Q$169,MATCH($I127,'Listings'!$A$2:$A$169,0))="","",INDEX('Listings'!$Q$2:$Q$169,MATCH($I127,'Listings'!$A$2:$A$169,0)))</x:f>
        <x:v>&gt;1–3 mi</x:v>
      </x:c>
      <x:c r="G127" s="10" t="str">
        <x:f>IF(INDEX('Listings'!$S$2:$S$169,MATCH($I127,'Listings'!$A$2:$A$169,0))="","",INDEX('Listings'!$S$2:$S$169,MATCH($I127,'Listings'!$A$2:$A$169,0)))</x:f>
        <x:v>&gt;1–3 mi</x:v>
      </x:c>
      <x:c r="H127" s="10" t="str">
        <x:f>IF(INDEX('Listings'!$U$2:$U$169,MATCH($I127,'Listings'!$A$2:$A$169,0))="","",INDEX('Listings'!$U$2:$U$169,MATCH($I127,'Listings'!$A$2:$A$169,0)))</x:f>
        <x:v>&gt;3–5 mi</x:v>
      </x:c>
      <x:c r="I127" s="10" t="str">
        <x:v>ocp1ddchy6</x:v>
      </x:c>
      <x:c r="J127" s="10" t="str">
        <x:f>IF(INDEX('Listings'!$C$2:$C$169,MATCH($I127,'Listings'!$A$2:$A$169,0))="","",INDEX('Listings'!$C$2:$C$169,MATCH($I127,'Listings'!$A$2:$A$169,0)))</x:f>
        <x:v>https://offcampus.dasa.ncsu.edu/housing/property/village-green/ocp1ddchy6</x:v>
      </x:c>
      <x:c r="K127" s="10" t="str">
        <x:f>IF(INDEX('Listings'!$AG$2:$AG$169,MATCH($I127,'Listings'!$A$2:$A$169,0))="","",INDEX('Listings'!$AG$2:$AG$169,MATCH($I127,'Listings'!$A$2:$A$169,0)))</x:f>
        <x:v>Source pricing flag retained; automated consistency checks passed. This is not independent landlord verification.</x:v>
      </x:c>
    </x:row>
    <x:row r="128" ht="24" hidden="0" customHeight="1">
      <x:c r="A128" s="10" t="str">
        <x:f>IF(INDEX('Listings'!$B$2:$B$169,MATCH($I128,'Listings'!$A$2:$A$169,0))="","",INDEX('Listings'!$B$2:$B$169,MATCH($I128,'Listings'!$A$2:$A$169,0)))</x:f>
        <x:v>Village Green Student Housing</x:v>
      </x:c>
      <x:c r="B128" s="10" t="str">
        <x:f>IF(INDEX('Listings'!$E$2:$E$169,MATCH($I128,'Listings'!$A$2:$A$169,0))="","",INDEX('Listings'!$E$2:$E$169,MATCH($I128,'Listings'!$A$2:$A$169,0)))</x:f>
        <x:v>Per bedroom</x:v>
      </x:c>
      <x:c r="C128" s="11" t="n">
        <x:f>IF(INDEX('Listings'!$H$2:$H$169,MATCH($I128,'Listings'!$A$2:$A$169,0))="","",INDEX('Listings'!$H$2:$H$169,MATCH($I128,'Listings'!$A$2:$A$169,0)))</x:f>
        <x:v>649</x:v>
      </x:c>
      <x:c r="D128" s="11" t="n">
        <x:f>IF(INDEX('Listings'!$I$2:$I$169,MATCH($I128,'Listings'!$A$2:$A$169,0))="","",INDEX('Listings'!$I$2:$I$169,MATCH($I128,'Listings'!$A$2:$A$169,0)))</x:f>
        <x:v>839</x:v>
      </x:c>
      <x:c r="E128" s="10" t="str">
        <x:v>Usable price pair within study area.</x:v>
      </x:c>
      <x:c r="F128" s="10" t="str">
        <x:f>IF(INDEX('Listings'!$Q$2:$Q$169,MATCH($I128,'Listings'!$A$2:$A$169,0))="","",INDEX('Listings'!$Q$2:$Q$169,MATCH($I128,'Listings'!$A$2:$A$169,0)))</x:f>
        <x:v>&gt;1–3 mi</x:v>
      </x:c>
      <x:c r="G128" s="10" t="str">
        <x:f>IF(INDEX('Listings'!$S$2:$S$169,MATCH($I128,'Listings'!$A$2:$A$169,0))="","",INDEX('Listings'!$S$2:$S$169,MATCH($I128,'Listings'!$A$2:$A$169,0)))</x:f>
        <x:v>&gt;1–3 mi</x:v>
      </x:c>
      <x:c r="H128" s="10" t="str">
        <x:f>IF(INDEX('Listings'!$U$2:$U$169,MATCH($I128,'Listings'!$A$2:$A$169,0))="","",INDEX('Listings'!$U$2:$U$169,MATCH($I128,'Listings'!$A$2:$A$169,0)))</x:f>
        <x:v>&gt;3–5 mi</x:v>
      </x:c>
      <x:c r="I128" s="10" t="str">
        <x:v>jjs8f07</x:v>
      </x:c>
      <x:c r="J128" s="10" t="str">
        <x:f>IF(INDEX('Listings'!$C$2:$C$169,MATCH($I128,'Listings'!$A$2:$A$169,0))="","",INDEX('Listings'!$C$2:$C$169,MATCH($I128,'Listings'!$A$2:$A$169,0)))</x:f>
        <x:v>https://offcampus.dasa.ncsu.edu/housing/property/village-green-student-housing/jjs8f07</x:v>
      </x:c>
      <x:c r="K128" s="10" t="str">
        <x:f>IF(INDEX('Listings'!$AG$2:$AG$169,MATCH($I128,'Listings'!$A$2:$A$169,0))="","",INDEX('Listings'!$AG$2:$AG$169,MATCH($I128,'Listings'!$A$2:$A$169,0)))</x:f>
        <x:v>Source pricing flag retained; automated consistency checks passed. This is not independent landlord verification.</x:v>
      </x:c>
    </x:row>
    <x:row r="129" ht="24" hidden="0" customHeight="1">
      <x:c r="A129" s="10" t="str">
        <x:f>IF(INDEX('Listings'!$B$2:$B$169,MATCH($I129,'Listings'!$A$2:$A$169,0))="","",INDEX('Listings'!$B$2:$B$169,MATCH($I129,'Listings'!$A$2:$A$169,0)))</x:f>
        <x:v>Village Green Student Living</x:v>
      </x:c>
      <x:c r="B129" s="10" t="str">
        <x:f>IF(INDEX('Listings'!$E$2:$E$169,MATCH($I129,'Listings'!$A$2:$A$169,0))="","",INDEX('Listings'!$E$2:$E$169,MATCH($I129,'Listings'!$A$2:$A$169,0)))</x:f>
        <x:v>Per bedroom</x:v>
      </x:c>
      <x:c r="C129" s="11" t="n">
        <x:f>IF(INDEX('Listings'!$H$2:$H$169,MATCH($I129,'Listings'!$A$2:$A$169,0))="","",INDEX('Listings'!$H$2:$H$169,MATCH($I129,'Listings'!$A$2:$A$169,0)))</x:f>
        <x:v>831</x:v>
      </x:c>
      <x:c r="D129" s="11" t="n">
        <x:f>IF(INDEX('Listings'!$I$2:$I$169,MATCH($I129,'Listings'!$A$2:$A$169,0))="","",INDEX('Listings'!$I$2:$I$169,MATCH($I129,'Listings'!$A$2:$A$169,0)))</x:f>
        <x:v>831</x:v>
      </x:c>
      <x:c r="E129" s="10" t="str">
        <x:v>Usable price pair within study area.</x:v>
      </x:c>
      <x:c r="F129" s="10" t="str">
        <x:f>IF(INDEX('Listings'!$Q$2:$Q$169,MATCH($I129,'Listings'!$A$2:$A$169,0))="","",INDEX('Listings'!$Q$2:$Q$169,MATCH($I129,'Listings'!$A$2:$A$169,0)))</x:f>
        <x:v>&gt;1–3 mi</x:v>
      </x:c>
      <x:c r="G129" s="10" t="str">
        <x:f>IF(INDEX('Listings'!$S$2:$S$169,MATCH($I129,'Listings'!$A$2:$A$169,0))="","",INDEX('Listings'!$S$2:$S$169,MATCH($I129,'Listings'!$A$2:$A$169,0)))</x:f>
        <x:v>&gt;1–3 mi</x:v>
      </x:c>
      <x:c r="H129" s="10" t="str">
        <x:f>IF(INDEX('Listings'!$U$2:$U$169,MATCH($I129,'Listings'!$A$2:$A$169,0))="","",INDEX('Listings'!$U$2:$U$169,MATCH($I129,'Listings'!$A$2:$A$169,0)))</x:f>
        <x:v>&gt;3–5 mi</x:v>
      </x:c>
      <x:c r="I129" s="10" t="str">
        <x:v>ocpepvxvln</x:v>
      </x:c>
      <x:c r="J129" s="10" t="str">
        <x:f>IF(INDEX('Listings'!$C$2:$C$169,MATCH($I129,'Listings'!$A$2:$A$169,0))="","",INDEX('Listings'!$C$2:$C$169,MATCH($I129,'Listings'!$A$2:$A$169,0)))</x:f>
        <x:v>https://offcampus.dasa.ncsu.edu/housing/property/village-green-student-living/ocpepvxvln</x:v>
      </x:c>
      <x:c r="K129" s="10" t="str">
        <x:f>IF(INDEX('Listings'!$AG$2:$AG$169,MATCH($I129,'Listings'!$A$2:$A$169,0))="","",INDEX('Listings'!$AG$2:$AG$169,MATCH($I129,'Listings'!$A$2:$A$169,0)))</x:f>
        <x:v>Source pricing flag retained; automated consistency checks passed. This is not independent landlord verification.</x:v>
      </x:c>
    </x:row>
    <x:row r="130" ht="24" hidden="0" customHeight="1">
      <x:c r="A130" s="10" t="str">
        <x:f>IF(INDEX('Listings'!$B$2:$B$169,MATCH($I130,'Listings'!$A$2:$A$169,0))="","",INDEX('Listings'!$B$2:$B$169,MATCH($I130,'Listings'!$A$2:$A$169,0)))</x:f>
        <x:v>Voyager House</x:v>
      </x:c>
      <x:c r="B130" s="10" t="str">
        <x:f>IF(INDEX('Listings'!$E$2:$E$169,MATCH($I130,'Listings'!$A$2:$A$169,0))="","",INDEX('Listings'!$E$2:$E$169,MATCH($I130,'Listings'!$A$2:$A$169,0)))</x:f>
        <x:v>Per bedroom</x:v>
      </x:c>
      <x:c r="C130" s="11" t="n">
        <x:f>IF(INDEX('Listings'!$H$2:$H$169,MATCH($I130,'Listings'!$A$2:$A$169,0))="","",INDEX('Listings'!$H$2:$H$169,MATCH($I130,'Listings'!$A$2:$A$169,0)))</x:f>
        <x:v>800</x:v>
      </x:c>
      <x:c r="D130" s="11" t="n">
        <x:f>IF(INDEX('Listings'!$I$2:$I$169,MATCH($I130,'Listings'!$A$2:$A$169,0))="","",INDEX('Listings'!$I$2:$I$169,MATCH($I130,'Listings'!$A$2:$A$169,0)))</x:f>
        <x:v>800</x:v>
      </x:c>
      <x:c r="E130" s="10" t="str">
        <x:v>Usable price pair within study area.</x:v>
      </x:c>
      <x:c r="F130" s="10" t="str">
        <x:f>IF(INDEX('Listings'!$Q$2:$Q$169,MATCH($I130,'Listings'!$A$2:$A$169,0))="","",INDEX('Listings'!$Q$2:$Q$169,MATCH($I130,'Listings'!$A$2:$A$169,0)))</x:f>
        <x:v>&gt;1–3 mi</x:v>
      </x:c>
      <x:c r="G130" s="10" t="str">
        <x:f>IF(INDEX('Listings'!$S$2:$S$169,MATCH($I130,'Listings'!$A$2:$A$169,0))="","",INDEX('Listings'!$S$2:$S$169,MATCH($I130,'Listings'!$A$2:$A$169,0)))</x:f>
        <x:v>&gt;1–3 mi</x:v>
      </x:c>
      <x:c r="H130" s="10" t="str">
        <x:f>IF(INDEX('Listings'!$U$2:$U$169,MATCH($I130,'Listings'!$A$2:$A$169,0))="","",INDEX('Listings'!$U$2:$U$169,MATCH($I130,'Listings'!$A$2:$A$169,0)))</x:f>
        <x:v>&gt;3–5 mi</x:v>
      </x:c>
      <x:c r="I130" s="10" t="str">
        <x:v>ocpbhbkvy9</x:v>
      </x:c>
      <x:c r="J130" s="10" t="str">
        <x:f>IF(INDEX('Listings'!$C$2:$C$169,MATCH($I130,'Listings'!$A$2:$A$169,0))="","",INDEX('Listings'!$C$2:$C$169,MATCH($I130,'Listings'!$A$2:$A$169,0)))</x:f>
        <x:v>https://offcampus.dasa.ncsu.edu/housing/property/voyager-house/ocpbhbkvy9</x:v>
      </x:c>
      <x:c r="K130" s="10" t="str">
        <x:f>IF(INDEX('Listings'!$AG$2:$AG$169,MATCH($I130,'Listings'!$A$2:$A$169,0))="","",INDEX('Listings'!$AG$2:$AG$169,MATCH($I130,'Listings'!$A$2:$A$169,0)))</x:f>
        <x:v>Source pricing flag retained; automated consistency checks passed. This is not independent landlord verification.</x:v>
      </x:c>
    </x:row>
    <x:row r="131" ht="36" hidden="0" customHeight="1">
      <x:c r="A131" s="10" t="str">
        <x:f>IF(INDEX('Listings'!$B$2:$B$169,MATCH($I131,'Listings'!$A$2:$A$169,0))="","",INDEX('Listings'!$B$2:$B$169,MATCH($I131,'Listings'!$A$2:$A$169,0)))</x:f>
        <x:v>We have 1 bedroom open In a luxury 5 bed 5 full bath house 1/1/27-6/30/27</x:v>
      </x:c>
      <x:c r="B131" s="10" t="str">
        <x:f>IF(INDEX('Listings'!$E$2:$E$169,MATCH($I131,'Listings'!$A$2:$A$169,0))="","",INDEX('Listings'!$E$2:$E$169,MATCH($I131,'Listings'!$A$2:$A$169,0)))</x:f>
        <x:v>Per bedroom</x:v>
      </x:c>
      <x:c r="C131" s="11" t="n">
        <x:f>IF(INDEX('Listings'!$H$2:$H$169,MATCH($I131,'Listings'!$A$2:$A$169,0))="","",INDEX('Listings'!$H$2:$H$169,MATCH($I131,'Listings'!$A$2:$A$169,0)))</x:f>
        <x:v>1200</x:v>
      </x:c>
      <x:c r="D131" s="11" t="n">
        <x:f>IF(INDEX('Listings'!$I$2:$I$169,MATCH($I131,'Listings'!$A$2:$A$169,0))="","",INDEX('Listings'!$I$2:$I$169,MATCH($I131,'Listings'!$A$2:$A$169,0)))</x:f>
        <x:v>1200</x:v>
      </x:c>
      <x:c r="E131" s="10" t="str">
        <x:v>Usable price pair within study area.</x:v>
      </x:c>
      <x:c r="F131" s="10" t="str">
        <x:f>IF(INDEX('Listings'!$Q$2:$Q$169,MATCH($I131,'Listings'!$A$2:$A$169,0))="","",INDEX('Listings'!$Q$2:$Q$169,MATCH($I131,'Listings'!$A$2:$A$169,0)))</x:f>
        <x:v>&gt;1–3 mi</x:v>
      </x:c>
      <x:c r="G131" s="10" t="str">
        <x:f>IF(INDEX('Listings'!$S$2:$S$169,MATCH($I131,'Listings'!$A$2:$A$169,0))="","",INDEX('Listings'!$S$2:$S$169,MATCH($I131,'Listings'!$A$2:$A$169,0)))</x:f>
        <x:v>&gt;1–3 mi</x:v>
      </x:c>
      <x:c r="H131" s="10" t="str">
        <x:f>IF(INDEX('Listings'!$U$2:$U$169,MATCH($I131,'Listings'!$A$2:$A$169,0))="","",INDEX('Listings'!$U$2:$U$169,MATCH($I131,'Listings'!$A$2:$A$169,0)))</x:f>
        <x:v>0–1 mi</x:v>
      </x:c>
      <x:c r="I131" s="10" t="str">
        <x:v>ocp6wsb4yt</x:v>
      </x:c>
      <x:c r="J131" s="10" t="str">
        <x:f>IF(INDEX('Listings'!$C$2:$C$169,MATCH($I131,'Listings'!$A$2:$A$169,0))="","",INDEX('Listings'!$C$2:$C$169,MATCH($I131,'Listings'!$A$2:$A$169,0)))</x:f>
        <x:v>https://offcampus.dasa.ncsu.edu/housing/property/we-have-1-bedroom-open-in-a-luxury-5-bed-5-full-bath-house-1-1-27-6-30-27/ocp6wsb4yt</x:v>
      </x:c>
      <x:c r="K131" s="10" t="str">
        <x:f>IF(INDEX('Listings'!$AG$2:$AG$169,MATCH($I131,'Listings'!$A$2:$A$169,0))="","",INDEX('Listings'!$AG$2:$AG$169,MATCH($I131,'Listings'!$A$2:$A$169,0)))</x:f>
        <x:v>Source pricing flag retained; automated consistency checks passed. This is not independent landlord verification.</x:v>
      </x:c>
    </x:row>
    <x:row r="132" ht="24" hidden="0" customHeight="1">
      <x:c r="A132" s="10" t="str">
        <x:f>IF(INDEX('Listings'!$B$2:$B$169,MATCH($I132,'Listings'!$A$2:$A$169,0))="","",INDEX('Listings'!$B$2:$B$169,MATCH($I132,'Listings'!$A$2:$A$169,0)))</x:f>
        <x:v>Wesley</x:v>
      </x:c>
      <x:c r="B132" s="10" t="str">
        <x:f>IF(INDEX('Listings'!$E$2:$E$169,MATCH($I132,'Listings'!$A$2:$A$169,0))="","",INDEX('Listings'!$E$2:$E$169,MATCH($I132,'Listings'!$A$2:$A$169,0)))</x:f>
        <x:v>Whole unit</x:v>
      </x:c>
      <x:c r="C132" s="11" t="n">
        <x:f>IF(INDEX('Listings'!$H$2:$H$169,MATCH($I132,'Listings'!$A$2:$A$169,0))="","",INDEX('Listings'!$H$2:$H$169,MATCH($I132,'Listings'!$A$2:$A$169,0)))</x:f>
        <x:v>1240</x:v>
      </x:c>
      <x:c r="D132" s="11" t="n">
        <x:f>IF(INDEX('Listings'!$I$2:$I$169,MATCH($I132,'Listings'!$A$2:$A$169,0))="","",INDEX('Listings'!$I$2:$I$169,MATCH($I132,'Listings'!$A$2:$A$169,0)))</x:f>
        <x:v>2160</x:v>
      </x:c>
      <x:c r="E132" s="10" t="str">
        <x:v>Usable price pair within study area.</x:v>
      </x:c>
      <x:c r="F132" s="10" t="str">
        <x:f>IF(INDEX('Listings'!$Q$2:$Q$169,MATCH($I132,'Listings'!$A$2:$A$169,0))="","",INDEX('Listings'!$Q$2:$Q$169,MATCH($I132,'Listings'!$A$2:$A$169,0)))</x:f>
        <x:v>&gt;3–5 mi</x:v>
      </x:c>
      <x:c r="G132" s="10" t="str">
        <x:f>IF(INDEX('Listings'!$S$2:$S$169,MATCH($I132,'Listings'!$A$2:$A$169,0))="","",INDEX('Listings'!$S$2:$S$169,MATCH($I132,'Listings'!$A$2:$A$169,0)))</x:f>
        <x:v>&gt;3–5 mi</x:v>
      </x:c>
      <x:c r="H132" s="10" t="str">
        <x:f>IF(INDEX('Listings'!$U$2:$U$169,MATCH($I132,'Listings'!$A$2:$A$169,0))="","",INDEX('Listings'!$U$2:$U$169,MATCH($I132,'Listings'!$A$2:$A$169,0)))</x:f>
        <x:v>&gt;1–3 mi</x:v>
      </x:c>
      <x:c r="I132" s="10" t="str">
        <x:v>seyb987</x:v>
      </x:c>
      <x:c r="J132" s="10" t="str">
        <x:f>IF(INDEX('Listings'!$C$2:$C$169,MATCH($I132,'Listings'!$A$2:$A$169,0))="","",INDEX('Listings'!$C$2:$C$169,MATCH($I132,'Listings'!$A$2:$A$169,0)))</x:f>
        <x:v>https://offcampus.dasa.ncsu.edu/housing/property/wesley/seyb987</x:v>
      </x:c>
      <x:c r="K132" s="10" t="str">
        <x:f>IF(INDEX('Listings'!$AG$2:$AG$169,MATCH($I132,'Listings'!$A$2:$A$169,0))="","",INDEX('Listings'!$AG$2:$AG$169,MATCH($I132,'Listings'!$A$2:$A$169,0)))</x:f>
        <x:v>Source pricing flag retained; automated consistency checks passed. This is not independent landlord verification.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0a7810a20d6d43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7" hidden="0" customWidth="1"/>
    <x:col min="3" max="3" width="16" hidden="0" customWidth="1"/>
    <x:col min="4" max="4" width="16" hidden="0" customWidth="1"/>
    <x:col min="5" max="5" width="45" hidden="0" customWidth="1"/>
    <x:col min="6" max="6" width="18" hidden="0" customWidth="1"/>
    <x:col min="7" max="7" width="18" hidden="0" customWidth="1"/>
    <x:col min="8" max="8" width="18" hidden="0" customWidth="1"/>
    <x:col min="9" max="9" width="17" hidden="0" customWidth="1"/>
    <x:col min="10" max="10" width="38" hidden="0" customWidth="1"/>
    <x:col min="11" max="11" width="85" hidden="0" customWidth="1"/>
  </x:cols>
  <x:sheetData>
    <x:row r="1" ht="38" customHeight="1">
      <x:c r="A1" s="12" t="str">
        <x:v>Listing name</x:v>
      </x:c>
      <x:c r="B1" s="12" t="str">
        <x:v>Price basis</x:v>
      </x:c>
      <x:c r="C1" s="12" t="str">
        <x:v>Low price ($/mo)</x:v>
      </x:c>
      <x:c r="D1" s="12" t="str">
        <x:v>High price ($/mo)</x:v>
      </x:c>
      <x:c r="E1" s="12" t="str">
        <x:v>Published decision</x:v>
      </x:c>
      <x:c r="F1" s="12" t="str">
        <x:v>Main band</x:v>
      </x:c>
      <x:c r="G1" s="12" t="str">
        <x:v>Centennial band</x:v>
      </x:c>
      <x:c r="H1" s="12" t="str">
        <x:v>Biomedical band</x:v>
      </x:c>
      <x:c r="I1" s="12" t="str">
        <x:v>Listing ID</x:v>
      </x:c>
      <x:c r="J1" s="12" t="str">
        <x:v>Source URL</x:v>
      </x:c>
      <x:c r="K1" s="12" t="str">
        <x:v>Review evidence</x:v>
      </x:c>
    </x:row>
    <x:row r="2" ht="36" hidden="0" customHeight="1">
      <x:c r="A2" s="10" t="str">
        <x:f>IF(INDEX('Listings'!$B$2:$B$169,MATCH($I2,'Listings'!$A$2:$A$169,0))="","",INDEX('Listings'!$B$2:$B$169,MATCH($I2,'Listings'!$A$2:$A$169,0)))</x:f>
        <x:v>1233 S Blount St (Raleigh, NC)</x:v>
      </x:c>
      <x:c r="B2" s="10" t="str">
        <x:f>IF(INDEX('Listings'!$E$2:$E$169,MATCH($I2,'Listings'!$A$2:$A$169,0))="","",INDEX('Listings'!$E$2:$E$169,MATCH($I2,'Listings'!$A$2:$A$169,0)))</x:f>
        <x:v>Whole unit</x:v>
      </x:c>
      <x:c r="C2" s="11" t="n">
        <x:f>IF(INDEX('Listings'!$H$2:$H$169,MATCH($I2,'Listings'!$A$2:$A$169,0))="","",INDEX('Listings'!$H$2:$H$169,MATCH($I2,'Listings'!$A$2:$A$169,0)))</x:f>
        <x:v>3800</x:v>
      </x:c>
      <x:c r="D2" s="11" t="n">
        <x:f>IF(INDEX('Listings'!$I$2:$I$169,MATCH($I2,'Listings'!$A$2:$A$169,0))="","",INDEX('Listings'!$I$2:$I$169,MATCH($I2,'Listings'!$A$2:$A$169,0)))</x:f>
        <x:v>3800</x:v>
      </x:c>
      <x:c r="E2" s="10" t="str">
        <x:v>Search and floor-plan prices disagree.</x:v>
      </x:c>
      <x:c r="F2" s="10" t="str">
        <x:f>IF(INDEX('Listings'!$Q$2:$Q$169,MATCH($I2,'Listings'!$A$2:$A$169,0))="","",INDEX('Listings'!$Q$2:$Q$169,MATCH($I2,'Listings'!$A$2:$A$169,0)))</x:f>
        <x:v>&gt;1–3 mi</x:v>
      </x:c>
      <x:c r="G2" s="10" t="str">
        <x:f>IF(INDEX('Listings'!$S$2:$S$169,MATCH($I2,'Listings'!$A$2:$A$169,0))="","",INDEX('Listings'!$S$2:$S$169,MATCH($I2,'Listings'!$A$2:$A$169,0)))</x:f>
        <x:v>&gt;1–3 mi</x:v>
      </x:c>
      <x:c r="H2" s="10" t="str">
        <x:f>IF(INDEX('Listings'!$U$2:$U$169,MATCH($I2,'Listings'!$A$2:$A$169,0))="","",INDEX('Listings'!$U$2:$U$169,MATCH($I2,'Listings'!$A$2:$A$169,0)))</x:f>
        <x:v>&gt;3–5 mi</x:v>
      </x:c>
      <x:c r="I2" s="10" t="str">
        <x:v>teq7kh8</x:v>
      </x:c>
      <x:c r="J2" s="10" t="str">
        <x:f>IF(INDEX('Listings'!$C$2:$C$169,MATCH($I2,'Listings'!$A$2:$A$169,0))="","",INDEX('Listings'!$C$2:$C$169,MATCH($I2,'Listings'!$A$2:$A$169,0)))</x:f>
        <x:v>https://offcampus.dasa.ncsu.edu/housing/property/1233-s-blount-st-raleigh-nc/teq7kh8</x:v>
      </x:c>
      <x:c r="K2" s="10" t="str">
        <x:f>IF(INDEX('Listings'!$AG$2:$AG$169,MATCH($I2,'Listings'!$A$2:$A$169,0))="","",INDEX('Listings'!$AG$2:$AG$169,MATCH($I2,'Listings'!$A$2:$A$169,0)))</x:f>
        <x:v>Source pricing flag retained; automated consistency checks passed. This is not independent landlord verification. Search summary: $3800–$3800; saved floor-plan envelope: $3000–$3000. Difference may reflect fees, timing or scope; unresolved snapshot price excluded.</x:v>
      </x:c>
    </x:row>
    <x:row r="3" ht="36" hidden="0" customHeight="1">
      <x:c r="A3" s="10" t="str">
        <x:f>IF(INDEX('Listings'!$B$2:$B$169,MATCH($I3,'Listings'!$A$2:$A$169,0))="","",INDEX('Listings'!$B$2:$B$169,MATCH($I3,'Listings'!$A$2:$A$169,0)))</x:f>
        <x:v>1431 Collegiate Cir (Raleigh, NC)</x:v>
      </x:c>
      <x:c r="B3" s="10" t="str">
        <x:f>IF(INDEX('Listings'!$E$2:$E$169,MATCH($I3,'Listings'!$A$2:$A$169,0))="","",INDEX('Listings'!$E$2:$E$169,MATCH($I3,'Listings'!$A$2:$A$169,0)))</x:f>
        <x:v>Whole unit</x:v>
      </x:c>
      <x:c r="C3" s="11" t="n">
        <x:f>IF(INDEX('Listings'!$H$2:$H$169,MATCH($I3,'Listings'!$A$2:$A$169,0))="","",INDEX('Listings'!$H$2:$H$169,MATCH($I3,'Listings'!$A$2:$A$169,0)))</x:f>
        <x:v>750</x:v>
      </x:c>
      <x:c r="D3" s="11" t="n">
        <x:f>IF(INDEX('Listings'!$I$2:$I$169,MATCH($I3,'Listings'!$A$2:$A$169,0))="","",INDEX('Listings'!$I$2:$I$169,MATCH($I3,'Listings'!$A$2:$A$169,0)))</x:f>
        <x:v>750</x:v>
      </x:c>
      <x:c r="E3" s="10" t="str">
        <x:v>Search and floor-plan prices disagree.</x:v>
      </x:c>
      <x:c r="F3" s="10" t="str">
        <x:f>IF(INDEX('Listings'!$Q$2:$Q$169,MATCH($I3,'Listings'!$A$2:$A$169,0))="","",INDEX('Listings'!$Q$2:$Q$169,MATCH($I3,'Listings'!$A$2:$A$169,0)))</x:f>
        <x:v>&gt;1–3 mi</x:v>
      </x:c>
      <x:c r="G3" s="10" t="str">
        <x:f>IF(INDEX('Listings'!$S$2:$S$169,MATCH($I3,'Listings'!$A$2:$A$169,0))="","",INDEX('Listings'!$S$2:$S$169,MATCH($I3,'Listings'!$A$2:$A$169,0)))</x:f>
        <x:v>&gt;1–3 mi</x:v>
      </x:c>
      <x:c r="H3" s="10" t="str">
        <x:f>IF(INDEX('Listings'!$U$2:$U$169,MATCH($I3,'Listings'!$A$2:$A$169,0))="","",INDEX('Listings'!$U$2:$U$169,MATCH($I3,'Listings'!$A$2:$A$169,0)))</x:f>
        <x:v>&gt;1–3 mi</x:v>
      </x:c>
      <x:c r="I3" s="10" t="str">
        <x:v>qcvpeqz</x:v>
      </x:c>
      <x:c r="J3" s="10" t="str">
        <x:f>IF(INDEX('Listings'!$C$2:$C$169,MATCH($I3,'Listings'!$A$2:$A$169,0))="","",INDEX('Listings'!$C$2:$C$169,MATCH($I3,'Listings'!$A$2:$A$169,0)))</x:f>
        <x:v>https://offcampus.dasa.ncsu.edu/housing/property/1431-collegiate-cir-raleigh-nc/qcvpeqz</x:v>
      </x:c>
      <x:c r="K3" s="10" t="str">
        <x:f>IF(INDEX('Listings'!$AG$2:$AG$169,MATCH($I3,'Listings'!$A$2:$A$169,0))="","",INDEX('Listings'!$AG$2:$AG$169,MATCH($I3,'Listings'!$A$2:$A$169,0)))</x:f>
        <x:v>Source pricing flag retained; automated consistency checks passed. This is not independent landlord verification. Search summary: $750–$750; saved floor-plan envelope: $725–$725. Difference may reflect fees, timing or scope; unresolved snapshot price excluded.</x:v>
      </x:c>
    </x:row>
    <x:row r="4" ht="36" hidden="0" customHeight="1">
      <x:c r="A4" s="10" t="str">
        <x:f>IF(INDEX('Listings'!$B$2:$B$169,MATCH($I4,'Listings'!$A$2:$A$169,0))="","",INDEX('Listings'!$B$2:$B$169,MATCH($I4,'Listings'!$A$2:$A$169,0)))</x:f>
        <x:v>3111 Kentish Town Ln (Raleigh, NC)</x:v>
      </x:c>
      <x:c r="B4" s="10" t="str">
        <x:f>IF(INDEX('Listings'!$E$2:$E$169,MATCH($I4,'Listings'!$A$2:$A$169,0))="","",INDEX('Listings'!$E$2:$E$169,MATCH($I4,'Listings'!$A$2:$A$169,0)))</x:f>
        <x:v>Whole unit</x:v>
      </x:c>
      <x:c r="C4" s="11" t="n">
        <x:f>IF(INDEX('Listings'!$H$2:$H$169,MATCH($I4,'Listings'!$A$2:$A$169,0))="","",INDEX('Listings'!$H$2:$H$169,MATCH($I4,'Listings'!$A$2:$A$169,0)))</x:f>
        <x:v>2700</x:v>
      </x:c>
      <x:c r="D4" s="11" t="n">
        <x:f>IF(INDEX('Listings'!$I$2:$I$169,MATCH($I4,'Listings'!$A$2:$A$169,0))="","",INDEX('Listings'!$I$2:$I$169,MATCH($I4,'Listings'!$A$2:$A$169,0)))</x:f>
        <x:v>2700</x:v>
      </x:c>
      <x:c r="E4" s="10" t="str">
        <x:v>Search and floor-plan prices disagree.</x:v>
      </x:c>
      <x:c r="F4" s="10" t="str">
        <x:f>IF(INDEX('Listings'!$Q$2:$Q$169,MATCH($I4,'Listings'!$A$2:$A$169,0))="","",INDEX('Listings'!$Q$2:$Q$169,MATCH($I4,'Listings'!$A$2:$A$169,0)))</x:f>
        <x:v>&gt;3–5 mi</x:v>
      </x:c>
      <x:c r="G4" s="10" t="str">
        <x:f>IF(INDEX('Listings'!$S$2:$S$169,MATCH($I4,'Listings'!$A$2:$A$169,0))="","",INDEX('Listings'!$S$2:$S$169,MATCH($I4,'Listings'!$A$2:$A$169,0)))</x:f>
        <x:v>&gt;3–5 mi</x:v>
      </x:c>
      <x:c r="H4" s="10" t="str">
        <x:f>IF(INDEX('Listings'!$U$2:$U$169,MATCH($I4,'Listings'!$A$2:$A$169,0))="","",INDEX('Listings'!$U$2:$U$169,MATCH($I4,'Listings'!$A$2:$A$169,0)))</x:f>
        <x:v>&gt;1–3 mi</x:v>
      </x:c>
      <x:c r="I4" s="10" t="str">
        <x:v>gdtz0ww</x:v>
      </x:c>
      <x:c r="J4" s="10" t="str">
        <x:f>IF(INDEX('Listings'!$C$2:$C$169,MATCH($I4,'Listings'!$A$2:$A$169,0))="","",INDEX('Listings'!$C$2:$C$169,MATCH($I4,'Listings'!$A$2:$A$169,0)))</x:f>
        <x:v>https://offcampus.dasa.ncsu.edu/housing/property/3111-kentish-town-ln-raleigh-nc/gdtz0ww</x:v>
      </x:c>
      <x:c r="K4" s="10" t="str">
        <x:f>IF(INDEX('Listings'!$AG$2:$AG$169,MATCH($I4,'Listings'!$A$2:$A$169,0))="","",INDEX('Listings'!$AG$2:$AG$169,MATCH($I4,'Listings'!$A$2:$A$169,0)))</x:f>
        <x:v>Source pricing flag retained; automated consistency checks passed. This is not independent landlord verification. Search summary: $2700–$2700; saved floor-plan envelope: $2675–$2675. Difference may reflect fees, timing or scope; unresolved snapshot price excluded.</x:v>
      </x:c>
    </x:row>
    <x:row r="5" ht="36" hidden="0" customHeight="1">
      <x:c r="A5" s="10" t="str">
        <x:f>IF(INDEX('Listings'!$B$2:$B$169,MATCH($I5,'Listings'!$A$2:$A$169,0))="","",INDEX('Listings'!$B$2:$B$169,MATCH($I5,'Listings'!$A$2:$A$169,0)))</x:f>
        <x:v>616 at the Village</x:v>
      </x:c>
      <x:c r="B5" s="10" t="str">
        <x:f>IF(INDEX('Listings'!$E$2:$E$169,MATCH($I5,'Listings'!$A$2:$A$169,0))="","",INDEX('Listings'!$E$2:$E$169,MATCH($I5,'Listings'!$A$2:$A$169,0)))</x:f>
        <x:v>Whole unit</x:v>
      </x:c>
      <x:c r="C5" s="11" t="n">
        <x:f>IF(INDEX('Listings'!$H$2:$H$169,MATCH($I5,'Listings'!$A$2:$A$169,0))="","",INDEX('Listings'!$H$2:$H$169,MATCH($I5,'Listings'!$A$2:$A$169,0)))</x:f>
        <x:v>1620</x:v>
      </x:c>
      <x:c r="D5" s="11" t="n">
        <x:f>IF(INDEX('Listings'!$I$2:$I$169,MATCH($I5,'Listings'!$A$2:$A$169,0))="","",INDEX('Listings'!$I$2:$I$169,MATCH($I5,'Listings'!$A$2:$A$169,0)))</x:f>
        <x:v>3430</x:v>
      </x:c>
      <x:c r="E5" s="10" t="str">
        <x:v>Search and floor-plan prices disagree.</x:v>
      </x:c>
      <x:c r="F5" s="10" t="str">
        <x:f>IF(INDEX('Listings'!$Q$2:$Q$169,MATCH($I5,'Listings'!$A$2:$A$169,0))="","",INDEX('Listings'!$Q$2:$Q$169,MATCH($I5,'Listings'!$A$2:$A$169,0)))</x:f>
        <x:v>&gt;1–3 mi</x:v>
      </x:c>
      <x:c r="G5" s="10" t="str">
        <x:f>IF(INDEX('Listings'!$S$2:$S$169,MATCH($I5,'Listings'!$A$2:$A$169,0))="","",INDEX('Listings'!$S$2:$S$169,MATCH($I5,'Listings'!$A$2:$A$169,0)))</x:f>
        <x:v>&gt;1–3 mi</x:v>
      </x:c>
      <x:c r="H5" s="10" t="str">
        <x:f>IF(INDEX('Listings'!$U$2:$U$169,MATCH($I5,'Listings'!$A$2:$A$169,0))="","",INDEX('Listings'!$U$2:$U$169,MATCH($I5,'Listings'!$A$2:$A$169,0)))</x:f>
        <x:v>&gt;1–3 mi</x:v>
      </x:c>
      <x:c r="I5" s="10" t="str">
        <x:v>0zm5l03</x:v>
      </x:c>
      <x:c r="J5" s="10" t="str">
        <x:f>IF(INDEX('Listings'!$C$2:$C$169,MATCH($I5,'Listings'!$A$2:$A$169,0))="","",INDEX('Listings'!$C$2:$C$169,MATCH($I5,'Listings'!$A$2:$A$169,0)))</x:f>
        <x:v>https://offcampus.dasa.ncsu.edu/housing/property/616-at-the-village/0zm5l03</x:v>
      </x:c>
      <x:c r="K5" s="10" t="str">
        <x:f>IF(INDEX('Listings'!$AG$2:$AG$169,MATCH($I5,'Listings'!$A$2:$A$169,0))="","",INDEX('Listings'!$AG$2:$AG$169,MATCH($I5,'Listings'!$A$2:$A$169,0)))</x:f>
        <x:v>Source pricing flag retained; automated consistency checks passed. This is not independent landlord verification. Search summary: $1620–$3430; saved floor-plan envelope: $1600–$3430. Difference may reflect fees, timing or scope; unresolved snapshot price excluded.</x:v>
      </x:c>
    </x:row>
    <x:row r="6" ht="24" hidden="0" customHeight="1">
      <x:c r="A6" s="10" t="str">
        <x:f>IF(INDEX('Listings'!$B$2:$B$169,MATCH($I6,'Listings'!$A$2:$A$169,0))="","",INDEX('Listings'!$B$2:$B$169,MATCH($I6,'Listings'!$A$2:$A$169,0)))</x:f>
        <x:v>Aventura RTP</x:v>
      </x:c>
      <x:c r="B6" s="10" t="str">
        <x:f>IF(INDEX('Listings'!$E$2:$E$169,MATCH($I6,'Listings'!$A$2:$A$169,0))="","",INDEX('Listings'!$E$2:$E$169,MATCH($I6,'Listings'!$A$2:$A$169,0)))</x:f>
        <x:v>Whole unit</x:v>
      </x:c>
      <x:c r="C6" s="11" t="n">
        <x:f>IF(INDEX('Listings'!$H$2:$H$169,MATCH($I6,'Listings'!$A$2:$A$169,0))="","",INDEX('Listings'!$H$2:$H$169,MATCH($I6,'Listings'!$A$2:$A$169,0)))</x:f>
        <x:v>1149</x:v>
      </x:c>
      <x:c r="D6" s="11" t="n">
        <x:f>IF(INDEX('Listings'!$I$2:$I$169,MATCH($I6,'Listings'!$A$2:$A$169,0))="","",INDEX('Listings'!$I$2:$I$169,MATCH($I6,'Listings'!$A$2:$A$169,0)))</x:f>
        <x:v>1946</x:v>
      </x:c>
      <x:c r="E6" s="10" t="str">
        <x:v>Outside all three five-mile areas.</x:v>
      </x:c>
      <x:c r="F6" s="10" t="str">
        <x:f>IF(INDEX('Listings'!$Q$2:$Q$169,MATCH($I6,'Listings'!$A$2:$A$169,0))="","",INDEX('Listings'!$Q$2:$Q$169,MATCH($I6,'Listings'!$A$2:$A$169,0)))</x:f>
        <x:v>Outside 5 mi</x:v>
      </x:c>
      <x:c r="G6" s="10" t="str">
        <x:f>IF(INDEX('Listings'!$S$2:$S$169,MATCH($I6,'Listings'!$A$2:$A$169,0))="","",INDEX('Listings'!$S$2:$S$169,MATCH($I6,'Listings'!$A$2:$A$169,0)))</x:f>
        <x:v>Outside 5 mi</x:v>
      </x:c>
      <x:c r="H6" s="10" t="str">
        <x:f>IF(INDEX('Listings'!$U$2:$U$169,MATCH($I6,'Listings'!$A$2:$A$169,0))="","",INDEX('Listings'!$U$2:$U$169,MATCH($I6,'Listings'!$A$2:$A$169,0)))</x:f>
        <x:v>Outside 5 mi</x:v>
      </x:c>
      <x:c r="I6" s="10" t="str">
        <x:v>59xvx3n</x:v>
      </x:c>
      <x:c r="J6" s="10" t="str">
        <x:f>IF(INDEX('Listings'!$C$2:$C$169,MATCH($I6,'Listings'!$A$2:$A$169,0))="","",INDEX('Listings'!$C$2:$C$169,MATCH($I6,'Listings'!$A$2:$A$169,0)))</x:f>
        <x:v>https://offcampus.dasa.ncsu.edu/housing/property/aventura-rtp/59xvx3n</x:v>
      </x:c>
      <x:c r="K6" s="10" t="str">
        <x:f>IF(INDEX('Listings'!$AG$2:$AG$169,MATCH($I6,'Listings'!$A$2:$A$169,0))="","",INDEX('Listings'!$AG$2:$AG$169,MATCH($I6,'Listings'!$A$2:$A$169,0)))</x:f>
        <x:v>Source pricing flag retained; automated consistency checks passed. This is not independent landlord verification.</x:v>
      </x:c>
    </x:row>
    <x:row r="7" ht="36" hidden="0" customHeight="1">
      <x:c r="A7" s="10" t="str">
        <x:f>IF(INDEX('Listings'!$B$2:$B$169,MATCH($I7,'Listings'!$A$2:$A$169,0))="","",INDEX('Listings'!$B$2:$B$169,MATCH($I7,'Listings'!$A$2:$A$169,0)))</x:f>
        <x:v>Campus Edge</x:v>
      </x:c>
      <x:c r="B7" s="10" t="str">
        <x:f>IF(INDEX('Listings'!$E$2:$E$169,MATCH($I7,'Listings'!$A$2:$A$169,0))="","",INDEX('Listings'!$E$2:$E$169,MATCH($I7,'Listings'!$A$2:$A$169,0)))</x:f>
        <x:v>Review</x:v>
      </x:c>
      <x:c r="C7" s="11" t="n">
        <x:f>IF(INDEX('Listings'!$H$2:$H$169,MATCH($I7,'Listings'!$A$2:$A$169,0))="","",INDEX('Listings'!$H$2:$H$169,MATCH($I7,'Listings'!$A$2:$A$169,0)))</x:f>
        <x:v>955</x:v>
      </x:c>
      <x:c r="D7" s="11" t="n">
        <x:f>IF(INDEX('Listings'!$I$2:$I$169,MATCH($I7,'Listings'!$A$2:$A$169,0))="","",INDEX('Listings'!$I$2:$I$169,MATCH($I7,'Listings'!$A$2:$A$169,0)))</x:f>
        <x:v>980</x:v>
      </x:c>
      <x:c r="E7" s="10" t="str">
        <x:v>Unresolved room/whole-unit pricing basis. Search and floor-plan prices disagree.</x:v>
      </x:c>
      <x:c r="F7" s="10" t="str">
        <x:f>IF(INDEX('Listings'!$Q$2:$Q$169,MATCH($I7,'Listings'!$A$2:$A$169,0))="","",INDEX('Listings'!$Q$2:$Q$169,MATCH($I7,'Listings'!$A$2:$A$169,0)))</x:f>
        <x:v>&gt;1–3 mi</x:v>
      </x:c>
      <x:c r="G7" s="10" t="str">
        <x:f>IF(INDEX('Listings'!$S$2:$S$169,MATCH($I7,'Listings'!$A$2:$A$169,0))="","",INDEX('Listings'!$S$2:$S$169,MATCH($I7,'Listings'!$A$2:$A$169,0)))</x:f>
        <x:v>&gt;1–3 mi</x:v>
      </x:c>
      <x:c r="H7" s="10" t="str">
        <x:f>IF(INDEX('Listings'!$U$2:$U$169,MATCH($I7,'Listings'!$A$2:$A$169,0))="","",INDEX('Listings'!$U$2:$U$169,MATCH($I7,'Listings'!$A$2:$A$169,0)))</x:f>
        <x:v>&gt;3–5 mi</x:v>
      </x:c>
      <x:c r="I7" s="10" t="str">
        <x:v>dw0f7sh</x:v>
      </x:c>
      <x:c r="J7" s="10" t="str">
        <x:f>IF(INDEX('Listings'!$C$2:$C$169,MATCH($I7,'Listings'!$A$2:$A$169,0))="","",INDEX('Listings'!$C$2:$C$169,MATCH($I7,'Listings'!$A$2:$A$169,0)))</x:f>
        <x:v>https://offcampus.dasa.ncsu.edu/housing/property/campus-edge/dw0f7sh</x:v>
      </x:c>
      <x:c r="K7" s="10" t="str">
        <x:f>IF(INDEX('Listings'!$AG$2:$AG$169,MATCH($I7,'Listings'!$A$2:$A$169,0))="","",INDEX('Listings'!$AG$2:$AG$169,MATCH($I7,'Listings'!$A$2:$A$169,0)))</x:f>
        <x:v>Saved floor plans contain both per-bedroom and whole-unit flags. A single property range cannot be assigned a reliable common pricing basis; no division by bedroom count or price substitution. Search summary: $955–$980; saved floor-plan envelope: $905–$1895. Difference may reflect fees, timing or scope; unresolved snapshot price excluded.</x:v>
      </x:c>
    </x:row>
    <x:row r="8" ht="36" hidden="0" customHeight="1">
      <x:c r="A8" s="10" t="str">
        <x:f>IF(INDEX('Listings'!$B$2:$B$169,MATCH($I8,'Listings'!$A$2:$A$169,0))="","",INDEX('Listings'!$B$2:$B$169,MATCH($I8,'Listings'!$A$2:$A$169,0)))</x:f>
        <x:v>Furnished Studio/ADU | Olde Raleigh | Parking | Fast Wi-Fi</x:v>
      </x:c>
      <x:c r="B8" s="10" t="str">
        <x:f>IF(INDEX('Listings'!$E$2:$E$169,MATCH($I8,'Listings'!$A$2:$A$169,0))="","",INDEX('Listings'!$E$2:$E$169,MATCH($I8,'Listings'!$A$2:$A$169,0)))</x:f>
        <x:v>Whole unit</x:v>
      </x:c>
      <x:c r="C8" s="11" t="n">
        <x:f>IF(INDEX('Listings'!$H$2:$H$169,MATCH($I8,'Listings'!$A$2:$A$169,0))="","",INDEX('Listings'!$H$2:$H$169,MATCH($I8,'Listings'!$A$2:$A$169,0)))</x:f>
        <x:v>1875</x:v>
      </x:c>
      <x:c r="D8" s="11" t="n">
        <x:f>IF(INDEX('Listings'!$I$2:$I$169,MATCH($I8,'Listings'!$A$2:$A$169,0))="","",INDEX('Listings'!$I$2:$I$169,MATCH($I8,'Listings'!$A$2:$A$169,0)))</x:f>
        <x:v>1875</x:v>
      </x:c>
      <x:c r="E8" s="10" t="str">
        <x:v>Outside all three five-mile areas.</x:v>
      </x:c>
      <x:c r="F8" s="10" t="str">
        <x:f>IF(INDEX('Listings'!$Q$2:$Q$169,MATCH($I8,'Listings'!$A$2:$A$169,0))="","",INDEX('Listings'!$Q$2:$Q$169,MATCH($I8,'Listings'!$A$2:$A$169,0)))</x:f>
        <x:v>Outside 5 mi</x:v>
      </x:c>
      <x:c r="G8" s="10" t="str">
        <x:f>IF(INDEX('Listings'!$S$2:$S$169,MATCH($I8,'Listings'!$A$2:$A$169,0))="","",INDEX('Listings'!$S$2:$S$169,MATCH($I8,'Listings'!$A$2:$A$169,0)))</x:f>
        <x:v>Outside 5 mi</x:v>
      </x:c>
      <x:c r="H8" s="10" t="str">
        <x:f>IF(INDEX('Listings'!$U$2:$U$169,MATCH($I8,'Listings'!$A$2:$A$169,0))="","",INDEX('Listings'!$U$2:$U$169,MATCH($I8,'Listings'!$A$2:$A$169,0)))</x:f>
        <x:v>Outside 5 mi</x:v>
      </x:c>
      <x:c r="I8" s="10" t="str">
        <x:v>ocp5ey2bmq</x:v>
      </x:c>
      <x:c r="J8" s="10" t="str">
        <x:f>IF(INDEX('Listings'!$C$2:$C$169,MATCH($I8,'Listings'!$A$2:$A$169,0))="","",INDEX('Listings'!$C$2:$C$169,MATCH($I8,'Listings'!$A$2:$A$169,0)))</x:f>
        <x:v>https://offcampus.dasa.ncsu.edu/housing/property/furnished-studio-adu-olde-raleigh-parking-fast-wi-fi/ocp5ey2bmq</x:v>
      </x:c>
      <x:c r="K8" s="10" t="str">
        <x:f>IF(INDEX('Listings'!$AG$2:$AG$169,MATCH($I8,'Listings'!$A$2:$A$169,0))="","",INDEX('Listings'!$AG$2:$AG$169,MATCH($I8,'Listings'!$A$2:$A$169,0)))</x:f>
        <x:v>Source pricing flag retained; automated consistency checks passed. This is not independent landlord verification.</x:v>
      </x:c>
    </x:row>
    <x:row r="9" ht="36" hidden="0" customHeight="1">
      <x:c r="A9" s="10" t="str">
        <x:f>IF(INDEX('Listings'!$B$2:$B$169,MATCH($I9,'Listings'!$A$2:$A$169,0))="","",INDEX('Listings'!$B$2:$B$169,MATCH($I9,'Listings'!$A$2:$A$169,0)))</x:f>
        <x:v>Hub Raleigh</x:v>
      </x:c>
      <x:c r="B9" s="10" t="str">
        <x:f>IF(INDEX('Listings'!$E$2:$E$169,MATCH($I9,'Listings'!$A$2:$A$169,0))="","",INDEX('Listings'!$E$2:$E$169,MATCH($I9,'Listings'!$A$2:$A$169,0)))</x:f>
        <x:v>Review</x:v>
      </x:c>
      <x:c r="C9" s="11" t="n">
        <x:f>IF(INDEX('Listings'!$H$2:$H$169,MATCH($I9,'Listings'!$A$2:$A$169,0))="","",INDEX('Listings'!$H$2:$H$169,MATCH($I9,'Listings'!$A$2:$A$169,0)))</x:f>
        <x:v>799</x:v>
      </x:c>
      <x:c r="D9" s="11" t="n">
        <x:f>IF(INDEX('Listings'!$I$2:$I$169,MATCH($I9,'Listings'!$A$2:$A$169,0))="","",INDEX('Listings'!$I$2:$I$169,MATCH($I9,'Listings'!$A$2:$A$169,0)))</x:f>
        <x:v>1599</x:v>
      </x:c>
      <x:c r="E9" s="10" t="str">
        <x:v>Unresolved room/whole-unit pricing basis.</x:v>
      </x:c>
      <x:c r="F9" s="10" t="str">
        <x:f>IF(INDEX('Listings'!$Q$2:$Q$169,MATCH($I9,'Listings'!$A$2:$A$169,0))="","",INDEX('Listings'!$Q$2:$Q$169,MATCH($I9,'Listings'!$A$2:$A$169,0)))</x:f>
        <x:v>&gt;1–3 mi</x:v>
      </x:c>
      <x:c r="G9" s="10" t="str">
        <x:f>IF(INDEX('Listings'!$S$2:$S$169,MATCH($I9,'Listings'!$A$2:$A$169,0))="","",INDEX('Listings'!$S$2:$S$169,MATCH($I9,'Listings'!$A$2:$A$169,0)))</x:f>
        <x:v>&gt;1–3 mi</x:v>
      </x:c>
      <x:c r="H9" s="10" t="str">
        <x:f>IF(INDEX('Listings'!$U$2:$U$169,MATCH($I9,'Listings'!$A$2:$A$169,0))="","",INDEX('Listings'!$U$2:$U$169,MATCH($I9,'Listings'!$A$2:$A$169,0)))</x:f>
        <x:v>&gt;1–3 mi</x:v>
      </x:c>
      <x:c r="I9" s="10" t="str">
        <x:v>61y0ywr</x:v>
      </x:c>
      <x:c r="J9" s="10" t="str">
        <x:f>IF(INDEX('Listings'!$C$2:$C$169,MATCH($I9,'Listings'!$A$2:$A$169,0))="","",INDEX('Listings'!$C$2:$C$169,MATCH($I9,'Listings'!$A$2:$A$169,0)))</x:f>
        <x:v>https://offcampus.dasa.ncsu.edu/housing/property/hub-raleigh/61y0ywr</x:v>
      </x:c>
      <x:c r="K9" s="10" t="str">
        <x:f>IF(INDEX('Listings'!$AG$2:$AG$169,MATCH($I9,'Listings'!$A$2:$A$169,0))="","",INDEX('Listings'!$AG$2:$AG$169,MATCH($I9,'Listings'!$A$2:$A$169,0)))</x:f>
        <x:v>Hub Raleigh advertises individual leases, studios and multi-bedroom plans, but saved flags mark every plan as whole-unit. Cannot reliably allocate the single $799–$1,599 property range between personal and dwelling prices. Excluded pending plan-level pricing confirmation.</x:v>
      </x:c>
    </x:row>
    <x:row r="10" ht="24" hidden="0" customHeight="1">
      <x:c r="A10" s="10" t="str">
        <x:f>IF(INDEX('Listings'!$B$2:$B$169,MATCH($I10,'Listings'!$A$2:$A$169,0))="","",INDEX('Listings'!$B$2:$B$169,MATCH($I10,'Listings'!$A$2:$A$169,0)))</x:f>
        <x:v>Lantower Bullhouse</x:v>
      </x:c>
      <x:c r="B10" s="10" t="str">
        <x:f>IF(INDEX('Listings'!$E$2:$E$169,MATCH($I10,'Listings'!$A$2:$A$169,0))="","",INDEX('Listings'!$E$2:$E$169,MATCH($I10,'Listings'!$A$2:$A$169,0)))</x:f>
        <x:v>Whole unit</x:v>
      </x:c>
      <x:c r="C10" s="11" t="n">
        <x:f>IF(INDEX('Listings'!$H$2:$H$169,MATCH($I10,'Listings'!$A$2:$A$169,0))="","",INDEX('Listings'!$H$2:$H$169,MATCH($I10,'Listings'!$A$2:$A$169,0)))</x:f>
        <x:v>1377</x:v>
      </x:c>
      <x:c r="D10" s="11" t="n">
        <x:f>IF(INDEX('Listings'!$I$2:$I$169,MATCH($I10,'Listings'!$A$2:$A$169,0))="","",INDEX('Listings'!$I$2:$I$169,MATCH($I10,'Listings'!$A$2:$A$169,0)))</x:f>
        <x:v>4346</x:v>
      </x:c>
      <x:c r="E10" s="10" t="str">
        <x:v>Outside all three five-mile areas.</x:v>
      </x:c>
      <x:c r="F10" s="10" t="str">
        <x:f>IF(INDEX('Listings'!$Q$2:$Q$169,MATCH($I10,'Listings'!$A$2:$A$169,0))="","",INDEX('Listings'!$Q$2:$Q$169,MATCH($I10,'Listings'!$A$2:$A$169,0)))</x:f>
        <x:v>Outside 5 mi</x:v>
      </x:c>
      <x:c r="G10" s="10" t="str">
        <x:f>IF(INDEX('Listings'!$S$2:$S$169,MATCH($I10,'Listings'!$A$2:$A$169,0))="","",INDEX('Listings'!$S$2:$S$169,MATCH($I10,'Listings'!$A$2:$A$169,0)))</x:f>
        <x:v>Outside 5 mi</x:v>
      </x:c>
      <x:c r="H10" s="10" t="str">
        <x:f>IF(INDEX('Listings'!$U$2:$U$169,MATCH($I10,'Listings'!$A$2:$A$169,0))="","",INDEX('Listings'!$U$2:$U$169,MATCH($I10,'Listings'!$A$2:$A$169,0)))</x:f>
        <x:v>Outside 5 mi</x:v>
      </x:c>
      <x:c r="I10" s="10" t="str">
        <x:v>hgdd8s0</x:v>
      </x:c>
      <x:c r="J10" s="10" t="str">
        <x:f>IF(INDEX('Listings'!$C$2:$C$169,MATCH($I10,'Listings'!$A$2:$A$169,0))="","",INDEX('Listings'!$C$2:$C$169,MATCH($I10,'Listings'!$A$2:$A$169,0)))</x:f>
        <x:v>https://offcampus.dasa.ncsu.edu/housing/property/lantower-bullhouse/hgdd8s0</x:v>
      </x:c>
      <x:c r="K10" s="10" t="str">
        <x:f>IF(INDEX('Listings'!$AG$2:$AG$169,MATCH($I10,'Listings'!$A$2:$A$169,0))="","",INDEX('Listings'!$AG$2:$AG$169,MATCH($I10,'Listings'!$A$2:$A$169,0)))</x:f>
        <x:v>Source pricing flag retained; automated consistency checks passed. This is not independent landlord verification.</x:v>
      </x:c>
    </x:row>
    <x:row r="11" ht="36" hidden="0" customHeight="1">
      <x:c r="A11" s="10" t="str">
        <x:f>IF(INDEX('Listings'!$B$2:$B$169,MATCH($I11,'Listings'!$A$2:$A$169,0))="","",INDEX('Listings'!$B$2:$B$169,MATCH($I11,'Listings'!$A$2:$A$169,0)))</x:f>
        <x:v>Live on Hillsborough</x:v>
      </x:c>
      <x:c r="B11" s="10" t="str">
        <x:f>IF(INDEX('Listings'!$E$2:$E$169,MATCH($I11,'Listings'!$A$2:$A$169,0))="","",INDEX('Listings'!$E$2:$E$169,MATCH($I11,'Listings'!$A$2:$A$169,0)))</x:f>
        <x:v>Review</x:v>
      </x:c>
      <x:c r="C11" s="11" t="n">
        <x:f>IF(INDEX('Listings'!$H$2:$H$169,MATCH($I11,'Listings'!$A$2:$A$169,0))="","",INDEX('Listings'!$H$2:$H$169,MATCH($I11,'Listings'!$A$2:$A$169,0)))</x:f>
        <x:v>979</x:v>
      </x:c>
      <x:c r="D11" s="11" t="n">
        <x:f>IF(INDEX('Listings'!$I$2:$I$169,MATCH($I11,'Listings'!$A$2:$A$169,0))="","",INDEX('Listings'!$I$2:$I$169,MATCH($I11,'Listings'!$A$2:$A$169,0)))</x:f>
        <x:v>1435</x:v>
      </x:c>
      <x:c r="E11" s="10" t="str">
        <x:v>Unresolved room/whole-unit pricing basis.</x:v>
      </x:c>
      <x:c r="F11" s="10" t="str">
        <x:f>IF(INDEX('Listings'!$Q$2:$Q$169,MATCH($I11,'Listings'!$A$2:$A$169,0))="","",INDEX('Listings'!$Q$2:$Q$169,MATCH($I11,'Listings'!$A$2:$A$169,0)))</x:f>
        <x:v>0–1 mi</x:v>
      </x:c>
      <x:c r="G11" s="10" t="str">
        <x:f>IF(INDEX('Listings'!$S$2:$S$169,MATCH($I11,'Listings'!$A$2:$A$169,0))="","",INDEX('Listings'!$S$2:$S$169,MATCH($I11,'Listings'!$A$2:$A$169,0)))</x:f>
        <x:v>&gt;1–3 mi</x:v>
      </x:c>
      <x:c r="H11" s="10" t="str">
        <x:f>IF(INDEX('Listings'!$U$2:$U$169,MATCH($I11,'Listings'!$A$2:$A$169,0))="","",INDEX('Listings'!$U$2:$U$169,MATCH($I11,'Listings'!$A$2:$A$169,0)))</x:f>
        <x:v>&gt;1–3 mi</x:v>
      </x:c>
      <x:c r="I11" s="10" t="str">
        <x:v>6mnn0qr</x:v>
      </x:c>
      <x:c r="J11" s="10" t="str">
        <x:f>IF(INDEX('Listings'!$C$2:$C$169,MATCH($I11,'Listings'!$A$2:$A$169,0))="","",INDEX('Listings'!$C$2:$C$169,MATCH($I11,'Listings'!$A$2:$A$169,0)))</x:f>
        <x:v>https://offcampus.dasa.ncsu.edu/housing/property/live-on-hillsborough/6mnn0qr</x:v>
      </x:c>
      <x:c r="K11" s="10" t="str">
        <x:f>IF(INDEX('Listings'!$AG$2:$AG$169,MATCH($I11,'Listings'!$A$2:$A$169,0))="","",INDEX('Listings'!$AG$2:$AG$169,MATCH($I11,'Listings'!$A$2:$A$169,0)))</x:f>
        <x:v>September 13 portal shows one-bedroom whole-unit prices and two/three-bedroom per-bedroom prices. The saved property range mixes these bases. Excluded rather than treating all floor plans as independent listings or assigning the whole range to one group.</x:v>
      </x:c>
    </x:row>
    <x:row r="12" ht="24" hidden="0" customHeight="1">
      <x:c r="A12" s="10" t="str">
        <x:f>IF(INDEX('Listings'!$B$2:$B$169,MATCH($I12,'Listings'!$A$2:$A$169,0))="","",INDEX('Listings'!$B$2:$B$169,MATCH($I12,'Listings'!$A$2:$A$169,0)))</x:f>
        <x:v>Lofts at Lakeview</x:v>
      </x:c>
      <x:c r="B12" s="10" t="str">
        <x:f>IF(INDEX('Listings'!$E$2:$E$169,MATCH($I12,'Listings'!$A$2:$A$169,0))="","",INDEX('Listings'!$E$2:$E$169,MATCH($I12,'Listings'!$A$2:$A$169,0)))</x:f>
        <x:v>Whole unit</x:v>
      </x:c>
      <x:c r="C12" s="11" t="n">
        <x:f>IF(INDEX('Listings'!$H$2:$H$169,MATCH($I12,'Listings'!$A$2:$A$169,0))="","",INDEX('Listings'!$H$2:$H$169,MATCH($I12,'Listings'!$A$2:$A$169,0)))</x:f>
        <x:v>1595</x:v>
      </x:c>
      <x:c r="D12" s="11" t="n">
        <x:f>IF(INDEX('Listings'!$I$2:$I$169,MATCH($I12,'Listings'!$A$2:$A$169,0))="","",INDEX('Listings'!$I$2:$I$169,MATCH($I12,'Listings'!$A$2:$A$169,0)))</x:f>
        <x:v>2995</x:v>
      </x:c>
      <x:c r="E12" s="10" t="str">
        <x:v>Outside all three five-mile areas.</x:v>
      </x:c>
      <x:c r="F12" s="10" t="str">
        <x:f>IF(INDEX('Listings'!$Q$2:$Q$169,MATCH($I12,'Listings'!$A$2:$A$169,0))="","",INDEX('Listings'!$Q$2:$Q$169,MATCH($I12,'Listings'!$A$2:$A$169,0)))</x:f>
        <x:v>Outside 5 mi</x:v>
      </x:c>
      <x:c r="G12" s="10" t="str">
        <x:f>IF(INDEX('Listings'!$S$2:$S$169,MATCH($I12,'Listings'!$A$2:$A$169,0))="","",INDEX('Listings'!$S$2:$S$169,MATCH($I12,'Listings'!$A$2:$A$169,0)))</x:f>
        <x:v>Outside 5 mi</x:v>
      </x:c>
      <x:c r="H12" s="10" t="str">
        <x:f>IF(INDEX('Listings'!$U$2:$U$169,MATCH($I12,'Listings'!$A$2:$A$169,0))="","",INDEX('Listings'!$U$2:$U$169,MATCH($I12,'Listings'!$A$2:$A$169,0)))</x:f>
        <x:v>Outside 5 mi</x:v>
      </x:c>
      <x:c r="I12" s="10" t="str">
        <x:v>kele8mc</x:v>
      </x:c>
      <x:c r="J12" s="10" t="str">
        <x:f>IF(INDEX('Listings'!$C$2:$C$169,MATCH($I12,'Listings'!$A$2:$A$169,0))="","",INDEX('Listings'!$C$2:$C$169,MATCH($I12,'Listings'!$A$2:$A$169,0)))</x:f>
        <x:v>https://offcampus.dasa.ncsu.edu/housing/property/lofts-at-lakeview/kele8mc</x:v>
      </x:c>
      <x:c r="K12" s="10" t="str">
        <x:f>IF(INDEX('Listings'!$AG$2:$AG$169,MATCH($I12,'Listings'!$A$2:$A$169,0))="","",INDEX('Listings'!$AG$2:$AG$169,MATCH($I12,'Listings'!$A$2:$A$169,0)))</x:f>
        <x:v>Source pricing flag retained; automated consistency checks passed. This is not independent landlord verification.</x:v>
      </x:c>
    </x:row>
    <x:row r="13" ht="24" hidden="0" customHeight="1">
      <x:c r="A13" s="10" t="str">
        <x:f>IF(INDEX('Listings'!$B$2:$B$169,MATCH($I13,'Listings'!$A$2:$A$169,0))="","",INDEX('Listings'!$B$2:$B$169,MATCH($I13,'Listings'!$A$2:$A$169,0)))</x:f>
        <x:v>Lofts at Lineberry</x:v>
      </x:c>
      <x:c r="B13" s="10" t="str">
        <x:f>IF(INDEX('Listings'!$E$2:$E$169,MATCH($I13,'Listings'!$A$2:$A$169,0))="","",INDEX('Listings'!$E$2:$E$169,MATCH($I13,'Listings'!$A$2:$A$169,0)))</x:f>
        <x:v>Whole unit</x:v>
      </x:c>
      <x:c r="C13" s="11" t="str">
        <x:f>IF(INDEX('Listings'!$H$2:$H$169,MATCH($I13,'Listings'!$A$2:$A$169,0))="","",INDEX('Listings'!$H$2:$H$169,MATCH($I13,'Listings'!$A$2:$A$169,0)))</x:f>
      </x:c>
      <x:c r="D13" s="11" t="str">
        <x:f>IF(INDEX('Listings'!$I$2:$I$169,MATCH($I13,'Listings'!$A$2:$A$169,0))="","",INDEX('Listings'!$I$2:$I$169,MATCH($I13,'Listings'!$A$2:$A$169,0)))</x:f>
      </x:c>
      <x:c r="E13" s="10" t="str">
        <x:v>Missing or invalid advertised price pair.</x:v>
      </x:c>
      <x:c r="F13" s="10" t="str">
        <x:f>IF(INDEX('Listings'!$Q$2:$Q$169,MATCH($I13,'Listings'!$A$2:$A$169,0))="","",INDEX('Listings'!$Q$2:$Q$169,MATCH($I13,'Listings'!$A$2:$A$169,0)))</x:f>
        <x:v>&gt;1–3 mi</x:v>
      </x:c>
      <x:c r="G13" s="10" t="str">
        <x:f>IF(INDEX('Listings'!$S$2:$S$169,MATCH($I13,'Listings'!$A$2:$A$169,0))="","",INDEX('Listings'!$S$2:$S$169,MATCH($I13,'Listings'!$A$2:$A$169,0)))</x:f>
        <x:v>&gt;1–3 mi</x:v>
      </x:c>
      <x:c r="H13" s="10" t="str">
        <x:f>IF(INDEX('Listings'!$U$2:$U$169,MATCH($I13,'Listings'!$A$2:$A$169,0))="","",INDEX('Listings'!$U$2:$U$169,MATCH($I13,'Listings'!$A$2:$A$169,0)))</x:f>
        <x:v>&gt;3–5 mi</x:v>
      </x:c>
      <x:c r="I13" s="10" t="str">
        <x:v>z44390w</x:v>
      </x:c>
      <x:c r="J13" s="10" t="str">
        <x:f>IF(INDEX('Listings'!$C$2:$C$169,MATCH($I13,'Listings'!$A$2:$A$169,0))="","",INDEX('Listings'!$C$2:$C$169,MATCH($I13,'Listings'!$A$2:$A$169,0)))</x:f>
        <x:v>https://offcampus.dasa.ncsu.edu/housing/property/lofts-at-lineberry/z44390w</x:v>
      </x:c>
      <x:c r="K13" s="10" t="str">
        <x:f>IF(INDEX('Listings'!$AG$2:$AG$169,MATCH($I13,'Listings'!$A$2:$A$169,0))="","",INDEX('Listings'!$AG$2:$AG$169,MATCH($I13,'Listings'!$A$2:$A$169,0)))</x:f>
        <x:v>Source pricing flag retained; automated consistency checks passed. This is not independent landlord verification.</x:v>
      </x:c>
    </x:row>
    <x:row r="14" ht="24" hidden="0" customHeight="1">
      <x:c r="A14" s="10" t="str">
        <x:f>IF(INDEX('Listings'!$B$2:$B$169,MATCH($I14,'Listings'!$A$2:$A$169,0))="","",INDEX('Listings'!$B$2:$B$169,MATCH($I14,'Listings'!$A$2:$A$169,0)))</x:f>
        <x:v>LYV Woodcroft at Southpoint</x:v>
      </x:c>
      <x:c r="B14" s="10" t="str">
        <x:f>IF(INDEX('Listings'!$E$2:$E$169,MATCH($I14,'Listings'!$A$2:$A$169,0))="","",INDEX('Listings'!$E$2:$E$169,MATCH($I14,'Listings'!$A$2:$A$169,0)))</x:f>
        <x:v>Whole unit</x:v>
      </x:c>
      <x:c r="C14" s="11" t="n">
        <x:f>IF(INDEX('Listings'!$H$2:$H$169,MATCH($I14,'Listings'!$A$2:$A$169,0))="","",INDEX('Listings'!$H$2:$H$169,MATCH($I14,'Listings'!$A$2:$A$169,0)))</x:f>
        <x:v>1200</x:v>
      </x:c>
      <x:c r="D14" s="11" t="n">
        <x:f>IF(INDEX('Listings'!$I$2:$I$169,MATCH($I14,'Listings'!$A$2:$A$169,0))="","",INDEX('Listings'!$I$2:$I$169,MATCH($I14,'Listings'!$A$2:$A$169,0)))</x:f>
        <x:v>1400</x:v>
      </x:c>
      <x:c r="E14" s="10" t="str">
        <x:v>Outside all three five-mile areas.</x:v>
      </x:c>
      <x:c r="F14" s="10" t="str">
        <x:f>IF(INDEX('Listings'!$Q$2:$Q$169,MATCH($I14,'Listings'!$A$2:$A$169,0))="","",INDEX('Listings'!$Q$2:$Q$169,MATCH($I14,'Listings'!$A$2:$A$169,0)))</x:f>
        <x:v>Outside 5 mi</x:v>
      </x:c>
      <x:c r="G14" s="10" t="str">
        <x:f>IF(INDEX('Listings'!$S$2:$S$169,MATCH($I14,'Listings'!$A$2:$A$169,0))="","",INDEX('Listings'!$S$2:$S$169,MATCH($I14,'Listings'!$A$2:$A$169,0)))</x:f>
        <x:v>Outside 5 mi</x:v>
      </x:c>
      <x:c r="H14" s="10" t="str">
        <x:f>IF(INDEX('Listings'!$U$2:$U$169,MATCH($I14,'Listings'!$A$2:$A$169,0))="","",INDEX('Listings'!$U$2:$U$169,MATCH($I14,'Listings'!$A$2:$A$169,0)))</x:f>
        <x:v>Outside 5 mi</x:v>
      </x:c>
      <x:c r="I14" s="10" t="str">
        <x:v>9de4we5</x:v>
      </x:c>
      <x:c r="J14" s="10" t="str">
        <x:f>IF(INDEX('Listings'!$C$2:$C$169,MATCH($I14,'Listings'!$A$2:$A$169,0))="","",INDEX('Listings'!$C$2:$C$169,MATCH($I14,'Listings'!$A$2:$A$169,0)))</x:f>
        <x:v>https://offcampus.dasa.ncsu.edu/housing/property/lyv-woodcroft-at-southpoint/9de4we5</x:v>
      </x:c>
      <x:c r="K14" s="10" t="str">
        <x:f>IF(INDEX('Listings'!$AG$2:$AG$169,MATCH($I14,'Listings'!$A$2:$A$169,0))="","",INDEX('Listings'!$AG$2:$AG$169,MATCH($I14,'Listings'!$A$2:$A$169,0)))</x:f>
        <x:v>Source pricing flag retained; automated consistency checks passed. This is not independent landlord verification.</x:v>
      </x:c>
    </x:row>
    <x:row r="15" ht="24" hidden="0" customHeight="1">
      <x:c r="A15" s="10" t="str">
        <x:f>IF(INDEX('Listings'!$B$2:$B$169,MATCH($I15,'Listings'!$A$2:$A$169,0))="","",INDEX('Listings'!$B$2:$B$169,MATCH($I15,'Listings'!$A$2:$A$169,0)))</x:f>
        <x:v>Maxwell Raleigh</x:v>
      </x:c>
      <x:c r="B15" s="10" t="str">
        <x:f>IF(INDEX('Listings'!$E$2:$E$169,MATCH($I15,'Listings'!$A$2:$A$169,0))="","",INDEX('Listings'!$E$2:$E$169,MATCH($I15,'Listings'!$A$2:$A$169,0)))</x:f>
        <x:v>Review</x:v>
      </x:c>
      <x:c r="C15" s="11" t="n">
        <x:f>IF(INDEX('Listings'!$H$2:$H$169,MATCH($I15,'Listings'!$A$2:$A$169,0))="","",INDEX('Listings'!$H$2:$H$169,MATCH($I15,'Listings'!$A$2:$A$169,0)))</x:f>
        <x:v>799</x:v>
      </x:c>
      <x:c r="D15" s="11" t="n">
        <x:f>IF(INDEX('Listings'!$I$2:$I$169,MATCH($I15,'Listings'!$A$2:$A$169,0))="","",INDEX('Listings'!$I$2:$I$169,MATCH($I15,'Listings'!$A$2:$A$169,0)))</x:f>
        <x:v>1899</x:v>
      </x:c>
      <x:c r="E15" s="10" t="str">
        <x:v>Unresolved room/whole-unit pricing basis.</x:v>
      </x:c>
      <x:c r="F15" s="10" t="str">
        <x:f>IF(INDEX('Listings'!$Q$2:$Q$169,MATCH($I15,'Listings'!$A$2:$A$169,0))="","",INDEX('Listings'!$Q$2:$Q$169,MATCH($I15,'Listings'!$A$2:$A$169,0)))</x:f>
        <x:v>0–1 mi</x:v>
      </x:c>
      <x:c r="G15" s="10" t="str">
        <x:f>IF(INDEX('Listings'!$S$2:$S$169,MATCH($I15,'Listings'!$A$2:$A$169,0))="","",INDEX('Listings'!$S$2:$S$169,MATCH($I15,'Listings'!$A$2:$A$169,0)))</x:f>
        <x:v>&gt;1–3 mi</x:v>
      </x:c>
      <x:c r="H15" s="10" t="str">
        <x:f>IF(INDEX('Listings'!$U$2:$U$169,MATCH($I15,'Listings'!$A$2:$A$169,0))="","",INDEX('Listings'!$U$2:$U$169,MATCH($I15,'Listings'!$A$2:$A$169,0)))</x:f>
        <x:v>&gt;1–3 mi</x:v>
      </x:c>
      <x:c r="I15" s="10" t="str">
        <x:v>es0855q</x:v>
      </x:c>
      <x:c r="J15" s="10" t="str">
        <x:f>IF(INDEX('Listings'!$C$2:$C$169,MATCH($I15,'Listings'!$A$2:$A$169,0))="","",INDEX('Listings'!$C$2:$C$169,MATCH($I15,'Listings'!$A$2:$A$169,0)))</x:f>
        <x:v>https://offcampus.dasa.ncsu.edu/housing/property/maxwell-raleigh/es0855q</x:v>
      </x:c>
      <x:c r="K15" s="10" t="str">
        <x:f>IF(INDEX('Listings'!$AG$2:$AG$169,MATCH($I15,'Listings'!$A$2:$A$169,0))="","",INDEX('Listings'!$AG$2:$AG$169,MATCH($I15,'Listings'!$A$2:$A$169,0)))</x:f>
        <x:v>Saved floor plans contain both per-bedroom and whole-unit flags. A single property range cannot be assigned a reliable common pricing basis; no division by bedroom count or price substitution.</x:v>
      </x:c>
    </x:row>
    <x:row r="16" ht="24" hidden="0" customHeight="1">
      <x:c r="A16" s="10" t="str">
        <x:f>IF(INDEX('Listings'!$B$2:$B$169,MATCH($I16,'Listings'!$A$2:$A$169,0))="","",INDEX('Listings'!$B$2:$B$169,MATCH($I16,'Listings'!$A$2:$A$169,0)))</x:f>
        <x:v>Private House room listing</x:v>
      </x:c>
      <x:c r="B16" s="10" t="str">
        <x:f>IF(INDEX('Listings'!$E$2:$E$169,MATCH($I16,'Listings'!$A$2:$A$169,0))="","",INDEX('Listings'!$E$2:$E$169,MATCH($I16,'Listings'!$A$2:$A$169,0)))</x:f>
        <x:v>Per bedroom</x:v>
      </x:c>
      <x:c r="C16" s="11" t="n">
        <x:f>IF(INDEX('Listings'!$H$2:$H$169,MATCH($I16,'Listings'!$A$2:$A$169,0))="","",INDEX('Listings'!$H$2:$H$169,MATCH($I16,'Listings'!$A$2:$A$169,0)))</x:f>
        <x:v>1000</x:v>
      </x:c>
      <x:c r="D16" s="11" t="n">
        <x:f>IF(INDEX('Listings'!$I$2:$I$169,MATCH($I16,'Listings'!$A$2:$A$169,0))="","",INDEX('Listings'!$I$2:$I$169,MATCH($I16,'Listings'!$A$2:$A$169,0)))</x:f>
        <x:v>1000</x:v>
      </x:c>
      <x:c r="E16" s="10" t="str">
        <x:v>Outside all three five-mile areas.</x:v>
      </x:c>
      <x:c r="F16" s="10" t="str">
        <x:f>IF(INDEX('Listings'!$Q$2:$Q$169,MATCH($I16,'Listings'!$A$2:$A$169,0))="","",INDEX('Listings'!$Q$2:$Q$169,MATCH($I16,'Listings'!$A$2:$A$169,0)))</x:f>
        <x:v>Outside 5 mi</x:v>
      </x:c>
      <x:c r="G16" s="10" t="str">
        <x:f>IF(INDEX('Listings'!$S$2:$S$169,MATCH($I16,'Listings'!$A$2:$A$169,0))="","",INDEX('Listings'!$S$2:$S$169,MATCH($I16,'Listings'!$A$2:$A$169,0)))</x:f>
        <x:v>Outside 5 mi</x:v>
      </x:c>
      <x:c r="H16" s="10" t="str">
        <x:f>IF(INDEX('Listings'!$U$2:$U$169,MATCH($I16,'Listings'!$A$2:$A$169,0))="","",INDEX('Listings'!$U$2:$U$169,MATCH($I16,'Listings'!$A$2:$A$169,0)))</x:f>
        <x:v>Outside 5 mi</x:v>
      </x:c>
      <x:c r="I16" s="10" t="str">
        <x:v>ocpjxe9lb5</x:v>
      </x:c>
      <x:c r="J16" s="10" t="str">
        <x:f>IF(INDEX('Listings'!$C$2:$C$169,MATCH($I16,'Listings'!$A$2:$A$169,0))="","",INDEX('Listings'!$C$2:$C$169,MATCH($I16,'Listings'!$A$2:$A$169,0)))</x:f>
        <x:v>https://offcampus.dasa.ncsu.edu/housing/property/private-house-room-listing/ocpjxe9lb5</x:v>
      </x:c>
      <x:c r="K16" s="10" t="str">
        <x:f>IF(INDEX('Listings'!$AG$2:$AG$169,MATCH($I16,'Listings'!$A$2:$A$169,0))="","",INDEX('Listings'!$AG$2:$AG$169,MATCH($I16,'Listings'!$A$2:$A$169,0)))</x:f>
        <x:v>Source pricing flag retained; automated consistency checks passed. This is not independent landlord verification.</x:v>
      </x:c>
    </x:row>
    <x:row r="17" ht="36" hidden="0" customHeight="1">
      <x:c r="A17" s="10" t="str">
        <x:f>IF(INDEX('Listings'!$B$2:$B$169,MATCH($I17,'Listings'!$A$2:$A$169,0))="","",INDEX('Listings'!$B$2:$B$169,MATCH($I17,'Listings'!$A$2:$A$169,0)))</x:f>
        <x:v>Room in Condo on Carlton Ave</x:v>
      </x:c>
      <x:c r="B17" s="10" t="str">
        <x:f>IF(INDEX('Listings'!$E$2:$E$169,MATCH($I17,'Listings'!$A$2:$A$169,0))="","",INDEX('Listings'!$E$2:$E$169,MATCH($I17,'Listings'!$A$2:$A$169,0)))</x:f>
        <x:v>Per bedroom</x:v>
      </x:c>
      <x:c r="C17" s="11" t="n">
        <x:f>IF(INDEX('Listings'!$H$2:$H$169,MATCH($I17,'Listings'!$A$2:$A$169,0))="","",INDEX('Listings'!$H$2:$H$169,MATCH($I17,'Listings'!$A$2:$A$169,0)))</x:f>
        <x:v>635</x:v>
      </x:c>
      <x:c r="D17" s="11" t="n">
        <x:f>IF(INDEX('Listings'!$I$2:$I$169,MATCH($I17,'Listings'!$A$2:$A$169,0))="","",INDEX('Listings'!$I$2:$I$169,MATCH($I17,'Listings'!$A$2:$A$169,0)))</x:f>
        <x:v>635</x:v>
      </x:c>
      <x:c r="E17" s="10" t="str">
        <x:v>Search and floor-plan prices disagree.</x:v>
      </x:c>
      <x:c r="F17" s="10" t="str">
        <x:f>IF(INDEX('Listings'!$Q$2:$Q$169,MATCH($I17,'Listings'!$A$2:$A$169,0))="","",INDEX('Listings'!$Q$2:$Q$169,MATCH($I17,'Listings'!$A$2:$A$169,0)))</x:f>
        <x:v>0–1 mi</x:v>
      </x:c>
      <x:c r="G17" s="10" t="str">
        <x:f>IF(INDEX('Listings'!$S$2:$S$169,MATCH($I17,'Listings'!$A$2:$A$169,0))="","",INDEX('Listings'!$S$2:$S$169,MATCH($I17,'Listings'!$A$2:$A$169,0)))</x:f>
        <x:v>&gt;1–3 mi</x:v>
      </x:c>
      <x:c r="H17" s="10" t="str">
        <x:f>IF(INDEX('Listings'!$U$2:$U$169,MATCH($I17,'Listings'!$A$2:$A$169,0))="","",INDEX('Listings'!$U$2:$U$169,MATCH($I17,'Listings'!$A$2:$A$169,0)))</x:f>
        <x:v>&gt;1–3 mi</x:v>
      </x:c>
      <x:c r="I17" s="10" t="str">
        <x:v>0nhgh82</x:v>
      </x:c>
      <x:c r="J17" s="10" t="str">
        <x:f>IF(INDEX('Listings'!$C$2:$C$169,MATCH($I17,'Listings'!$A$2:$A$169,0))="","",INDEX('Listings'!$C$2:$C$169,MATCH($I17,'Listings'!$A$2:$A$169,0)))</x:f>
        <x:v>https://offcampus.dasa.ncsu.edu/housing/property/room-in-condo-on-carlton-ave/0nhgh82</x:v>
      </x:c>
      <x:c r="K17" s="10" t="str">
        <x:f>IF(INDEX('Listings'!$AG$2:$AG$169,MATCH($I17,'Listings'!$A$2:$A$169,0))="","",INDEX('Listings'!$AG$2:$AG$169,MATCH($I17,'Listings'!$A$2:$A$169,0)))</x:f>
        <x:v>Saved September 9 title explicitly offers a room. Reclassified from whole unit to room/per-bedroom; snapshot price unchanged. Search summary: $635–$635; saved floor-plan envelope: $600–$600. Difference may reflect fees, timing or scope; unresolved snapshot price excluded.</x:v>
      </x:c>
    </x:row>
    <x:row r="18" ht="36" hidden="0" customHeight="1">
      <x:c r="A18" s="10" t="str">
        <x:f>IF(INDEX('Listings'!$B$2:$B$169,MATCH($I18,'Listings'!$A$2:$A$169,0))="","",INDEX('Listings'!$B$2:$B$169,MATCH($I18,'Listings'!$A$2:$A$169,0)))</x:f>
        <x:v>Room in Condo on Trailwood Heights Ln</x:v>
      </x:c>
      <x:c r="B18" s="10" t="str">
        <x:f>IF(INDEX('Listings'!$E$2:$E$169,MATCH($I18,'Listings'!$A$2:$A$169,0))="","",INDEX('Listings'!$E$2:$E$169,MATCH($I18,'Listings'!$A$2:$A$169,0)))</x:f>
        <x:v>Per bedroom</x:v>
      </x:c>
      <x:c r="C18" s="11" t="n">
        <x:f>IF(INDEX('Listings'!$H$2:$H$169,MATCH($I18,'Listings'!$A$2:$A$169,0))="","",INDEX('Listings'!$H$2:$H$169,MATCH($I18,'Listings'!$A$2:$A$169,0)))</x:f>
        <x:v>875</x:v>
      </x:c>
      <x:c r="D18" s="11" t="n">
        <x:f>IF(INDEX('Listings'!$I$2:$I$169,MATCH($I18,'Listings'!$A$2:$A$169,0))="","",INDEX('Listings'!$I$2:$I$169,MATCH($I18,'Listings'!$A$2:$A$169,0)))</x:f>
        <x:v>875</x:v>
      </x:c>
      <x:c r="E18" s="10" t="str">
        <x:v>Search and floor-plan prices disagree.</x:v>
      </x:c>
      <x:c r="F18" s="10" t="str">
        <x:f>IF(INDEX('Listings'!$Q$2:$Q$169,MATCH($I18,'Listings'!$A$2:$A$169,0))="","",INDEX('Listings'!$Q$2:$Q$169,MATCH($I18,'Listings'!$A$2:$A$169,0)))</x:f>
        <x:v>&gt;1–3 mi</x:v>
      </x:c>
      <x:c r="G18" s="10" t="str">
        <x:f>IF(INDEX('Listings'!$S$2:$S$169,MATCH($I18,'Listings'!$A$2:$A$169,0))="","",INDEX('Listings'!$S$2:$S$169,MATCH($I18,'Listings'!$A$2:$A$169,0)))</x:f>
        <x:v>&gt;1–3 mi</x:v>
      </x:c>
      <x:c r="H18" s="10" t="str">
        <x:f>IF(INDEX('Listings'!$U$2:$U$169,MATCH($I18,'Listings'!$A$2:$A$169,0))="","",INDEX('Listings'!$U$2:$U$169,MATCH($I18,'Listings'!$A$2:$A$169,0)))</x:f>
        <x:v>&gt;3–5 mi</x:v>
      </x:c>
      <x:c r="I18" s="10" t="str">
        <x:v>y6ff3gt</x:v>
      </x:c>
      <x:c r="J18" s="10" t="str">
        <x:f>IF(INDEX('Listings'!$C$2:$C$169,MATCH($I18,'Listings'!$A$2:$A$169,0))="","",INDEX('Listings'!$C$2:$C$169,MATCH($I18,'Listings'!$A$2:$A$169,0)))</x:f>
        <x:v>https://offcampus.dasa.ncsu.edu/housing/property/room-in-condo-on-trailwood-heights-ln/y6ff3gt</x:v>
      </x:c>
      <x:c r="K18" s="10" t="str">
        <x:f>IF(INDEX('Listings'!$AG$2:$AG$169,MATCH($I18,'Listings'!$A$2:$A$169,0))="","",INDEX('Listings'!$AG$2:$AG$169,MATCH($I18,'Listings'!$A$2:$A$169,0)))</x:f>
        <x:v>Saved September 9 title explicitly offers a room. Reclassified from whole unit to room/per-bedroom; snapshot price unchanged. Search summary: $875–$875; saved floor-plan envelope: $850–$850. Difference may reflect fees, timing or scope; unresolved snapshot price excluded.</x:v>
      </x:c>
    </x:row>
    <x:row r="19" ht="36" hidden="0" customHeight="1">
      <x:c r="A19" s="10" t="str">
        <x:f>IF(INDEX('Listings'!$B$2:$B$169,MATCH($I19,'Listings'!$A$2:$A$169,0))="","",INDEX('Listings'!$B$2:$B$169,MATCH($I19,'Listings'!$A$2:$A$169,0)))</x:f>
        <x:v>Room in Condo on University Ct</x:v>
      </x:c>
      <x:c r="B19" s="10" t="str">
        <x:f>IF(INDEX('Listings'!$E$2:$E$169,MATCH($I19,'Listings'!$A$2:$A$169,0))="","",INDEX('Listings'!$E$2:$E$169,MATCH($I19,'Listings'!$A$2:$A$169,0)))</x:f>
        <x:v>Per bedroom</x:v>
      </x:c>
      <x:c r="C19" s="11" t="n">
        <x:f>IF(INDEX('Listings'!$H$2:$H$169,MATCH($I19,'Listings'!$A$2:$A$169,0))="","",INDEX('Listings'!$H$2:$H$169,MATCH($I19,'Listings'!$A$2:$A$169,0)))</x:f>
        <x:v>650</x:v>
      </x:c>
      <x:c r="D19" s="11" t="n">
        <x:f>IF(INDEX('Listings'!$I$2:$I$169,MATCH($I19,'Listings'!$A$2:$A$169,0))="","",INDEX('Listings'!$I$2:$I$169,MATCH($I19,'Listings'!$A$2:$A$169,0)))</x:f>
        <x:v>650</x:v>
      </x:c>
      <x:c r="E19" s="10" t="str">
        <x:v>Search and floor-plan prices disagree.</x:v>
      </x:c>
      <x:c r="F19" s="10" t="str">
        <x:f>IF(INDEX('Listings'!$Q$2:$Q$169,MATCH($I19,'Listings'!$A$2:$A$169,0))="","",INDEX('Listings'!$Q$2:$Q$169,MATCH($I19,'Listings'!$A$2:$A$169,0)))</x:f>
        <x:v>&gt;1–3 mi</x:v>
      </x:c>
      <x:c r="G19" s="10" t="str">
        <x:f>IF(INDEX('Listings'!$S$2:$S$169,MATCH($I19,'Listings'!$A$2:$A$169,0))="","",INDEX('Listings'!$S$2:$S$169,MATCH($I19,'Listings'!$A$2:$A$169,0)))</x:f>
        <x:v>&gt;1–3 mi</x:v>
      </x:c>
      <x:c r="H19" s="10" t="str">
        <x:f>IF(INDEX('Listings'!$U$2:$U$169,MATCH($I19,'Listings'!$A$2:$A$169,0))="","",INDEX('Listings'!$U$2:$U$169,MATCH($I19,'Listings'!$A$2:$A$169,0)))</x:f>
        <x:v>&gt;1–3 mi</x:v>
      </x:c>
      <x:c r="I19" s="10" t="str">
        <x:v>wjt9dqk</x:v>
      </x:c>
      <x:c r="J19" s="10" t="str">
        <x:f>IF(INDEX('Listings'!$C$2:$C$169,MATCH($I19,'Listings'!$A$2:$A$169,0))="","",INDEX('Listings'!$C$2:$C$169,MATCH($I19,'Listings'!$A$2:$A$169,0)))</x:f>
        <x:v>https://offcampus.dasa.ncsu.edu/housing/property/room-in-condo-on-university-ct/wjt9dqk</x:v>
      </x:c>
      <x:c r="K19" s="10" t="str">
        <x:f>IF(INDEX('Listings'!$AG$2:$AG$169,MATCH($I19,'Listings'!$A$2:$A$169,0))="","",INDEX('Listings'!$AG$2:$AG$169,MATCH($I19,'Listings'!$A$2:$A$169,0)))</x:f>
        <x:v>Saved September 9 title explicitly offers a room. Reclassified from whole unit to room/per-bedroom; snapshot price unchanged. Search summary: $650–$650; saved floor-plan envelope: $625–$625. Difference may reflect fees, timing or scope; unresolved snapshot price excluded.</x:v>
      </x:c>
    </x:row>
    <x:row r="20" ht="36" hidden="0" customHeight="1">
      <x:c r="A20" s="10" t="str">
        <x:f>IF(INDEX('Listings'!$B$2:$B$169,MATCH($I20,'Listings'!$A$2:$A$169,0))="","",INDEX('Listings'!$B$2:$B$169,MATCH($I20,'Listings'!$A$2:$A$169,0)))</x:f>
        <x:v>Room in Condo on University Ct</x:v>
      </x:c>
      <x:c r="B20" s="10" t="str">
        <x:f>IF(INDEX('Listings'!$E$2:$E$169,MATCH($I20,'Listings'!$A$2:$A$169,0))="","",INDEX('Listings'!$E$2:$E$169,MATCH($I20,'Listings'!$A$2:$A$169,0)))</x:f>
        <x:v>Per bedroom</x:v>
      </x:c>
      <x:c r="C20" s="11" t="n">
        <x:f>IF(INDEX('Listings'!$H$2:$H$169,MATCH($I20,'Listings'!$A$2:$A$169,0))="","",INDEX('Listings'!$H$2:$H$169,MATCH($I20,'Listings'!$A$2:$A$169,0)))</x:f>
        <x:v>650</x:v>
      </x:c>
      <x:c r="D20" s="11" t="n">
        <x:f>IF(INDEX('Listings'!$I$2:$I$169,MATCH($I20,'Listings'!$A$2:$A$169,0))="","",INDEX('Listings'!$I$2:$I$169,MATCH($I20,'Listings'!$A$2:$A$169,0)))</x:f>
        <x:v>650</x:v>
      </x:c>
      <x:c r="E20" s="10" t="str">
        <x:v>Search and floor-plan prices disagree.</x:v>
      </x:c>
      <x:c r="F20" s="10" t="str">
        <x:f>IF(INDEX('Listings'!$Q$2:$Q$169,MATCH($I20,'Listings'!$A$2:$A$169,0))="","",INDEX('Listings'!$Q$2:$Q$169,MATCH($I20,'Listings'!$A$2:$A$169,0)))</x:f>
        <x:v>&gt;1–3 mi</x:v>
      </x:c>
      <x:c r="G20" s="10" t="str">
        <x:f>IF(INDEX('Listings'!$S$2:$S$169,MATCH($I20,'Listings'!$A$2:$A$169,0))="","",INDEX('Listings'!$S$2:$S$169,MATCH($I20,'Listings'!$A$2:$A$169,0)))</x:f>
        <x:v>&gt;1–3 mi</x:v>
      </x:c>
      <x:c r="H20" s="10" t="str">
        <x:f>IF(INDEX('Listings'!$U$2:$U$169,MATCH($I20,'Listings'!$A$2:$A$169,0))="","",INDEX('Listings'!$U$2:$U$169,MATCH($I20,'Listings'!$A$2:$A$169,0)))</x:f>
        <x:v>&gt;1–3 mi</x:v>
      </x:c>
      <x:c r="I20" s="10" t="str">
        <x:v>w6v7z0h</x:v>
      </x:c>
      <x:c r="J20" s="10" t="str">
        <x:f>IF(INDEX('Listings'!$C$2:$C$169,MATCH($I20,'Listings'!$A$2:$A$169,0))="","",INDEX('Listings'!$C$2:$C$169,MATCH($I20,'Listings'!$A$2:$A$169,0)))</x:f>
        <x:v>https://offcampus.dasa.ncsu.edu/housing/property/room-in-condo-on-university-ct/w6v7z0h</x:v>
      </x:c>
      <x:c r="K20" s="10" t="str">
        <x:f>IF(INDEX('Listings'!$AG$2:$AG$169,MATCH($I20,'Listings'!$A$2:$A$169,0))="","",INDEX('Listings'!$AG$2:$AG$169,MATCH($I20,'Listings'!$A$2:$A$169,0)))</x:f>
        <x:v>Saved September 9 title explicitly offers a room. Reclassified from whole unit to room/per-bedroom; snapshot price unchanged. Search summary: $650–$650; saved floor-plan envelope: $575–$575. Difference may reflect fees, timing or scope; unresolved snapshot price excluded.</x:v>
      </x:c>
    </x:row>
    <x:row r="21" ht="36" hidden="0" customHeight="1">
      <x:c r="A21" s="10" t="str">
        <x:f>IF(INDEX('Listings'!$B$2:$B$169,MATCH($I21,'Listings'!$A$2:$A$169,0))="","",INDEX('Listings'!$B$2:$B$169,MATCH($I21,'Listings'!$A$2:$A$169,0)))</x:f>
        <x:v>Room in Duplex on Bragg St</x:v>
      </x:c>
      <x:c r="B21" s="10" t="str">
        <x:f>IF(INDEX('Listings'!$E$2:$E$169,MATCH($I21,'Listings'!$A$2:$A$169,0))="","",INDEX('Listings'!$E$2:$E$169,MATCH($I21,'Listings'!$A$2:$A$169,0)))</x:f>
        <x:v>Per bedroom</x:v>
      </x:c>
      <x:c r="C21" s="11" t="n">
        <x:f>IF(INDEX('Listings'!$H$2:$H$169,MATCH($I21,'Listings'!$A$2:$A$169,0))="","",INDEX('Listings'!$H$2:$H$169,MATCH($I21,'Listings'!$A$2:$A$169,0)))</x:f>
        <x:v>640</x:v>
      </x:c>
      <x:c r="D21" s="11" t="n">
        <x:f>IF(INDEX('Listings'!$I$2:$I$169,MATCH($I21,'Listings'!$A$2:$A$169,0))="","",INDEX('Listings'!$I$2:$I$169,MATCH($I21,'Listings'!$A$2:$A$169,0)))</x:f>
        <x:v>640</x:v>
      </x:c>
      <x:c r="E21" s="10" t="str">
        <x:v>Search and floor-plan prices disagree.</x:v>
      </x:c>
      <x:c r="F21" s="10" t="str">
        <x:f>IF(INDEX('Listings'!$Q$2:$Q$169,MATCH($I21,'Listings'!$A$2:$A$169,0))="","",INDEX('Listings'!$Q$2:$Q$169,MATCH($I21,'Listings'!$A$2:$A$169,0)))</x:f>
        <x:v>&gt;3–5 mi</x:v>
      </x:c>
      <x:c r="G21" s="10" t="str">
        <x:f>IF(INDEX('Listings'!$S$2:$S$169,MATCH($I21,'Listings'!$A$2:$A$169,0))="","",INDEX('Listings'!$S$2:$S$169,MATCH($I21,'Listings'!$A$2:$A$169,0)))</x:f>
        <x:v>&gt;3–5 mi</x:v>
      </x:c>
      <x:c r="H21" s="10" t="str">
        <x:f>IF(INDEX('Listings'!$U$2:$U$169,MATCH($I21,'Listings'!$A$2:$A$169,0))="","",INDEX('Listings'!$U$2:$U$169,MATCH($I21,'Listings'!$A$2:$A$169,0)))</x:f>
        <x:v>Outside 5 mi</x:v>
      </x:c>
      <x:c r="I21" s="10" t="str">
        <x:v>r66ecw0</x:v>
      </x:c>
      <x:c r="J21" s="10" t="str">
        <x:f>IF(INDEX('Listings'!$C$2:$C$169,MATCH($I21,'Listings'!$A$2:$A$169,0))="","",INDEX('Listings'!$C$2:$C$169,MATCH($I21,'Listings'!$A$2:$A$169,0)))</x:f>
        <x:v>https://offcampus.dasa.ncsu.edu/housing/property/room-in-duplex-on-bragg-st/r66ecw0</x:v>
      </x:c>
      <x:c r="K21" s="10" t="str">
        <x:f>IF(INDEX('Listings'!$AG$2:$AG$169,MATCH($I21,'Listings'!$A$2:$A$169,0))="","",INDEX('Listings'!$AG$2:$AG$169,MATCH($I21,'Listings'!$A$2:$A$169,0)))</x:f>
        <x:v>Saved September 9 title explicitly offers a room. Reclassified from whole unit to room/per-bedroom; snapshot price unchanged. Search summary: $640–$640; saved floor-plan envelope: $630–$630. Difference may reflect fees, timing or scope; unresolved snapshot price excluded.</x:v>
      </x:c>
    </x:row>
    <x:row r="22" ht="36" hidden="0" customHeight="1">
      <x:c r="A22" s="10" t="str">
        <x:f>IF(INDEX('Listings'!$B$2:$B$169,MATCH($I22,'Listings'!$A$2:$A$169,0))="","",INDEX('Listings'!$B$2:$B$169,MATCH($I22,'Listings'!$A$2:$A$169,0)))</x:f>
        <x:v>Room in House on Henslowe Dr</x:v>
      </x:c>
      <x:c r="B22" s="10" t="str">
        <x:f>IF(INDEX('Listings'!$E$2:$E$169,MATCH($I22,'Listings'!$A$2:$A$169,0))="","",INDEX('Listings'!$E$2:$E$169,MATCH($I22,'Listings'!$A$2:$A$169,0)))</x:f>
        <x:v>Per bedroom</x:v>
      </x:c>
      <x:c r="C22" s="11" t="n">
        <x:f>IF(INDEX('Listings'!$H$2:$H$169,MATCH($I22,'Listings'!$A$2:$A$169,0))="","",INDEX('Listings'!$H$2:$H$169,MATCH($I22,'Listings'!$A$2:$A$169,0)))</x:f>
        <x:v>650</x:v>
      </x:c>
      <x:c r="D22" s="11" t="n">
        <x:f>IF(INDEX('Listings'!$I$2:$I$169,MATCH($I22,'Listings'!$A$2:$A$169,0))="","",INDEX('Listings'!$I$2:$I$169,MATCH($I22,'Listings'!$A$2:$A$169,0)))</x:f>
        <x:v>650</x:v>
      </x:c>
      <x:c r="E22" s="10" t="str">
        <x:v>Search and floor-plan prices disagree.</x:v>
      </x:c>
      <x:c r="F22" s="10" t="str">
        <x:f>IF(INDEX('Listings'!$Q$2:$Q$169,MATCH($I22,'Listings'!$A$2:$A$169,0))="","",INDEX('Listings'!$Q$2:$Q$169,MATCH($I22,'Listings'!$A$2:$A$169,0)))</x:f>
        <x:v>&gt;1–3 mi</x:v>
      </x:c>
      <x:c r="G22" s="10" t="str">
        <x:f>IF(INDEX('Listings'!$S$2:$S$169,MATCH($I22,'Listings'!$A$2:$A$169,0))="","",INDEX('Listings'!$S$2:$S$169,MATCH($I22,'Listings'!$A$2:$A$169,0)))</x:f>
        <x:v>&gt;1–3 mi</x:v>
      </x:c>
      <x:c r="H22" s="10" t="str">
        <x:f>IF(INDEX('Listings'!$U$2:$U$169,MATCH($I22,'Listings'!$A$2:$A$169,0))="","",INDEX('Listings'!$U$2:$U$169,MATCH($I22,'Listings'!$A$2:$A$169,0)))</x:f>
        <x:v>&gt;3–5 mi</x:v>
      </x:c>
      <x:c r="I22" s="10" t="str">
        <x:v>c1v4mzd</x:v>
      </x:c>
      <x:c r="J22" s="10" t="str">
        <x:f>IF(INDEX('Listings'!$C$2:$C$169,MATCH($I22,'Listings'!$A$2:$A$169,0))="","",INDEX('Listings'!$C$2:$C$169,MATCH($I22,'Listings'!$A$2:$A$169,0)))</x:f>
        <x:v>https://offcampus.dasa.ncsu.edu/housing/property/room-in-house-on-henslowe-dr/c1v4mzd</x:v>
      </x:c>
      <x:c r="K22" s="10" t="str">
        <x:f>IF(INDEX('Listings'!$AG$2:$AG$169,MATCH($I22,'Listings'!$A$2:$A$169,0))="","",INDEX('Listings'!$AG$2:$AG$169,MATCH($I22,'Listings'!$A$2:$A$169,0)))</x:f>
        <x:v>Saved September 9 title explicitly offers a room. Reclassified from whole unit to room/per-bedroom; snapshot price unchanged. Search summary: $650–$650; saved floor-plan envelope: $670–$670. Difference may reflect fees, timing or scope; unresolved snapshot price excluded.</x:v>
      </x:c>
    </x:row>
    <x:row r="23" ht="36" hidden="0" customHeight="1">
      <x:c r="A23" s="10" t="str">
        <x:f>IF(INDEX('Listings'!$B$2:$B$169,MATCH($I23,'Listings'!$A$2:$A$169,0))="","",INDEX('Listings'!$B$2:$B$169,MATCH($I23,'Listings'!$A$2:$A$169,0)))</x:f>
        <x:v>Room in House on Okelly St</x:v>
      </x:c>
      <x:c r="B23" s="10" t="str">
        <x:f>IF(INDEX('Listings'!$E$2:$E$169,MATCH($I23,'Listings'!$A$2:$A$169,0))="","",INDEX('Listings'!$E$2:$E$169,MATCH($I23,'Listings'!$A$2:$A$169,0)))</x:f>
        <x:v>Per bedroom</x:v>
      </x:c>
      <x:c r="C23" s="11" t="n">
        <x:f>IF(INDEX('Listings'!$H$2:$H$169,MATCH($I23,'Listings'!$A$2:$A$169,0))="","",INDEX('Listings'!$H$2:$H$169,MATCH($I23,'Listings'!$A$2:$A$169,0)))</x:f>
        <x:v>725</x:v>
      </x:c>
      <x:c r="D23" s="11" t="n">
        <x:f>IF(INDEX('Listings'!$I$2:$I$169,MATCH($I23,'Listings'!$A$2:$A$169,0))="","",INDEX('Listings'!$I$2:$I$169,MATCH($I23,'Listings'!$A$2:$A$169,0)))</x:f>
        <x:v>725</x:v>
      </x:c>
      <x:c r="E23" s="10" t="str">
        <x:v>Search and floor-plan prices disagree.</x:v>
      </x:c>
      <x:c r="F23" s="10" t="str">
        <x:f>IF(INDEX('Listings'!$Q$2:$Q$169,MATCH($I23,'Listings'!$A$2:$A$169,0))="","",INDEX('Listings'!$Q$2:$Q$169,MATCH($I23,'Listings'!$A$2:$A$169,0)))</x:f>
        <x:v>0–1 mi</x:v>
      </x:c>
      <x:c r="G23" s="10" t="str">
        <x:f>IF(INDEX('Listings'!$S$2:$S$169,MATCH($I23,'Listings'!$A$2:$A$169,0))="","",INDEX('Listings'!$S$2:$S$169,MATCH($I23,'Listings'!$A$2:$A$169,0)))</x:f>
        <x:v>&gt;1–3 mi</x:v>
      </x:c>
      <x:c r="H23" s="10" t="str">
        <x:f>IF(INDEX('Listings'!$U$2:$U$169,MATCH($I23,'Listings'!$A$2:$A$169,0))="","",INDEX('Listings'!$U$2:$U$169,MATCH($I23,'Listings'!$A$2:$A$169,0)))</x:f>
        <x:v>0–1 mi</x:v>
      </x:c>
      <x:c r="I23" s="10" t="str">
        <x:v>tqbb2mb</x:v>
      </x:c>
      <x:c r="J23" s="10" t="str">
        <x:f>IF(INDEX('Listings'!$C$2:$C$169,MATCH($I23,'Listings'!$A$2:$A$169,0))="","",INDEX('Listings'!$C$2:$C$169,MATCH($I23,'Listings'!$A$2:$A$169,0)))</x:f>
        <x:v>https://offcampus.dasa.ncsu.edu/housing/property/room-in-house-on-okelly-st/tqbb2mb</x:v>
      </x:c>
      <x:c r="K23" s="10" t="str">
        <x:f>IF(INDEX('Listings'!$AG$2:$AG$169,MATCH($I23,'Listings'!$A$2:$A$169,0))="","",INDEX('Listings'!$AG$2:$AG$169,MATCH($I23,'Listings'!$A$2:$A$169,0)))</x:f>
        <x:v>Saved September 9 title explicitly offers a room. Reclassified from whole unit to room/per-bedroom; snapshot price unchanged. Search summary: $725–$725; saved floor-plan envelope: $700–$700. Difference may reflect fees, timing or scope; unresolved snapshot price excluded.</x:v>
      </x:c>
    </x:row>
    <x:row r="24" ht="36" hidden="0" customHeight="1">
      <x:c r="A24" s="10" t="str">
        <x:f>IF(INDEX('Listings'!$B$2:$B$169,MATCH($I24,'Listings'!$A$2:$A$169,0))="","",INDEX('Listings'!$B$2:$B$169,MATCH($I24,'Listings'!$A$2:$A$169,0)))</x:f>
        <x:v>Room in House on Old Farm Rd</x:v>
      </x:c>
      <x:c r="B24" s="10" t="str">
        <x:f>IF(INDEX('Listings'!$E$2:$E$169,MATCH($I24,'Listings'!$A$2:$A$169,0))="","",INDEX('Listings'!$E$2:$E$169,MATCH($I24,'Listings'!$A$2:$A$169,0)))</x:f>
        <x:v>Per bedroom</x:v>
      </x:c>
      <x:c r="C24" s="11" t="n">
        <x:f>IF(INDEX('Listings'!$H$2:$H$169,MATCH($I24,'Listings'!$A$2:$A$169,0))="","",INDEX('Listings'!$H$2:$H$169,MATCH($I24,'Listings'!$A$2:$A$169,0)))</x:f>
        <x:v>650</x:v>
      </x:c>
      <x:c r="D24" s="11" t="n">
        <x:f>IF(INDEX('Listings'!$I$2:$I$169,MATCH($I24,'Listings'!$A$2:$A$169,0))="","",INDEX('Listings'!$I$2:$I$169,MATCH($I24,'Listings'!$A$2:$A$169,0)))</x:f>
        <x:v>650</x:v>
      </x:c>
      <x:c r="E24" s="10" t="str">
        <x:v>Search and floor-plan prices disagree.</x:v>
      </x:c>
      <x:c r="F24" s="10" t="str">
        <x:f>IF(INDEX('Listings'!$Q$2:$Q$169,MATCH($I24,'Listings'!$A$2:$A$169,0))="","",INDEX('Listings'!$Q$2:$Q$169,MATCH($I24,'Listings'!$A$2:$A$169,0)))</x:f>
        <x:v>&gt;3–5 mi</x:v>
      </x:c>
      <x:c r="G24" s="10" t="str">
        <x:f>IF(INDEX('Listings'!$S$2:$S$169,MATCH($I24,'Listings'!$A$2:$A$169,0))="","",INDEX('Listings'!$S$2:$S$169,MATCH($I24,'Listings'!$A$2:$A$169,0)))</x:f>
        <x:v>&gt;3–5 mi</x:v>
      </x:c>
      <x:c r="H24" s="10" t="str">
        <x:f>IF(INDEX('Listings'!$U$2:$U$169,MATCH($I24,'Listings'!$A$2:$A$169,0))="","",INDEX('Listings'!$U$2:$U$169,MATCH($I24,'Listings'!$A$2:$A$169,0)))</x:f>
        <x:v>&gt;1–3 mi</x:v>
      </x:c>
      <x:c r="I24" s="10" t="str">
        <x:v>k8k3t7b</x:v>
      </x:c>
      <x:c r="J24" s="10" t="str">
        <x:f>IF(INDEX('Listings'!$C$2:$C$169,MATCH($I24,'Listings'!$A$2:$A$169,0))="","",INDEX('Listings'!$C$2:$C$169,MATCH($I24,'Listings'!$A$2:$A$169,0)))</x:f>
        <x:v>https://offcampus.dasa.ncsu.edu/housing/property/room-in-house-on-old-farm-rd/k8k3t7b</x:v>
      </x:c>
      <x:c r="K24" s="10" t="str">
        <x:f>IF(INDEX('Listings'!$AG$2:$AG$169,MATCH($I24,'Listings'!$A$2:$A$169,0))="","",INDEX('Listings'!$AG$2:$AG$169,MATCH($I24,'Listings'!$A$2:$A$169,0)))</x:f>
        <x:v>Saved September 9 title explicitly offers a room. Reclassified from whole unit to room/per-bedroom; snapshot price unchanged. Search summary: $650–$650; saved floor-plan envelope: $630–$630. Difference may reflect fees, timing or scope; unresolved snapshot price excluded.</x:v>
      </x:c>
    </x:row>
    <x:row r="25" ht="36" hidden="0" customHeight="1">
      <x:c r="A25" s="10" t="str">
        <x:f>IF(INDEX('Listings'!$B$2:$B$169,MATCH($I25,'Listings'!$A$2:$A$169,0))="","",INDEX('Listings'!$B$2:$B$169,MATCH($I25,'Listings'!$A$2:$A$169,0)))</x:f>
        <x:v>Room in House on Ravel St</x:v>
      </x:c>
      <x:c r="B25" s="10" t="str">
        <x:f>IF(INDEX('Listings'!$E$2:$E$169,MATCH($I25,'Listings'!$A$2:$A$169,0))="","",INDEX('Listings'!$E$2:$E$169,MATCH($I25,'Listings'!$A$2:$A$169,0)))</x:f>
        <x:v>Per bedroom</x:v>
      </x:c>
      <x:c r="C25" s="11" t="n">
        <x:f>IF(INDEX('Listings'!$H$2:$H$169,MATCH($I25,'Listings'!$A$2:$A$169,0))="","",INDEX('Listings'!$H$2:$H$169,MATCH($I25,'Listings'!$A$2:$A$169,0)))</x:f>
        <x:v>600</x:v>
      </x:c>
      <x:c r="D25" s="11" t="n">
        <x:f>IF(INDEX('Listings'!$I$2:$I$169,MATCH($I25,'Listings'!$A$2:$A$169,0))="","",INDEX('Listings'!$I$2:$I$169,MATCH($I25,'Listings'!$A$2:$A$169,0)))</x:f>
        <x:v>600</x:v>
      </x:c>
      <x:c r="E25" s="10" t="str">
        <x:v>Search and floor-plan prices disagree.</x:v>
      </x:c>
      <x:c r="F25" s="10" t="str">
        <x:f>IF(INDEX('Listings'!$Q$2:$Q$169,MATCH($I25,'Listings'!$A$2:$A$169,0))="","",INDEX('Listings'!$Q$2:$Q$169,MATCH($I25,'Listings'!$A$2:$A$169,0)))</x:f>
        <x:v>&gt;1–3 mi</x:v>
      </x:c>
      <x:c r="G25" s="10" t="str">
        <x:f>IF(INDEX('Listings'!$S$2:$S$169,MATCH($I25,'Listings'!$A$2:$A$169,0))="","",INDEX('Listings'!$S$2:$S$169,MATCH($I25,'Listings'!$A$2:$A$169,0)))</x:f>
        <x:v>&gt;1–3 mi</x:v>
      </x:c>
      <x:c r="H25" s="10" t="str">
        <x:f>IF(INDEX('Listings'!$U$2:$U$169,MATCH($I25,'Listings'!$A$2:$A$169,0))="","",INDEX('Listings'!$U$2:$U$169,MATCH($I25,'Listings'!$A$2:$A$169,0)))</x:f>
        <x:v>&gt;1–3 mi</x:v>
      </x:c>
      <x:c r="I25" s="10" t="str">
        <x:v>hp3tns3</x:v>
      </x:c>
      <x:c r="J25" s="10" t="str">
        <x:f>IF(INDEX('Listings'!$C$2:$C$169,MATCH($I25,'Listings'!$A$2:$A$169,0))="","",INDEX('Listings'!$C$2:$C$169,MATCH($I25,'Listings'!$A$2:$A$169,0)))</x:f>
        <x:v>https://offcampus.dasa.ncsu.edu/housing/property/room-in-house-on-ravel-st/hp3tns3</x:v>
      </x:c>
      <x:c r="K25" s="10" t="str">
        <x:f>IF(INDEX('Listings'!$AG$2:$AG$169,MATCH($I25,'Listings'!$A$2:$A$169,0))="","",INDEX('Listings'!$AG$2:$AG$169,MATCH($I25,'Listings'!$A$2:$A$169,0)))</x:f>
        <x:v>Saved September 9 title explicitly offers a room. Reclassified from whole unit to room/per-bedroom; snapshot price unchanged. Search summary: $600–$600; saved floor-plan envelope: $550–$550. Difference may reflect fees, timing or scope; unresolved snapshot price excluded.</x:v>
      </x:c>
    </x:row>
    <x:row r="26" ht="36" hidden="0" customHeight="1">
      <x:c r="A26" s="10" t="str">
        <x:f>IF(INDEX('Listings'!$B$2:$B$169,MATCH($I26,'Listings'!$A$2:$A$169,0))="","",INDEX('Listings'!$B$2:$B$169,MATCH($I26,'Listings'!$A$2:$A$169,0)))</x:f>
        <x:v>Room in House on Tall Rock Ct</x:v>
      </x:c>
      <x:c r="B26" s="10" t="str">
        <x:f>IF(INDEX('Listings'!$E$2:$E$169,MATCH($I26,'Listings'!$A$2:$A$169,0))="","",INDEX('Listings'!$E$2:$E$169,MATCH($I26,'Listings'!$A$2:$A$169,0)))</x:f>
        <x:v>Per bedroom</x:v>
      </x:c>
      <x:c r="C26" s="11" t="n">
        <x:f>IF(INDEX('Listings'!$H$2:$H$169,MATCH($I26,'Listings'!$A$2:$A$169,0))="","",INDEX('Listings'!$H$2:$H$169,MATCH($I26,'Listings'!$A$2:$A$169,0)))</x:f>
        <x:v>900</x:v>
      </x:c>
      <x:c r="D26" s="11" t="n">
        <x:f>IF(INDEX('Listings'!$I$2:$I$169,MATCH($I26,'Listings'!$A$2:$A$169,0))="","",INDEX('Listings'!$I$2:$I$169,MATCH($I26,'Listings'!$A$2:$A$169,0)))</x:f>
        <x:v>900</x:v>
      </x:c>
      <x:c r="E26" s="10" t="str">
        <x:v>Search and floor-plan prices disagree.</x:v>
      </x:c>
      <x:c r="F26" s="10" t="str">
        <x:f>IF(INDEX('Listings'!$Q$2:$Q$169,MATCH($I26,'Listings'!$A$2:$A$169,0))="","",INDEX('Listings'!$Q$2:$Q$169,MATCH($I26,'Listings'!$A$2:$A$169,0)))</x:f>
        <x:v>&gt;3–5 mi</x:v>
      </x:c>
      <x:c r="G26" s="10" t="str">
        <x:f>IF(INDEX('Listings'!$S$2:$S$169,MATCH($I26,'Listings'!$A$2:$A$169,0))="","",INDEX('Listings'!$S$2:$S$169,MATCH($I26,'Listings'!$A$2:$A$169,0)))</x:f>
        <x:v>&gt;3–5 mi</x:v>
      </x:c>
      <x:c r="H26" s="10" t="str">
        <x:f>IF(INDEX('Listings'!$U$2:$U$169,MATCH($I26,'Listings'!$A$2:$A$169,0))="","",INDEX('Listings'!$U$2:$U$169,MATCH($I26,'Listings'!$A$2:$A$169,0)))</x:f>
        <x:v>Outside 5 mi</x:v>
      </x:c>
      <x:c r="I26" s="10" t="str">
        <x:v>r2tht53</x:v>
      </x:c>
      <x:c r="J26" s="10" t="str">
        <x:f>IF(INDEX('Listings'!$C$2:$C$169,MATCH($I26,'Listings'!$A$2:$A$169,0))="","",INDEX('Listings'!$C$2:$C$169,MATCH($I26,'Listings'!$A$2:$A$169,0)))</x:f>
        <x:v>https://offcampus.dasa.ncsu.edu/housing/property/room-in-house-on-tall-rock-ct/r2tht53</x:v>
      </x:c>
      <x:c r="K26" s="10" t="str">
        <x:f>IF(INDEX('Listings'!$AG$2:$AG$169,MATCH($I26,'Listings'!$A$2:$A$169,0))="","",INDEX('Listings'!$AG$2:$AG$169,MATCH($I26,'Listings'!$A$2:$A$169,0)))</x:f>
        <x:v>Saved September 9 title explicitly offers a room. Reclassified from whole unit to room/per-bedroom; snapshot price unchanged. Search summary: $900–$900; saved floor-plan envelope: $825–$825. Difference may reflect fees, timing or scope; unresolved snapshot price excluded.</x:v>
      </x:c>
    </x:row>
    <x:row r="27" ht="36" hidden="0" customHeight="1">
      <x:c r="A27" s="10" t="str">
        <x:f>IF(INDEX('Listings'!$B$2:$B$169,MATCH($I27,'Listings'!$A$2:$A$169,0))="","",INDEX('Listings'!$B$2:$B$169,MATCH($I27,'Listings'!$A$2:$A$169,0)))</x:f>
        <x:v>Signature at Varsity</x:v>
      </x:c>
      <x:c r="B27" s="10" t="str">
        <x:f>IF(INDEX('Listings'!$E$2:$E$169,MATCH($I27,'Listings'!$A$2:$A$169,0))="","",INDEX('Listings'!$E$2:$E$169,MATCH($I27,'Listings'!$A$2:$A$169,0)))</x:f>
        <x:v>Review</x:v>
      </x:c>
      <x:c r="C27" s="11" t="n">
        <x:f>IF(INDEX('Listings'!$H$2:$H$169,MATCH($I27,'Listings'!$A$2:$A$169,0))="","",INDEX('Listings'!$H$2:$H$169,MATCH($I27,'Listings'!$A$2:$A$169,0)))</x:f>
        <x:v>1249</x:v>
      </x:c>
      <x:c r="D27" s="11" t="n">
        <x:f>IF(INDEX('Listings'!$I$2:$I$169,MATCH($I27,'Listings'!$A$2:$A$169,0))="","",INDEX('Listings'!$I$2:$I$169,MATCH($I27,'Listings'!$A$2:$A$169,0)))</x:f>
        <x:v>2222</x:v>
      </x:c>
      <x:c r="E27" s="10" t="str">
        <x:v>Unresolved room/whole-unit pricing basis.</x:v>
      </x:c>
      <x:c r="F27" s="10" t="str">
        <x:f>IF(INDEX('Listings'!$Q$2:$Q$169,MATCH($I27,'Listings'!$A$2:$A$169,0))="","",INDEX('Listings'!$Q$2:$Q$169,MATCH($I27,'Listings'!$A$2:$A$169,0)))</x:f>
        <x:v>0–1 mi</x:v>
      </x:c>
      <x:c r="G27" s="10" t="str">
        <x:f>IF(INDEX('Listings'!$S$2:$S$169,MATCH($I27,'Listings'!$A$2:$A$169,0))="","",INDEX('Listings'!$S$2:$S$169,MATCH($I27,'Listings'!$A$2:$A$169,0)))</x:f>
        <x:v>0–1 mi</x:v>
      </x:c>
      <x:c r="H27" s="10" t="str">
        <x:f>IF(INDEX('Listings'!$U$2:$U$169,MATCH($I27,'Listings'!$A$2:$A$169,0))="","",INDEX('Listings'!$U$2:$U$169,MATCH($I27,'Listings'!$A$2:$A$169,0)))</x:f>
        <x:v>&gt;1–3 mi</x:v>
      </x:c>
      <x:c r="I27" s="10" t="str">
        <x:v>vw4rv9e</x:v>
      </x:c>
      <x:c r="J27" s="10" t="str">
        <x:f>IF(INDEX('Listings'!$C$2:$C$169,MATCH($I27,'Listings'!$A$2:$A$169,0))="","",INDEX('Listings'!$C$2:$C$169,MATCH($I27,'Listings'!$A$2:$A$169,0)))</x:f>
        <x:v>https://offcampus.dasa.ncsu.edu/housing/property/signature-at-varsity/vw4rv9e</x:v>
      </x:c>
      <x:c r="K27" s="10" t="str">
        <x:f>IF(INDEX('Listings'!$AG$2:$AG$169,MATCH($I27,'Listings'!$A$2:$A$169,0))="","",INDEX('Listings'!$AG$2:$AG$169,MATCH($I27,'Listings'!$A$2:$A$169,0)))</x:f>
        <x:v>Signature at Varsity's saved studio/one-bedroom prices exceed its four/five-bedroom prices; all flags nevertheless say whole-unit. This is a pricing-basis review flag, not proof of an error. Excluded pending confirmation of plan-level basis; no inferred correction.</x:v>
      </x:c>
    </x:row>
    <x:row r="28" ht="24" hidden="0" customHeight="1">
      <x:c r="A28" s="10" t="str">
        <x:f>IF(INDEX('Listings'!$B$2:$B$169,MATCH($I28,'Listings'!$A$2:$A$169,0))="","",INDEX('Listings'!$B$2:$B$169,MATCH($I28,'Listings'!$A$2:$A$169,0)))</x:f>
        <x:v>Six Forks townhome</x:v>
      </x:c>
      <x:c r="B28" s="10" t="str">
        <x:f>IF(INDEX('Listings'!$E$2:$E$169,MATCH($I28,'Listings'!$A$2:$A$169,0))="","",INDEX('Listings'!$E$2:$E$169,MATCH($I28,'Listings'!$A$2:$A$169,0)))</x:f>
        <x:v>Per bedroom</x:v>
      </x:c>
      <x:c r="C28" s="11" t="n">
        <x:f>IF(INDEX('Listings'!$H$2:$H$169,MATCH($I28,'Listings'!$A$2:$A$169,0))="","",INDEX('Listings'!$H$2:$H$169,MATCH($I28,'Listings'!$A$2:$A$169,0)))</x:f>
        <x:v>900</x:v>
      </x:c>
      <x:c r="D28" s="11" t="n">
        <x:f>IF(INDEX('Listings'!$I$2:$I$169,MATCH($I28,'Listings'!$A$2:$A$169,0))="","",INDEX('Listings'!$I$2:$I$169,MATCH($I28,'Listings'!$A$2:$A$169,0)))</x:f>
        <x:v>900</x:v>
      </x:c>
      <x:c r="E28" s="10" t="str">
        <x:v>Outside all three five-mile areas.</x:v>
      </x:c>
      <x:c r="F28" s="10" t="str">
        <x:f>IF(INDEX('Listings'!$Q$2:$Q$169,MATCH($I28,'Listings'!$A$2:$A$169,0))="","",INDEX('Listings'!$Q$2:$Q$169,MATCH($I28,'Listings'!$A$2:$A$169,0)))</x:f>
        <x:v>Outside 5 mi</x:v>
      </x:c>
      <x:c r="G28" s="10" t="str">
        <x:f>IF(INDEX('Listings'!$S$2:$S$169,MATCH($I28,'Listings'!$A$2:$A$169,0))="","",INDEX('Listings'!$S$2:$S$169,MATCH($I28,'Listings'!$A$2:$A$169,0)))</x:f>
        <x:v>Outside 5 mi</x:v>
      </x:c>
      <x:c r="H28" s="10" t="str">
        <x:f>IF(INDEX('Listings'!$U$2:$U$169,MATCH($I28,'Listings'!$A$2:$A$169,0))="","",INDEX('Listings'!$U$2:$U$169,MATCH($I28,'Listings'!$A$2:$A$169,0)))</x:f>
        <x:v>Outside 5 mi</x:v>
      </x:c>
      <x:c r="I28" s="10" t="str">
        <x:v>ocp706k96x</x:v>
      </x:c>
      <x:c r="J28" s="10" t="str">
        <x:f>IF(INDEX('Listings'!$C$2:$C$169,MATCH($I28,'Listings'!$A$2:$A$169,0))="","",INDEX('Listings'!$C$2:$C$169,MATCH($I28,'Listings'!$A$2:$A$169,0)))</x:f>
        <x:v>https://offcampus.dasa.ncsu.edu/housing/property/six-forks-townhome/ocp706k96x</x:v>
      </x:c>
      <x:c r="K28" s="10" t="str">
        <x:f>IF(INDEX('Listings'!$AG$2:$AG$169,MATCH($I28,'Listings'!$A$2:$A$169,0))="","",INDEX('Listings'!$AG$2:$AG$169,MATCH($I28,'Listings'!$A$2:$A$169,0)))</x:f>
        <x:v>Source pricing flag retained; automated consistency checks passed. This is not independent landlord verification.</x:v>
      </x:c>
    </x:row>
    <x:row r="29" ht="24" hidden="0" customHeight="1">
      <x:c r="A29" s="10" t="str">
        <x:f>IF(INDEX('Listings'!$B$2:$B$169,MATCH($I29,'Listings'!$A$2:$A$169,0))="","",INDEX('Listings'!$B$2:$B$169,MATCH($I29,'Listings'!$A$2:$A$169,0)))</x:f>
        <x:v>Stanhope</x:v>
      </x:c>
      <x:c r="B29" s="10" t="str">
        <x:f>IF(INDEX('Listings'!$E$2:$E$169,MATCH($I29,'Listings'!$A$2:$A$169,0))="","",INDEX('Listings'!$E$2:$E$169,MATCH($I29,'Listings'!$A$2:$A$169,0)))</x:f>
        <x:v>Review</x:v>
      </x:c>
      <x:c r="C29" s="11" t="n">
        <x:f>IF(INDEX('Listings'!$H$2:$H$169,MATCH($I29,'Listings'!$A$2:$A$169,0))="","",INDEX('Listings'!$H$2:$H$169,MATCH($I29,'Listings'!$A$2:$A$169,0)))</x:f>
        <x:v>845</x:v>
      </x:c>
      <x:c r="D29" s="11" t="n">
        <x:f>IF(INDEX('Listings'!$I$2:$I$169,MATCH($I29,'Listings'!$A$2:$A$169,0))="","",INDEX('Listings'!$I$2:$I$169,MATCH($I29,'Listings'!$A$2:$A$169,0)))</x:f>
        <x:v>1695</x:v>
      </x:c>
      <x:c r="E29" s="10" t="str">
        <x:v>Unresolved room/whole-unit pricing basis.</x:v>
      </x:c>
      <x:c r="F29" s="10" t="str">
        <x:f>IF(INDEX('Listings'!$Q$2:$Q$169,MATCH($I29,'Listings'!$A$2:$A$169,0))="","",INDEX('Listings'!$Q$2:$Q$169,MATCH($I29,'Listings'!$A$2:$A$169,0)))</x:f>
        <x:v>0–1 mi</x:v>
      </x:c>
      <x:c r="G29" s="10" t="str">
        <x:f>IF(INDEX('Listings'!$S$2:$S$169,MATCH($I29,'Listings'!$A$2:$A$169,0))="","",INDEX('Listings'!$S$2:$S$169,MATCH($I29,'Listings'!$A$2:$A$169,0)))</x:f>
        <x:v>&gt;1–3 mi</x:v>
      </x:c>
      <x:c r="H29" s="10" t="str">
        <x:f>IF(INDEX('Listings'!$U$2:$U$169,MATCH($I29,'Listings'!$A$2:$A$169,0))="","",INDEX('Listings'!$U$2:$U$169,MATCH($I29,'Listings'!$A$2:$A$169,0)))</x:f>
        <x:v>&gt;1–3 mi</x:v>
      </x:c>
      <x:c r="I29" s="10" t="str">
        <x:v>fgrbwjv</x:v>
      </x:c>
      <x:c r="J29" s="10" t="str">
        <x:f>IF(INDEX('Listings'!$C$2:$C$169,MATCH($I29,'Listings'!$A$2:$A$169,0))="","",INDEX('Listings'!$C$2:$C$169,MATCH($I29,'Listings'!$A$2:$A$169,0)))</x:f>
        <x:v>https://offcampus.dasa.ncsu.edu/housing/property/stanhope/fgrbwjv</x:v>
      </x:c>
      <x:c r="K29" s="10" t="str">
        <x:f>IF(INDEX('Listings'!$AG$2:$AG$169,MATCH($I29,'Listings'!$A$2:$A$169,0))="","",INDEX('Listings'!$AG$2:$AG$169,MATCH($I29,'Listings'!$A$2:$A$169,0)))</x:f>
        <x:v>Saved floor plans contain both per-bedroom and whole-unit flags. A single property range cannot be assigned a reliable common pricing basis; no division by bedroom count or price substitution.</x:v>
      </x:c>
    </x:row>
    <x:row r="30" ht="36" hidden="0" customHeight="1">
      <x:c r="A30" s="10" t="str">
        <x:f>IF(INDEX('Listings'!$B$2:$B$169,MATCH($I30,'Listings'!$A$2:$A$169,0))="","",INDEX('Listings'!$B$2:$B$169,MATCH($I30,'Listings'!$A$2:$A$169,0)))</x:f>
        <x:v>The Dakota</x:v>
      </x:c>
      <x:c r="B30" s="10" t="str">
        <x:f>IF(INDEX('Listings'!$E$2:$E$169,MATCH($I30,'Listings'!$A$2:$A$169,0))="","",INDEX('Listings'!$E$2:$E$169,MATCH($I30,'Listings'!$A$2:$A$169,0)))</x:f>
        <x:v>Whole unit</x:v>
      </x:c>
      <x:c r="C30" s="11" t="n">
        <x:f>IF(INDEX('Listings'!$H$2:$H$169,MATCH($I30,'Listings'!$A$2:$A$169,0))="","",INDEX('Listings'!$H$2:$H$169,MATCH($I30,'Listings'!$A$2:$A$169,0)))</x:f>
        <x:v>1316</x:v>
      </x:c>
      <x:c r="D30" s="11" t="n">
        <x:f>IF(INDEX('Listings'!$I$2:$I$169,MATCH($I30,'Listings'!$A$2:$A$169,0))="","",INDEX('Listings'!$I$2:$I$169,MATCH($I30,'Listings'!$A$2:$A$169,0)))</x:f>
        <x:v>2017</x:v>
      </x:c>
      <x:c r="E30" s="10" t="str">
        <x:v>Search and floor-plan prices disagree.</x:v>
      </x:c>
      <x:c r="F30" s="10" t="str">
        <x:f>IF(INDEX('Listings'!$Q$2:$Q$169,MATCH($I30,'Listings'!$A$2:$A$169,0))="","",INDEX('Listings'!$Q$2:$Q$169,MATCH($I30,'Listings'!$A$2:$A$169,0)))</x:f>
        <x:v>&gt;3–5 mi</x:v>
      </x:c>
      <x:c r="G30" s="10" t="str">
        <x:f>IF(INDEX('Listings'!$S$2:$S$169,MATCH($I30,'Listings'!$A$2:$A$169,0))="","",INDEX('Listings'!$S$2:$S$169,MATCH($I30,'Listings'!$A$2:$A$169,0)))</x:f>
        <x:v>&gt;3–5 mi</x:v>
      </x:c>
      <x:c r="H30" s="10" t="str">
        <x:f>IF(INDEX('Listings'!$U$2:$U$169,MATCH($I30,'Listings'!$A$2:$A$169,0))="","",INDEX('Listings'!$U$2:$U$169,MATCH($I30,'Listings'!$A$2:$A$169,0)))</x:f>
        <x:v>&gt;1–3 mi</x:v>
      </x:c>
      <x:c r="I30" s="10" t="str">
        <x:v>9rxe6j6</x:v>
      </x:c>
      <x:c r="J30" s="10" t="str">
        <x:f>IF(INDEX('Listings'!$C$2:$C$169,MATCH($I30,'Listings'!$A$2:$A$169,0))="","",INDEX('Listings'!$C$2:$C$169,MATCH($I30,'Listings'!$A$2:$A$169,0)))</x:f>
        <x:v>https://offcampus.dasa.ncsu.edu/housing/property/the-dakota/9rxe6j6</x:v>
      </x:c>
      <x:c r="K30" s="10" t="str">
        <x:f>IF(INDEX('Listings'!$AG$2:$AG$169,MATCH($I30,'Listings'!$A$2:$A$169,0))="","",INDEX('Listings'!$AG$2:$AG$169,MATCH($I30,'Listings'!$A$2:$A$169,0)))</x:f>
        <x:v>Source pricing flag retained; automated consistency checks passed. This is not independent landlord verification. Search summary: $1316–$2017; saved floor-plan envelope: $1330–$2017. Difference may reflect fees, timing or scope; unresolved snapshot price excluded.</x:v>
      </x:c>
    </x:row>
    <x:row r="31" ht="36" hidden="0" customHeight="1">
      <x:c r="A31" s="10" t="str">
        <x:f>IF(INDEX('Listings'!$B$2:$B$169,MATCH($I31,'Listings'!$A$2:$A$169,0))="","",INDEX('Listings'!$B$2:$B$169,MATCH($I31,'Listings'!$A$2:$A$169,0)))</x:f>
        <x:v>The Hillsborough</x:v>
      </x:c>
      <x:c r="B31" s="10" t="str">
        <x:f>IF(INDEX('Listings'!$E$2:$E$169,MATCH($I31,'Listings'!$A$2:$A$169,0))="","",INDEX('Listings'!$E$2:$E$169,MATCH($I31,'Listings'!$A$2:$A$169,0)))</x:f>
        <x:v>Per bedroom</x:v>
      </x:c>
      <x:c r="C31" s="11" t="n">
        <x:f>IF(INDEX('Listings'!$H$2:$H$169,MATCH($I31,'Listings'!$A$2:$A$169,0))="","",INDEX('Listings'!$H$2:$H$169,MATCH($I31,'Listings'!$A$2:$A$169,0)))</x:f>
        <x:v>1000</x:v>
      </x:c>
      <x:c r="D31" s="11" t="n">
        <x:f>IF(INDEX('Listings'!$I$2:$I$169,MATCH($I31,'Listings'!$A$2:$A$169,0))="","",INDEX('Listings'!$I$2:$I$169,MATCH($I31,'Listings'!$A$2:$A$169,0)))</x:f>
        <x:v>1350</x:v>
      </x:c>
      <x:c r="E31" s="10" t="str">
        <x:v>Search and floor-plan prices disagree.</x:v>
      </x:c>
      <x:c r="F31" s="10" t="str">
        <x:f>IF(INDEX('Listings'!$Q$2:$Q$169,MATCH($I31,'Listings'!$A$2:$A$169,0))="","",INDEX('Listings'!$Q$2:$Q$169,MATCH($I31,'Listings'!$A$2:$A$169,0)))</x:f>
        <x:v>&gt;1–3 mi</x:v>
      </x:c>
      <x:c r="G31" s="10" t="str">
        <x:f>IF(INDEX('Listings'!$S$2:$S$169,MATCH($I31,'Listings'!$A$2:$A$169,0))="","",INDEX('Listings'!$S$2:$S$169,MATCH($I31,'Listings'!$A$2:$A$169,0)))</x:f>
        <x:v>&gt;1–3 mi</x:v>
      </x:c>
      <x:c r="H31" s="10" t="str">
        <x:f>IF(INDEX('Listings'!$U$2:$U$169,MATCH($I31,'Listings'!$A$2:$A$169,0))="","",INDEX('Listings'!$U$2:$U$169,MATCH($I31,'Listings'!$A$2:$A$169,0)))</x:f>
        <x:v>&gt;1–3 mi</x:v>
      </x:c>
      <x:c r="I31" s="10" t="str">
        <x:v>8gchf40</x:v>
      </x:c>
      <x:c r="J31" s="10" t="str">
        <x:f>IF(INDEX('Listings'!$C$2:$C$169,MATCH($I31,'Listings'!$A$2:$A$169,0))="","",INDEX('Listings'!$C$2:$C$169,MATCH($I31,'Listings'!$A$2:$A$169,0)))</x:f>
        <x:v>https://offcampus.dasa.ncsu.edu/housing/property/the-hillsborough/8gchf40</x:v>
      </x:c>
      <x:c r="K31" s="10" t="str">
        <x:f>IF(INDEX('Listings'!$AG$2:$AG$169,MATCH($I31,'Listings'!$A$2:$A$169,0))="","",INDEX('Listings'!$AG$2:$AG$169,MATCH($I31,'Listings'!$A$2:$A$169,0)))</x:f>
        <x:v>Source pricing flag retained; automated consistency checks passed. This is not independent landlord verification. Search summary: $1000–$1350; saved floor-plan envelope: $1100–$1350. Difference may reflect fees, timing or scope; unresolved snapshot price excluded.</x:v>
      </x:c>
    </x:row>
    <x:row r="32" ht="36" hidden="0" customHeight="1">
      <x:c r="A32" s="10" t="str">
        <x:f>IF(INDEX('Listings'!$B$2:$B$169,MATCH($I32,'Listings'!$A$2:$A$169,0))="","",INDEX('Listings'!$B$2:$B$169,MATCH($I32,'Listings'!$A$2:$A$169,0)))</x:f>
        <x:v>The Reserve at Patterson Place</x:v>
      </x:c>
      <x:c r="B32" s="10" t="str">
        <x:f>IF(INDEX('Listings'!$E$2:$E$169,MATCH($I32,'Listings'!$A$2:$A$169,0))="","",INDEX('Listings'!$E$2:$E$169,MATCH($I32,'Listings'!$A$2:$A$169,0)))</x:f>
        <x:v>Whole unit</x:v>
      </x:c>
      <x:c r="C32" s="11" t="n">
        <x:f>IF(INDEX('Listings'!$H$2:$H$169,MATCH($I32,'Listings'!$A$2:$A$169,0))="","",INDEX('Listings'!$H$2:$H$169,MATCH($I32,'Listings'!$A$2:$A$169,0)))</x:f>
        <x:v>1288</x:v>
      </x:c>
      <x:c r="D32" s="11" t="n">
        <x:f>IF(INDEX('Listings'!$I$2:$I$169,MATCH($I32,'Listings'!$A$2:$A$169,0))="","",INDEX('Listings'!$I$2:$I$169,MATCH($I32,'Listings'!$A$2:$A$169,0)))</x:f>
        <x:v>2422</x:v>
      </x:c>
      <x:c r="E32" s="10" t="str">
        <x:v>Outside all three five-mile areas. Search and floor-plan prices disagree.</x:v>
      </x:c>
      <x:c r="F32" s="10" t="str">
        <x:f>IF(INDEX('Listings'!$Q$2:$Q$169,MATCH($I32,'Listings'!$A$2:$A$169,0))="","",INDEX('Listings'!$Q$2:$Q$169,MATCH($I32,'Listings'!$A$2:$A$169,0)))</x:f>
        <x:v>Outside 5 mi</x:v>
      </x:c>
      <x:c r="G32" s="10" t="str">
        <x:f>IF(INDEX('Listings'!$S$2:$S$169,MATCH($I32,'Listings'!$A$2:$A$169,0))="","",INDEX('Listings'!$S$2:$S$169,MATCH($I32,'Listings'!$A$2:$A$169,0)))</x:f>
        <x:v>Outside 5 mi</x:v>
      </x:c>
      <x:c r="H32" s="10" t="str">
        <x:f>IF(INDEX('Listings'!$U$2:$U$169,MATCH($I32,'Listings'!$A$2:$A$169,0))="","",INDEX('Listings'!$U$2:$U$169,MATCH($I32,'Listings'!$A$2:$A$169,0)))</x:f>
        <x:v>Outside 5 mi</x:v>
      </x:c>
      <x:c r="I32" s="10" t="str">
        <x:v>mc0h4yh</x:v>
      </x:c>
      <x:c r="J32" s="10" t="str">
        <x:f>IF(INDEX('Listings'!$C$2:$C$169,MATCH($I32,'Listings'!$A$2:$A$169,0))="","",INDEX('Listings'!$C$2:$C$169,MATCH($I32,'Listings'!$A$2:$A$169,0)))</x:f>
        <x:v>https://offcampus.dasa.ncsu.edu/housing/property/the-reserve-at-patterson-place/mc0h4yh</x:v>
      </x:c>
      <x:c r="K32" s="10" t="str">
        <x:f>IF(INDEX('Listings'!$AG$2:$AG$169,MATCH($I32,'Listings'!$A$2:$A$169,0))="","",INDEX('Listings'!$AG$2:$AG$169,MATCH($I32,'Listings'!$A$2:$A$169,0)))</x:f>
        <x:v>Source pricing flag retained; automated consistency checks passed. This is not independent landlord verification. Search summary: $1288–$2422; saved floor-plan envelope: $1238–$2422. Difference may reflect fees, timing or scope; unresolved snapshot price excluded.</x:v>
      </x:c>
    </x:row>
    <x:row r="33" ht="36" hidden="0" customHeight="1">
      <x:c r="A33" s="10" t="str">
        <x:f>IF(INDEX('Listings'!$B$2:$B$169,MATCH($I33,'Listings'!$A$2:$A$169,0))="","",INDEX('Listings'!$B$2:$B$169,MATCH($I33,'Listings'!$A$2:$A$169,0)))</x:f>
        <x:v>Townhome at Hampton Place, Morrisville, 20 to 25 minutes from NCSU.</x:v>
      </x:c>
      <x:c r="B33" s="10" t="str">
        <x:f>IF(INDEX('Listings'!$E$2:$E$169,MATCH($I33,'Listings'!$A$2:$A$169,0))="","",INDEX('Listings'!$E$2:$E$169,MATCH($I33,'Listings'!$A$2:$A$169,0)))</x:f>
        <x:v>Per bedroom</x:v>
      </x:c>
      <x:c r="C33" s="11" t="n">
        <x:f>IF(INDEX('Listings'!$H$2:$H$169,MATCH($I33,'Listings'!$A$2:$A$169,0))="","",INDEX('Listings'!$H$2:$H$169,MATCH($I33,'Listings'!$A$2:$A$169,0)))</x:f>
        <x:v>733</x:v>
      </x:c>
      <x:c r="D33" s="11" t="n">
        <x:f>IF(INDEX('Listings'!$I$2:$I$169,MATCH($I33,'Listings'!$A$2:$A$169,0))="","",INDEX('Listings'!$I$2:$I$169,MATCH($I33,'Listings'!$A$2:$A$169,0)))</x:f>
        <x:v>733</x:v>
      </x:c>
      <x:c r="E33" s="10" t="str">
        <x:v>Outside all three five-mile areas.</x:v>
      </x:c>
      <x:c r="F33" s="10" t="str">
        <x:f>IF(INDEX('Listings'!$Q$2:$Q$169,MATCH($I33,'Listings'!$A$2:$A$169,0))="","",INDEX('Listings'!$Q$2:$Q$169,MATCH($I33,'Listings'!$A$2:$A$169,0)))</x:f>
        <x:v>Outside 5 mi</x:v>
      </x:c>
      <x:c r="G33" s="10" t="str">
        <x:f>IF(INDEX('Listings'!$S$2:$S$169,MATCH($I33,'Listings'!$A$2:$A$169,0))="","",INDEX('Listings'!$S$2:$S$169,MATCH($I33,'Listings'!$A$2:$A$169,0)))</x:f>
        <x:v>Outside 5 mi</x:v>
      </x:c>
      <x:c r="H33" s="10" t="str">
        <x:f>IF(INDEX('Listings'!$U$2:$U$169,MATCH($I33,'Listings'!$A$2:$A$169,0))="","",INDEX('Listings'!$U$2:$U$169,MATCH($I33,'Listings'!$A$2:$A$169,0)))</x:f>
        <x:v>Outside 5 mi</x:v>
      </x:c>
      <x:c r="I33" s="10" t="str">
        <x:v>ocp2bnnl9c</x:v>
      </x:c>
      <x:c r="J33" s="10" t="str">
        <x:f>IF(INDEX('Listings'!$C$2:$C$169,MATCH($I33,'Listings'!$A$2:$A$169,0))="","",INDEX('Listings'!$C$2:$C$169,MATCH($I33,'Listings'!$A$2:$A$169,0)))</x:f>
        <x:v>https://offcampus.dasa.ncsu.edu/housing/property/townhome-at-hampton-place-morrisville-20-to-25-minutes-from-ncsu/ocp2bnnl9c</x:v>
      </x:c>
      <x:c r="K33" s="10" t="str">
        <x:f>IF(INDEX('Listings'!$AG$2:$AG$169,MATCH($I33,'Listings'!$A$2:$A$169,0))="","",INDEX('Listings'!$AG$2:$AG$169,MATCH($I33,'Listings'!$A$2:$A$169,0)))</x:f>
        <x:v>Source pricing flag retained; automated consistency checks passed. This is not independent landlord verification.</x:v>
      </x:c>
    </x:row>
    <x:row r="34" ht="24" hidden="0" customHeight="1">
      <x:c r="A34" s="10" t="str">
        <x:f>IF(INDEX('Listings'!$B$2:$B$169,MATCH($I34,'Listings'!$A$2:$A$169,0))="","",INDEX('Listings'!$B$2:$B$169,MATCH($I34,'Listings'!$A$2:$A$169,0)))</x:f>
        <x:v>Trellis-University Hill</x:v>
      </x:c>
      <x:c r="B34" s="10" t="str">
        <x:f>IF(INDEX('Listings'!$E$2:$E$169,MATCH($I34,'Listings'!$A$2:$A$169,0))="","",INDEX('Listings'!$E$2:$E$169,MATCH($I34,'Listings'!$A$2:$A$169,0)))</x:f>
        <x:v>Whole unit</x:v>
      </x:c>
      <x:c r="C34" s="11" t="n">
        <x:f>IF(INDEX('Listings'!$H$2:$H$169,MATCH($I34,'Listings'!$A$2:$A$169,0))="","",INDEX('Listings'!$H$2:$H$169,MATCH($I34,'Listings'!$A$2:$A$169,0)))</x:f>
        <x:v>1400</x:v>
      </x:c>
      <x:c r="D34" s="11" t="n">
        <x:f>IF(INDEX('Listings'!$I$2:$I$169,MATCH($I34,'Listings'!$A$2:$A$169,0))="","",INDEX('Listings'!$I$2:$I$169,MATCH($I34,'Listings'!$A$2:$A$169,0)))</x:f>
        <x:v>1625</x:v>
      </x:c>
      <x:c r="E34" s="10" t="str">
        <x:v>Outside all three five-mile areas.</x:v>
      </x:c>
      <x:c r="F34" s="10" t="str">
        <x:f>IF(INDEX('Listings'!$Q$2:$Q$169,MATCH($I34,'Listings'!$A$2:$A$169,0))="","",INDEX('Listings'!$Q$2:$Q$169,MATCH($I34,'Listings'!$A$2:$A$169,0)))</x:f>
        <x:v>Outside 5 mi</x:v>
      </x:c>
      <x:c r="G34" s="10" t="str">
        <x:f>IF(INDEX('Listings'!$S$2:$S$169,MATCH($I34,'Listings'!$A$2:$A$169,0))="","",INDEX('Listings'!$S$2:$S$169,MATCH($I34,'Listings'!$A$2:$A$169,0)))</x:f>
        <x:v>Outside 5 mi</x:v>
      </x:c>
      <x:c r="H34" s="10" t="str">
        <x:f>IF(INDEX('Listings'!$U$2:$U$169,MATCH($I34,'Listings'!$A$2:$A$169,0))="","",INDEX('Listings'!$U$2:$U$169,MATCH($I34,'Listings'!$A$2:$A$169,0)))</x:f>
        <x:v>Outside 5 mi</x:v>
      </x:c>
      <x:c r="I34" s="10" t="str">
        <x:v>lvqgnje</x:v>
      </x:c>
      <x:c r="J34" s="10" t="str">
        <x:f>IF(INDEX('Listings'!$C$2:$C$169,MATCH($I34,'Listings'!$A$2:$A$169,0))="","",INDEX('Listings'!$C$2:$C$169,MATCH($I34,'Listings'!$A$2:$A$169,0)))</x:f>
        <x:v>https://offcampus.dasa.ncsu.edu/housing/property/trellis-university-hill/lvqgnje</x:v>
      </x:c>
      <x:c r="K34" s="10" t="str">
        <x:f>IF(INDEX('Listings'!$AG$2:$AG$169,MATCH($I34,'Listings'!$A$2:$A$169,0))="","",INDEX('Listings'!$AG$2:$AG$169,MATCH($I34,'Listings'!$A$2:$A$169,0)))</x:f>
        <x:v>Source pricing flag retained; automated consistency checks passed. This is not independent landlord verification.</x:v>
      </x:c>
    </x:row>
    <x:row r="35" ht="24" hidden="0" customHeight="1">
      <x:c r="A35" s="10" t="str">
        <x:f>IF(INDEX('Listings'!$B$2:$B$169,MATCH($I35,'Listings'!$A$2:$A$169,0))="","",INDEX('Listings'!$B$2:$B$169,MATCH($I35,'Listings'!$A$2:$A$169,0)))</x:f>
        <x:v>Valentine Commons</x:v>
      </x:c>
      <x:c r="B35" s="10" t="str">
        <x:f>IF(INDEX('Listings'!$E$2:$E$169,MATCH($I35,'Listings'!$A$2:$A$169,0))="","",INDEX('Listings'!$E$2:$E$169,MATCH($I35,'Listings'!$A$2:$A$169,0)))</x:f>
        <x:v>Review</x:v>
      </x:c>
      <x:c r="C35" s="11" t="n">
        <x:f>IF(INDEX('Listings'!$H$2:$H$169,MATCH($I35,'Listings'!$A$2:$A$169,0))="","",INDEX('Listings'!$H$2:$H$169,MATCH($I35,'Listings'!$A$2:$A$169,0)))</x:f>
        <x:v>1190</x:v>
      </x:c>
      <x:c r="D35" s="11" t="n">
        <x:f>IF(INDEX('Listings'!$I$2:$I$169,MATCH($I35,'Listings'!$A$2:$A$169,0))="","",INDEX('Listings'!$I$2:$I$169,MATCH($I35,'Listings'!$A$2:$A$169,0)))</x:f>
        <x:v>2238</x:v>
      </x:c>
      <x:c r="E35" s="10" t="str">
        <x:v>Unresolved room/whole-unit pricing basis.</x:v>
      </x:c>
      <x:c r="F35" s="10" t="str">
        <x:f>IF(INDEX('Listings'!$Q$2:$Q$169,MATCH($I35,'Listings'!$A$2:$A$169,0))="","",INDEX('Listings'!$Q$2:$Q$169,MATCH($I35,'Listings'!$A$2:$A$169,0)))</x:f>
        <x:v>0–1 mi</x:v>
      </x:c>
      <x:c r="G35" s="10" t="str">
        <x:f>IF(INDEX('Listings'!$S$2:$S$169,MATCH($I35,'Listings'!$A$2:$A$169,0))="","",INDEX('Listings'!$S$2:$S$169,MATCH($I35,'Listings'!$A$2:$A$169,0)))</x:f>
        <x:v>&gt;1–3 mi</x:v>
      </x:c>
      <x:c r="H35" s="10" t="str">
        <x:f>IF(INDEX('Listings'!$U$2:$U$169,MATCH($I35,'Listings'!$A$2:$A$169,0))="","",INDEX('Listings'!$U$2:$U$169,MATCH($I35,'Listings'!$A$2:$A$169,0)))</x:f>
        <x:v>&gt;1–3 mi</x:v>
      </x:c>
      <x:c r="I35" s="10" t="str">
        <x:v>p8mlexs</x:v>
      </x:c>
      <x:c r="J35" s="10" t="str">
        <x:f>IF(INDEX('Listings'!$C$2:$C$169,MATCH($I35,'Listings'!$A$2:$A$169,0))="","",INDEX('Listings'!$C$2:$C$169,MATCH($I35,'Listings'!$A$2:$A$169,0)))</x:f>
        <x:v>https://offcampus.dasa.ncsu.edu/housing/property/valentine-commons/p8mlexs</x:v>
      </x:c>
      <x:c r="K35" s="10" t="str">
        <x:f>IF(INDEX('Listings'!$AG$2:$AG$169,MATCH($I35,'Listings'!$A$2:$A$169,0))="","",INDEX('Listings'!$AG$2:$AG$169,MATCH($I35,'Listings'!$A$2:$A$169,0)))</x:f>
        <x:v>Saved floor plans contain both per-bedroom and whole-unit flags. A single property range cannot be assigned a reliable common pricing basis; no division by bedroom count or price substitution.</x:v>
      </x:c>
    </x:row>
    <x:row r="36" ht="24" hidden="0" customHeight="1">
      <x:c r="A36" s="10" t="str">
        <x:f>IF(INDEX('Listings'!$B$2:$B$169,MATCH($I36,'Listings'!$A$2:$A$169,0))="","",INDEX('Listings'!$B$2:$B$169,MATCH($I36,'Listings'!$A$2:$A$169,0)))</x:f>
        <x:v>Viceroy Apartments</x:v>
      </x:c>
      <x:c r="B36" s="10" t="str">
        <x:f>IF(INDEX('Listings'!$E$2:$E$169,MATCH($I36,'Listings'!$A$2:$A$169,0))="","",INDEX('Listings'!$E$2:$E$169,MATCH($I36,'Listings'!$A$2:$A$169,0)))</x:f>
        <x:v>Whole unit</x:v>
      </x:c>
      <x:c r="C36" s="11" t="n">
        <x:f>IF(INDEX('Listings'!$H$2:$H$169,MATCH($I36,'Listings'!$A$2:$A$169,0))="","",INDEX('Listings'!$H$2:$H$169,MATCH($I36,'Listings'!$A$2:$A$169,0)))</x:f>
        <x:v>1099</x:v>
      </x:c>
      <x:c r="D36" s="11" t="n">
        <x:f>IF(INDEX('Listings'!$I$2:$I$169,MATCH($I36,'Listings'!$A$2:$A$169,0))="","",INDEX('Listings'!$I$2:$I$169,MATCH($I36,'Listings'!$A$2:$A$169,0)))</x:f>
        <x:v>1099</x:v>
      </x:c>
      <x:c r="E36" s="10" t="str">
        <x:v>Outside all three five-mile areas.</x:v>
      </x:c>
      <x:c r="F36" s="10" t="str">
        <x:f>IF(INDEX('Listings'!$Q$2:$Q$169,MATCH($I36,'Listings'!$A$2:$A$169,0))="","",INDEX('Listings'!$Q$2:$Q$169,MATCH($I36,'Listings'!$A$2:$A$169,0)))</x:f>
        <x:v>Outside 5 mi</x:v>
      </x:c>
      <x:c r="G36" s="10" t="str">
        <x:f>IF(INDEX('Listings'!$S$2:$S$169,MATCH($I36,'Listings'!$A$2:$A$169,0))="","",INDEX('Listings'!$S$2:$S$169,MATCH($I36,'Listings'!$A$2:$A$169,0)))</x:f>
        <x:v>Outside 5 mi</x:v>
      </x:c>
      <x:c r="H36" s="10" t="str">
        <x:f>IF(INDEX('Listings'!$U$2:$U$169,MATCH($I36,'Listings'!$A$2:$A$169,0))="","",INDEX('Listings'!$U$2:$U$169,MATCH($I36,'Listings'!$A$2:$A$169,0)))</x:f>
        <x:v>Outside 5 mi</x:v>
      </x:c>
      <x:c r="I36" s="10" t="str">
        <x:v>nhblm0q</x:v>
      </x:c>
      <x:c r="J36" s="10" t="str">
        <x:f>IF(INDEX('Listings'!$C$2:$C$169,MATCH($I36,'Listings'!$A$2:$A$169,0))="","",INDEX('Listings'!$C$2:$C$169,MATCH($I36,'Listings'!$A$2:$A$169,0)))</x:f>
        <x:v>https://offcampus.dasa.ncsu.edu/housing/property/viceroy-apartments/nhblm0q</x:v>
      </x:c>
      <x:c r="K36" s="10" t="str">
        <x:f>IF(INDEX('Listings'!$AG$2:$AG$169,MATCH($I36,'Listings'!$A$2:$A$169,0))="","",INDEX('Listings'!$AG$2:$AG$169,MATCH($I36,'Listings'!$A$2:$A$169,0)))</x:f>
        <x:v>Source pricing flag retained; automated consistency checks passed. This is not independent landlord verification.</x:v>
      </x:c>
    </x:row>
    <x:row r="37" ht="24" hidden="0" customHeight="1">
      <x:c r="A37" s="10" t="str">
        <x:f>IF(INDEX('Listings'!$B$2:$B$169,MATCH($I37,'Listings'!$A$2:$A$169,0))="","",INDEX('Listings'!$B$2:$B$169,MATCH($I37,'Listings'!$A$2:$A$169,0)))</x:f>
        <x:v>Willow Bend Apartments</x:v>
      </x:c>
      <x:c r="B37" s="10" t="str">
        <x:f>IF(INDEX('Listings'!$E$2:$E$169,MATCH($I37,'Listings'!$A$2:$A$169,0))="","",INDEX('Listings'!$E$2:$E$169,MATCH($I37,'Listings'!$A$2:$A$169,0)))</x:f>
        <x:v>Whole unit</x:v>
      </x:c>
      <x:c r="C37" s="11" t="n">
        <x:f>IF(INDEX('Listings'!$H$2:$H$169,MATCH($I37,'Listings'!$A$2:$A$169,0))="","",INDEX('Listings'!$H$2:$H$169,MATCH($I37,'Listings'!$A$2:$A$169,0)))</x:f>
        <x:v>1312</x:v>
      </x:c>
      <x:c r="D37" s="11" t="n">
        <x:f>IF(INDEX('Listings'!$I$2:$I$169,MATCH($I37,'Listings'!$A$2:$A$169,0))="","",INDEX('Listings'!$I$2:$I$169,MATCH($I37,'Listings'!$A$2:$A$169,0)))</x:f>
        <x:v>1357</x:v>
      </x:c>
      <x:c r="E37" s="10" t="str">
        <x:v>Outside all three five-mile areas.</x:v>
      </x:c>
      <x:c r="F37" s="10" t="str">
        <x:f>IF(INDEX('Listings'!$Q$2:$Q$169,MATCH($I37,'Listings'!$A$2:$A$169,0))="","",INDEX('Listings'!$Q$2:$Q$169,MATCH($I37,'Listings'!$A$2:$A$169,0)))</x:f>
        <x:v>Outside 5 mi</x:v>
      </x:c>
      <x:c r="G37" s="10" t="str">
        <x:f>IF(INDEX('Listings'!$S$2:$S$169,MATCH($I37,'Listings'!$A$2:$A$169,0))="","",INDEX('Listings'!$S$2:$S$169,MATCH($I37,'Listings'!$A$2:$A$169,0)))</x:f>
        <x:v>Outside 5 mi</x:v>
      </x:c>
      <x:c r="H37" s="10" t="str">
        <x:f>IF(INDEX('Listings'!$U$2:$U$169,MATCH($I37,'Listings'!$A$2:$A$169,0))="","",INDEX('Listings'!$U$2:$U$169,MATCH($I37,'Listings'!$A$2:$A$169,0)))</x:f>
        <x:v>Outside 5 mi</x:v>
      </x:c>
      <x:c r="I37" s="10" t="str">
        <x:v>gky0hgw</x:v>
      </x:c>
      <x:c r="J37" s="10" t="str">
        <x:f>IF(INDEX('Listings'!$C$2:$C$169,MATCH($I37,'Listings'!$A$2:$A$169,0))="","",INDEX('Listings'!$C$2:$C$169,MATCH($I37,'Listings'!$A$2:$A$169,0)))</x:f>
        <x:v>https://offcampus.dasa.ncsu.edu/housing/property/willow-bend-apartments/gky0hgw</x:v>
      </x:c>
      <x:c r="K37" s="10" t="str">
        <x:f>IF(INDEX('Listings'!$AG$2:$AG$169,MATCH($I37,'Listings'!$A$2:$A$169,0))="","",INDEX('Listings'!$AG$2:$AG$169,MATCH($I37,'Listings'!$A$2:$A$169,0)))</x:f>
        <x:v>Source pricing flag retained; automated consistency checks passed. This is not independent landlord verification.</x:v>
      </x:c>
    </x:row>
    <x:row r="38" ht="24" hidden="0" customHeight="1">
      <x:c r="A38" s="10" t="str">
        <x:f>IF(INDEX('Listings'!$B$2:$B$169,MATCH($I38,'Listings'!$A$2:$A$169,0))="","",INDEX('Listings'!$B$2:$B$169,MATCH($I38,'Listings'!$A$2:$A$169,0)))</x:f>
        <x:v>Yugo Raleigh Logan</x:v>
      </x:c>
      <x:c r="B38" s="10" t="str">
        <x:f>IF(INDEX('Listings'!$E$2:$E$169,MATCH($I38,'Listings'!$A$2:$A$169,0))="","",INDEX('Listings'!$E$2:$E$169,MATCH($I38,'Listings'!$A$2:$A$169,0)))</x:f>
        <x:v>Review</x:v>
      </x:c>
      <x:c r="C38" s="11" t="n">
        <x:f>IF(INDEX('Listings'!$H$2:$H$169,MATCH($I38,'Listings'!$A$2:$A$169,0))="","",INDEX('Listings'!$H$2:$H$169,MATCH($I38,'Listings'!$A$2:$A$169,0)))</x:f>
        <x:v>999</x:v>
      </x:c>
      <x:c r="D38" s="11" t="n">
        <x:f>IF(INDEX('Listings'!$I$2:$I$169,MATCH($I38,'Listings'!$A$2:$A$169,0))="","",INDEX('Listings'!$I$2:$I$169,MATCH($I38,'Listings'!$A$2:$A$169,0)))</x:f>
        <x:v>1879</x:v>
      </x:c>
      <x:c r="E38" s="10" t="str">
        <x:v>Unresolved room/whole-unit pricing basis.</x:v>
      </x:c>
      <x:c r="F38" s="10" t="str">
        <x:f>IF(INDEX('Listings'!$Q$2:$Q$169,MATCH($I38,'Listings'!$A$2:$A$169,0))="","",INDEX('Listings'!$Q$2:$Q$169,MATCH($I38,'Listings'!$A$2:$A$169,0)))</x:f>
        <x:v>&gt;1–3 mi</x:v>
      </x:c>
      <x:c r="G38" s="10" t="str">
        <x:f>IF(INDEX('Listings'!$S$2:$S$169,MATCH($I38,'Listings'!$A$2:$A$169,0))="","",INDEX('Listings'!$S$2:$S$169,MATCH($I38,'Listings'!$A$2:$A$169,0)))</x:f>
        <x:v>&gt;1–3 mi</x:v>
      </x:c>
      <x:c r="H38" s="10" t="str">
        <x:f>IF(INDEX('Listings'!$U$2:$U$169,MATCH($I38,'Listings'!$A$2:$A$169,0))="","",INDEX('Listings'!$U$2:$U$169,MATCH($I38,'Listings'!$A$2:$A$169,0)))</x:f>
        <x:v>&gt;1–3 mi</x:v>
      </x:c>
      <x:c r="I38" s="10" t="str">
        <x:v>zfcjzqy</x:v>
      </x:c>
      <x:c r="J38" s="10" t="str">
        <x:f>IF(INDEX('Listings'!$C$2:$C$169,MATCH($I38,'Listings'!$A$2:$A$169,0))="","",INDEX('Listings'!$C$2:$C$169,MATCH($I38,'Listings'!$A$2:$A$169,0)))</x:f>
        <x:v>https://offcampus.dasa.ncsu.edu/housing/property/yugo-raleigh-logan/zfcjzqy</x:v>
      </x:c>
      <x:c r="K38" s="10" t="str">
        <x:f>IF(INDEX('Listings'!$AG$2:$AG$169,MATCH($I38,'Listings'!$A$2:$A$169,0))="","",INDEX('Listings'!$AG$2:$AG$169,MATCH($I38,'Listings'!$A$2:$A$169,0)))</x:f>
        <x:v>Saved floor plans contain both per-bedroom and whole-unit flags. A single property range cannot be assigned a reliable common pricing basis; no division by bedroom count or price substitution.</x:v>
      </x:c>
    </x:row>
  </x:sheetData>
  <x:pageMargins left="0.7" right="0.7" top="0.75" bottom="0.75" header="0.3" footer="0.3"/>
  <x:tableParts count="1">
    <x:tablePart xmlns:r="http://schemas.openxmlformats.org/officeDocument/2006/relationships" r:id="R9c15ca3745964b1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42" hidden="0" customWidth="1"/>
    <x:col min="5" max="5" width="36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</x:cols>
  <x:sheetData>
    <x:row r="1" ht="38" customHeight="1">
      <x:c r="A1" s="4" t="str">
        <x:v>site_id</x:v>
      </x:c>
      <x:c r="B1" s="4" t="str">
        <x:v>ocp_id</x:v>
      </x:c>
      <x:c r="C1" s="4" t="str">
        <x:v>apartments_listing_key</x:v>
      </x:c>
      <x:c r="D1" s="4" t="str">
        <x:v>name</x:v>
      </x:c>
      <x:c r="E1" s="4" t="str">
        <x:v>street_address</x:v>
      </x:c>
      <x:c r="F1" s="4" t="str">
        <x:v>city</x:v>
      </x:c>
      <x:c r="G1" s="4" t="str">
        <x:v>state</x:v>
      </x:c>
      <x:c r="H1" s="4" t="str">
        <x:v>zip</x:v>
      </x:c>
      <x:c r="I1" s="4" t="str">
        <x:v>latitude</x:v>
      </x:c>
      <x:c r="J1" s="4" t="str">
        <x:v>longitude</x:v>
      </x:c>
      <x:c r="K1" s="4" t="str">
        <x:v>target_campus</x:v>
      </x:c>
      <x:c r="L1" s="4" t="str">
        <x:v>api_distance_to_campus_miles</x:v>
      </x:c>
      <x:c r="M1" s="4" t="str">
        <x:v>rent_low</x:v>
      </x:c>
      <x:c r="N1" s="4" t="str">
        <x:v>rent_high</x:v>
      </x:c>
      <x:c r="O1" s="4" t="str">
        <x:v>rent_display</x:v>
      </x:c>
      <x:c r="P1" s="4" t="str">
        <x:v>beds_low</x:v>
      </x:c>
      <x:c r="Q1" s="4" t="str">
        <x:v>beds_high</x:v>
      </x:c>
      <x:c r="R1" s="4" t="str">
        <x:v>beds_display</x:v>
      </x:c>
      <x:c r="S1" s="4" t="str">
        <x:v>per_bed_pricing</x:v>
      </x:c>
      <x:c r="T1" s="4" t="str">
        <x:v>per_semester_pricing</x:v>
      </x:c>
      <x:c r="U1" s="4" t="str">
        <x:v>total_monthly_price</x:v>
      </x:c>
      <x:c r="V1" s="4" t="str">
        <x:v>total_monthly_price_verified</x:v>
      </x:c>
      <x:c r="W1" s="4" t="str">
        <x:v>shared_space</x:v>
      </x:c>
      <x:c r="X1" s="4" t="str">
        <x:v>sublet</x:v>
      </x:c>
      <x:c r="Y1" s="4" t="str">
        <x:v>lease_term</x:v>
      </x:c>
      <x:c r="Z1" s="4" t="str">
        <x:v>hide_address</x:v>
      </x:c>
      <x:c r="AA1" s="4" t="str">
        <x:v>hide_map_pin</x:v>
      </x:c>
      <x:c r="AB1" s="4" t="str">
        <x:v>last_updated</x:v>
      </x:c>
      <x:c r="AC1" s="4" t="str">
        <x:v>property_type</x:v>
      </x:c>
      <x:c r="AD1" s="4" t="str">
        <x:v>total_units</x:v>
      </x:c>
      <x:c r="AE1" s="4" t="str">
        <x:v>active</x:v>
      </x:c>
      <x:c r="AF1" s="4" t="str">
        <x:v>image_count</x:v>
      </x:c>
      <x:c r="AG1" s="4" t="str">
        <x:v>listing_url</x:v>
      </x:c>
    </x:row>
    <x:row r="2" ht="15" hidden="0" customHeight="1">
      <x:c r="A2" s="1" t="str">
        <x:v>kele8mc</x:v>
      </x:c>
      <x:c r="B2" s="1" t="str">
        <x:v>957690</x:v>
      </x:c>
      <x:c r="C2" s="1" t="str">
        <x:v>1flvcm7</x:v>
      </x:c>
      <x:c r="D2" s="5" t="str">
        <x:v>Lofts at Lakeview</x:v>
      </x:c>
      <x:c r="E2" s="5" t="str">
        <x:v>2616 Erwin Rd</x:v>
      </x:c>
      <x:c r="F2" s="1" t="str">
        <x:v>Durham</x:v>
      </x:c>
      <x:c r="G2" s="1" t="str">
        <x:v>NC</x:v>
      </x:c>
      <x:c r="H2" s="1" t="str">
        <x:v>27705</x:v>
      </x:c>
      <x:c r="I2" s="1" t="n">
        <x:v>36.009311</x:v>
      </x:c>
      <x:c r="J2" s="1" t="n">
        <x:v>-78.94637</x:v>
      </x:c>
      <x:c r="K2" s="1" t="str">
        <x:v>Main Campus</x:v>
      </x:c>
      <x:c r="L2" s="1" t="str">
        <x:v>24.29</x:v>
      </x:c>
      <x:c r="M2" s="1" t="n">
        <x:v>1595</x:v>
      </x:c>
      <x:c r="N2" s="1" t="n">
        <x:v>2995</x:v>
      </x:c>
      <x:c r="O2" s="1" t="str">
        <x:v>$1,595 - $2,995</x:v>
      </x:c>
      <x:c r="P2" s="1" t="n">
        <x:v>0</x:v>
      </x:c>
      <x:c r="Q2" s="1" t="n">
        <x:v>2</x:v>
      </x:c>
      <x:c r="R2" s="1" t="str">
        <x:v>Studio - 2 Beds</x:v>
      </x:c>
      <x:c r="S2" s="1" t="str">
        <x:v>False</x:v>
      </x:c>
      <x:c r="T2" s="1" t="str">
        <x:v>False</x:v>
      </x:c>
      <x:c r="U2" s="1" t="str">
        <x:v>$1,595 - $2,995</x:v>
      </x:c>
      <x:c r="V2" s="1" t="str"/>
      <x:c r="W2" s="1" t="str">
        <x:v>False</x:v>
      </x:c>
      <x:c r="X2" s="1" t="str">
        <x:v>False</x:v>
      </x:c>
      <x:c r="Y2" s="1" t="str">
        <x:v>12 Month Lease</x:v>
      </x:c>
      <x:c r="Z2" s="1" t="str">
        <x:v>False</x:v>
      </x:c>
      <x:c r="AA2" s="1" t="str">
        <x:v>False</x:v>
      </x:c>
      <x:c r="AB2" s="1" t="n">
        <x:v>46267.30453703704</x:v>
      </x:c>
      <x:c r="AC2" s="1" t="str">
        <x:v>Apartment Community</x:v>
      </x:c>
      <x:c r="AD2" s="1" t="n">
        <x:v>351</x:v>
      </x:c>
      <x:c r="AE2" s="1" t="str">
        <x:v>True</x:v>
      </x:c>
      <x:c r="AF2" s="1" t="str">
        <x:v>2</x:v>
      </x:c>
      <x:c r="AG2" s="1" t="str">
        <x:v>https://offcampus.dasa.ncsu.edu/housing/property/lofts-at-lakeview/kele8mc</x:v>
      </x:c>
    </x:row>
    <x:row r="3" ht="15" hidden="0" customHeight="1">
      <x:c r="A3" s="1" t="str">
        <x:v>ocpet5b7hm</x:v>
      </x:c>
      <x:c r="B3" s="1" t="str">
        <x:v>1384716</x:v>
      </x:c>
      <x:c r="C3" s="1" t="str"/>
      <x:c r="D3" s="5" t="str">
        <x:v>Modern/High Ceilings 2bed/2 bath</x:v>
      </x:c>
      <x:c r="E3" s="5" t="str">
        <x:v>2304 Hillsborough Street</x:v>
      </x:c>
      <x:c r="F3" s="1" t="str">
        <x:v>Raleigh</x:v>
      </x:c>
      <x:c r="G3" s="1" t="str">
        <x:v>NC</x:v>
      </x:c>
      <x:c r="H3" s="1" t="str">
        <x:v>27607</x:v>
      </x:c>
      <x:c r="I3" s="1" t="n">
        <x:v>35.787311</x:v>
      </x:c>
      <x:c r="J3" s="1" t="n">
        <x:v>-78.666093</x:v>
      </x:c>
      <x:c r="K3" s="1" t="str">
        <x:v>Main Campus</x:v>
      </x:c>
      <x:c r="L3" s="1" t="str">
        <x:v>0.22</x:v>
      </x:c>
      <x:c r="M3" s="1" t="n">
        <x:v>1250</x:v>
      </x:c>
      <x:c r="N3" s="1" t="n">
        <x:v>1250</x:v>
      </x:c>
      <x:c r="O3" s="1" t="str">
        <x:v>$1,250</x:v>
      </x:c>
      <x:c r="P3" s="1" t="n">
        <x:v>2</x:v>
      </x:c>
      <x:c r="Q3" s="1" t="n">
        <x:v>2</x:v>
      </x:c>
      <x:c r="R3" s="1" t="str">
        <x:v>2 Beds</x:v>
      </x:c>
      <x:c r="S3" s="1" t="str">
        <x:v>True</x:v>
      </x:c>
      <x:c r="T3" s="1" t="str">
        <x:v>False</x:v>
      </x:c>
      <x:c r="U3" s="1" t="str">
        <x:v>$1,250 /Bedroom</x:v>
      </x:c>
      <x:c r="V3" s="1" t="str">
        <x:v>True</x:v>
      </x:c>
      <x:c r="W3" s="1" t="str">
        <x:v>False</x:v>
      </x:c>
      <x:c r="X3" s="1" t="str">
        <x:v>False</x:v>
      </x:c>
      <x:c r="Y3" s="1" t="str">
        <x:v>6 Month Lease</x:v>
      </x:c>
      <x:c r="Z3" s="1" t="str">
        <x:v>False</x:v>
      </x:c>
      <x:c r="AA3" s="1" t="str">
        <x:v>False</x:v>
      </x:c>
      <x:c r="AB3" s="1" t="n">
        <x:v>46253.89377314815</x:v>
      </x:c>
      <x:c r="AC3" s="1" t="str">
        <x:v>Apartment Community</x:v>
      </x:c>
      <x:c r="AD3" s="1" t="str"/>
      <x:c r="AE3" s="1" t="str">
        <x:v>True</x:v>
      </x:c>
      <x:c r="AF3" s="1" t="str">
        <x:v>11</x:v>
      </x:c>
      <x:c r="AG3" s="1" t="str">
        <x:v>https://offcampus.dasa.ncsu.edu/housing/property/modern-high-ceilings-2bed-2-bath/ocpet5b7hm</x:v>
      </x:c>
    </x:row>
    <x:row r="4" ht="15" hidden="0" customHeight="1">
      <x:c r="A4" s="1" t="str">
        <x:v>59xvx3n</x:v>
      </x:c>
      <x:c r="B4" s="1" t="str">
        <x:v>1581418</x:v>
      </x:c>
      <x:c r="C4" s="1" t="str">
        <x:v>pbxey3s</x:v>
      </x:c>
      <x:c r="D4" s="5" t="str">
        <x:v>Aventura RTP</x:v>
      </x:c>
      <x:c r="E4" s="5" t="str">
        <x:v>200 Edinborough Dr</x:v>
      </x:c>
      <x:c r="F4" s="1" t="str">
        <x:v>Durham</x:v>
      </x:c>
      <x:c r="G4" s="1" t="str">
        <x:v>NC</x:v>
      </x:c>
      <x:c r="H4" s="1" t="str">
        <x:v>27703</x:v>
      </x:c>
      <x:c r="I4" s="1" t="n">
        <x:v>35.894098</x:v>
      </x:c>
      <x:c r="J4" s="1" t="n">
        <x:v>-78.846917</x:v>
      </x:c>
      <x:c r="K4" s="1" t="str">
        <x:v>Main Campus</x:v>
      </x:c>
      <x:c r="L4" s="1" t="str">
        <x:v>12.73</x:v>
      </x:c>
      <x:c r="M4" s="1" t="n">
        <x:v>1149</x:v>
      </x:c>
      <x:c r="N4" s="1" t="n">
        <x:v>1946</x:v>
      </x:c>
      <x:c r="O4" s="1" t="str">
        <x:v>$1,149 - $1,946</x:v>
      </x:c>
      <x:c r="P4" s="1" t="n">
        <x:v>1</x:v>
      </x:c>
      <x:c r="Q4" s="1" t="n">
        <x:v>3</x:v>
      </x:c>
      <x:c r="R4" s="1" t="str">
        <x:v>1 - 3 Beds</x:v>
      </x:c>
      <x:c r="S4" s="1" t="str">
        <x:v>False</x:v>
      </x:c>
      <x:c r="T4" s="1" t="str">
        <x:v>False</x:v>
      </x:c>
      <x:c r="U4" s="1" t="str">
        <x:v>$1,149 - $1,946</x:v>
      </x:c>
      <x:c r="V4" s="1" t="str"/>
      <x:c r="W4" s="1" t="str">
        <x:v>False</x:v>
      </x:c>
      <x:c r="X4" s="1" t="str">
        <x:v>False</x:v>
      </x:c>
      <x:c r="Y4" s="1" t="str"/>
      <x:c r="Z4" s="1" t="str">
        <x:v>False</x:v>
      </x:c>
      <x:c r="AA4" s="1" t="str">
        <x:v>False</x:v>
      </x:c>
      <x:c r="AB4" s="1" t="n">
        <x:v>46272.32298611111</x:v>
      </x:c>
      <x:c r="AC4" s="1" t="str">
        <x:v>Apartment Community</x:v>
      </x:c>
      <x:c r="AD4" s="1" t="n">
        <x:v>330</x:v>
      </x:c>
      <x:c r="AE4" s="1" t="str">
        <x:v>True</x:v>
      </x:c>
      <x:c r="AF4" s="1" t="str">
        <x:v>2</x:v>
      </x:c>
      <x:c r="AG4" s="1" t="str">
        <x:v>https://offcampus.dasa.ncsu.edu/housing/property/aventura-rtp/59xvx3n</x:v>
      </x:c>
    </x:row>
    <x:row r="5" ht="15" hidden="0" customHeight="1">
      <x:c r="A5" s="1" t="str">
        <x:v>ocpvcjy8we</x:v>
      </x:c>
      <x:c r="B5" s="1" t="str">
        <x:v>885763</x:v>
      </x:c>
      <x:c r="C5" s="1" t="str"/>
      <x:c r="D5" s="5" t="str">
        <x:v>Rare 4 bedroom 4 full bath only $2200. per month</x:v>
      </x:c>
      <x:c r="E5" s="5" t="str">
        <x:v>1351 Crab Orchard Drive 202</x:v>
      </x:c>
      <x:c r="F5" s="1" t="str">
        <x:v>Raleigh</x:v>
      </x:c>
      <x:c r="G5" s="1" t="str">
        <x:v>NC</x:v>
      </x:c>
      <x:c r="H5" s="1" t="str">
        <x:v>27606</x:v>
      </x:c>
      <x:c r="I5" s="1" t="n">
        <x:v>35.762584</x:v>
      </x:c>
      <x:c r="J5" s="1" t="n">
        <x:v>-78.703352</x:v>
      </x:c>
      <x:c r="K5" s="1" t="str">
        <x:v>Main Campus</x:v>
      </x:c>
      <x:c r="L5" s="1" t="str">
        <x:v>1.8</x:v>
      </x:c>
      <x:c r="M5" s="1" t="n">
        <x:v>2200</x:v>
      </x:c>
      <x:c r="N5" s="1" t="n">
        <x:v>2200</x:v>
      </x:c>
      <x:c r="O5" s="1" t="str">
        <x:v>$2,200</x:v>
      </x:c>
      <x:c r="P5" s="1" t="n">
        <x:v>4</x:v>
      </x:c>
      <x:c r="Q5" s="1" t="n">
        <x:v>4</x:v>
      </x:c>
      <x:c r="R5" s="1" t="str">
        <x:v>4 Beds</x:v>
      </x:c>
      <x:c r="S5" s="1" t="str">
        <x:v>False</x:v>
      </x:c>
      <x:c r="T5" s="1" t="str">
        <x:v>False</x:v>
      </x:c>
      <x:c r="U5" s="1" t="str">
        <x:v>$2,200</x:v>
      </x:c>
      <x:c r="V5" s="1" t="str">
        <x:v>True</x:v>
      </x:c>
      <x:c r="W5" s="1" t="str">
        <x:v>False</x:v>
      </x:c>
      <x:c r="X5" s="1" t="str">
        <x:v>False</x:v>
      </x:c>
      <x:c r="Y5" s="1" t="str">
        <x:v>12 Month Lease</x:v>
      </x:c>
      <x:c r="Z5" s="1" t="str">
        <x:v>False</x:v>
      </x:c>
      <x:c r="AA5" s="1" t="str">
        <x:v>False</x:v>
      </x:c>
      <x:c r="AB5" s="1" t="n">
        <x:v>46241.44013888889</x:v>
      </x:c>
      <x:c r="AC5" s="1" t="str">
        <x:v>Residential Condo Unit For Rent</x:v>
      </x:c>
      <x:c r="AD5" s="1" t="str"/>
      <x:c r="AE5" s="1" t="str">
        <x:v>True</x:v>
      </x:c>
      <x:c r="AF5" s="1" t="str">
        <x:v>13</x:v>
      </x:c>
      <x:c r="AG5" s="1" t="str">
        <x:v>https://offcampus.dasa.ncsu.edu/housing/property/rare-4-bedroom-4-full-bath-only-2200-per-month/ocpvcjy8we</x:v>
      </x:c>
    </x:row>
    <x:row r="6" ht="15" hidden="0" customHeight="1">
      <x:c r="A6" s="1" t="str">
        <x:v>7e6kx1w</x:v>
      </x:c>
      <x:c r="B6" s="1" t="str">
        <x:v>681217</x:v>
      </x:c>
      <x:c r="C6" s="1" t="str">
        <x:v>mf64y1h</x:v>
      </x:c>
      <x:c r="D6" s="5" t="str">
        <x:v>Centennial Ridge Student Housing</x:v>
      </x:c>
      <x:c r="E6" s="5" t="str">
        <x:v>2450 Centennial Ridge Way</x:v>
      </x:c>
      <x:c r="F6" s="1" t="str">
        <x:v>Raleigh</x:v>
      </x:c>
      <x:c r="G6" s="1" t="str">
        <x:v>NC</x:v>
      </x:c>
      <x:c r="H6" s="1" t="str">
        <x:v>27603</x:v>
      </x:c>
      <x:c r="I6" s="1" t="n">
        <x:v>35.745958</x:v>
      </x:c>
      <x:c r="J6" s="1" t="n">
        <x:v>-78.69065</x:v>
      </x:c>
      <x:c r="K6" s="1" t="str">
        <x:v>Main Campus</x:v>
      </x:c>
      <x:c r="L6" s="1" t="str">
        <x:v>2.93</x:v>
      </x:c>
      <x:c r="M6" s="1" t="n">
        <x:v>599</x:v>
      </x:c>
      <x:c r="N6" s="1" t="n">
        <x:v>2157</x:v>
      </x:c>
      <x:c r="O6" s="1" t="str">
        <x:v>$599 - $2,157</x:v>
      </x:c>
      <x:c r="P6" s="1" t="n">
        <x:v>3</x:v>
      </x:c>
      <x:c r="Q6" s="1" t="n">
        <x:v>3</x:v>
      </x:c>
      <x:c r="R6" s="1" t="str">
        <x:v>3 Beds</x:v>
      </x:c>
      <x:c r="S6" s="1" t="str">
        <x:v>True</x:v>
      </x:c>
      <x:c r="T6" s="1" t="str">
        <x:v>False</x:v>
      </x:c>
      <x:c r="U6" s="1" t="str">
        <x:v>$599 - $2,157 /Bedroom</x:v>
      </x:c>
      <x:c r="V6" s="1" t="str"/>
      <x:c r="W6" s="1" t="str">
        <x:v>False</x:v>
      </x:c>
      <x:c r="X6" s="1" t="str">
        <x:v>False</x:v>
      </x:c>
      <x:c r="Y6" s="1" t="str">
        <x:v>11 Month Lease</x:v>
      </x:c>
      <x:c r="Z6" s="1" t="str">
        <x:v>False</x:v>
      </x:c>
      <x:c r="AA6" s="1" t="str">
        <x:v>False</x:v>
      </x:c>
      <x:c r="AB6" s="1" t="n">
        <x:v>46248.31130787037</x:v>
      </x:c>
      <x:c r="AC6" s="1" t="str">
        <x:v>Apartment Community</x:v>
      </x:c>
      <x:c r="AD6" s="1" t="n">
        <x:v>60</x:v>
      </x:c>
      <x:c r="AE6" s="1" t="str">
        <x:v>True</x:v>
      </x:c>
      <x:c r="AF6" s="1" t="str">
        <x:v>2</x:v>
      </x:c>
      <x:c r="AG6" s="1" t="str">
        <x:v>https://offcampus.dasa.ncsu.edu/housing/property/centennial-ridge-student-housing/7e6kx1w</x:v>
      </x:c>
    </x:row>
    <x:row r="7" ht="24" hidden="0" customHeight="1">
      <x:c r="A7" s="1" t="str">
        <x:v>ocpw46rjcl</x:v>
      </x:c>
      <x:c r="B7" s="1" t="str">
        <x:v>2248845</x:v>
      </x:c>
      <x:c r="C7" s="1" t="str"/>
      <x:c r="D7" s="5" t="str">
        <x:v>Brand New Luxury Furnished Townhome | 4 Bed /  3.5 Bath | 5 Min to NC State &amp; 3 Mins to Fenton +shop</x:v>
      </x:c>
      <x:c r="E7" s="5" t="str"/>
      <x:c r="F7" s="1" t="str">
        <x:v>Raleigh</x:v>
      </x:c>
      <x:c r="G7" s="1" t="str">
        <x:v>NC</x:v>
      </x:c>
      <x:c r="H7" s="1" t="str">
        <x:v>27606</x:v>
      </x:c>
      <x:c r="I7" s="1" t="n">
        <x:v>35.774826</x:v>
      </x:c>
      <x:c r="J7" s="1" t="n">
        <x:v>-78.740894</x:v>
      </x:c>
      <x:c r="K7" s="1" t="str">
        <x:v>Main Campus</x:v>
      </x:c>
      <x:c r="L7" s="1" t="str">
        <x:v>5.25</x:v>
      </x:c>
      <x:c r="M7" s="1" t="n">
        <x:v>900</x:v>
      </x:c>
      <x:c r="N7" s="1" t="n">
        <x:v>1050</x:v>
      </x:c>
      <x:c r="O7" s="1" t="str">
        <x:v>$900 - $1,050</x:v>
      </x:c>
      <x:c r="P7" s="1" t="n">
        <x:v>3</x:v>
      </x:c>
      <x:c r="Q7" s="1" t="n">
        <x:v>3</x:v>
      </x:c>
      <x:c r="R7" s="1" t="str">
        <x:v>3 Beds</x:v>
      </x:c>
      <x:c r="S7" s="1" t="str">
        <x:v>True</x:v>
      </x:c>
      <x:c r="T7" s="1" t="str">
        <x:v>False</x:v>
      </x:c>
      <x:c r="U7" s="1" t="str">
        <x:v>$900 - $1,050 /Bedroom</x:v>
      </x:c>
      <x:c r="V7" s="1" t="str">
        <x:v>True</x:v>
      </x:c>
      <x:c r="W7" s="1" t="str">
        <x:v>True</x:v>
      </x:c>
      <x:c r="X7" s="1" t="str">
        <x:v>False</x:v>
      </x:c>
      <x:c r="Y7" s="1" t="str">
        <x:v>12 Month Lease</x:v>
      </x:c>
      <x:c r="Z7" s="1" t="str">
        <x:v>True</x:v>
      </x:c>
      <x:c r="AA7" s="1" t="str">
        <x:v>False</x:v>
      </x:c>
      <x:c r="AB7" s="1" t="n">
        <x:v>46211.0372337963</x:v>
      </x:c>
      <x:c r="AC7" s="1" t="str">
        <x:v>Townhome</x:v>
      </x:c>
      <x:c r="AD7" s="1" t="str"/>
      <x:c r="AE7" s="1" t="str">
        <x:v>True</x:v>
      </x:c>
      <x:c r="AF7" s="1" t="str">
        <x:v>13</x:v>
      </x:c>
      <x:c r="AG7" s="1" t="str">
        <x:v>https://offcampus.dasa.ncsu.edu/housing/property/brand-new-luxury-furnished-townhome-4-bed-3-5-bath-5-min-to-nc-state-and-3-mins-to-fenton-shop/ocpw46rjcl</x:v>
      </x:c>
    </x:row>
    <x:row r="8" ht="15" hidden="0" customHeight="1">
      <x:c r="A8" s="1" t="str">
        <x:v>mc0h4yh</x:v>
      </x:c>
      <x:c r="B8" s="1" t="str">
        <x:v>1097868</x:v>
      </x:c>
      <x:c r="C8" s="1" t="str">
        <x:v>78067yw</x:v>
      </x:c>
      <x:c r="D8" s="5" t="str">
        <x:v>The Reserve at Patterson Place</x:v>
      </x:c>
      <x:c r="E8" s="5" t="str">
        <x:v>1055 Stillwell Dr</x:v>
      </x:c>
      <x:c r="F8" s="1" t="str">
        <x:v>Durham</x:v>
      </x:c>
      <x:c r="G8" s="1" t="str">
        <x:v>NC</x:v>
      </x:c>
      <x:c r="H8" s="1" t="str">
        <x:v>27707</x:v>
      </x:c>
      <x:c r="I8" s="1" t="n">
        <x:v>35.950566</x:v>
      </x:c>
      <x:c r="J8" s="1" t="n">
        <x:v>-78.983303</x:v>
      </x:c>
      <x:c r="K8" s="1" t="str">
        <x:v>Main Campus</x:v>
      </x:c>
      <x:c r="L8" s="1" t="str">
        <x:v>24.36</x:v>
      </x:c>
      <x:c r="M8" s="1" t="n">
        <x:v>1288</x:v>
      </x:c>
      <x:c r="N8" s="1" t="n">
        <x:v>2422</x:v>
      </x:c>
      <x:c r="O8" s="1" t="str">
        <x:v>$1,288 - $2,422</x:v>
      </x:c>
      <x:c r="P8" s="1" t="n">
        <x:v>1</x:v>
      </x:c>
      <x:c r="Q8" s="1" t="n">
        <x:v>3</x:v>
      </x:c>
      <x:c r="R8" s="1" t="str">
        <x:v>1 - 3 Beds</x:v>
      </x:c>
      <x:c r="S8" s="1" t="str">
        <x:v>False</x:v>
      </x:c>
      <x:c r="T8" s="1" t="str">
        <x:v>False</x:v>
      </x:c>
      <x:c r="U8" s="1" t="str">
        <x:v>$1,288 - $2,422</x:v>
      </x:c>
      <x:c r="V8" s="1" t="str"/>
      <x:c r="W8" s="1" t="str">
        <x:v>False</x:v>
      </x:c>
      <x:c r="X8" s="1" t="str">
        <x:v>False</x:v>
      </x:c>
      <x:c r="Y8" s="1" t="str"/>
      <x:c r="Z8" s="1" t="str">
        <x:v>False</x:v>
      </x:c>
      <x:c r="AA8" s="1" t="str">
        <x:v>False</x:v>
      </x:c>
      <x:c r="AB8" s="1" t="n">
        <x:v>46272.31984953704</x:v>
      </x:c>
      <x:c r="AC8" s="1" t="str">
        <x:v>Apartment Community</x:v>
      </x:c>
      <x:c r="AD8" s="1" t="n">
        <x:v>345</x:v>
      </x:c>
      <x:c r="AE8" s="1" t="str">
        <x:v>True</x:v>
      </x:c>
      <x:c r="AF8" s="1" t="str">
        <x:v>2</x:v>
      </x:c>
      <x:c r="AG8" s="1" t="str">
        <x:v>https://offcampus.dasa.ncsu.edu/housing/property/the-reserve-at-patterson-place/mc0h4yh</x:v>
      </x:c>
    </x:row>
    <x:row r="9" ht="24" hidden="0" customHeight="1">
      <x:c r="A9" s="1" t="str">
        <x:v>ocpchygggd</x:v>
      </x:c>
      <x:c r="B9" s="1" t="str">
        <x:v>1087411</x:v>
      </x:c>
      <x:c r="C9" s="1" t="str"/>
      <x:c r="D9" s="5" t="str">
        <x:v>Hurry 2 Rooms Left! – 4BR/4BA Condo Near NC State  – All Utilities &amp; Internet Included!</x:v>
      </x:c>
      <x:c r="E9" s="5" t="str">
        <x:v>2020 University Woods Road Apt 102</x:v>
      </x:c>
      <x:c r="F9" s="1" t="str">
        <x:v>Raleigh</x:v>
      </x:c>
      <x:c r="G9" s="1" t="str">
        <x:v>NC</x:v>
      </x:c>
      <x:c r="H9" s="1" t="str">
        <x:v>27603</x:v>
      </x:c>
      <x:c r="I9" s="1" t="n">
        <x:v>35.749382</x:v>
      </x:c>
      <x:c r="J9" s="1" t="n">
        <x:v>-78.69395</x:v>
      </x:c>
      <x:c r="K9" s="1" t="str">
        <x:v>Main Campus</x:v>
      </x:c>
      <x:c r="L9" s="1" t="str">
        <x:v>2.22</x:v>
      </x:c>
      <x:c r="M9" s="1" t="n">
        <x:v>695</x:v>
      </x:c>
      <x:c r="N9" s="1" t="n">
        <x:v>695</x:v>
      </x:c>
      <x:c r="O9" s="1" t="str">
        <x:v>$695</x:v>
      </x:c>
      <x:c r="P9" s="1" t="n">
        <x:v>2</x:v>
      </x:c>
      <x:c r="Q9" s="1" t="n">
        <x:v>2</x:v>
      </x:c>
      <x:c r="R9" s="1" t="str">
        <x:v>2 Beds</x:v>
      </x:c>
      <x:c r="S9" s="1" t="str">
        <x:v>True</x:v>
      </x:c>
      <x:c r="T9" s="1" t="str">
        <x:v>False</x:v>
      </x:c>
      <x:c r="U9" s="1" t="str">
        <x:v>$695 /Bedroom</x:v>
      </x:c>
      <x:c r="V9" s="1" t="str">
        <x:v>True</x:v>
      </x:c>
      <x:c r="W9" s="1" t="str">
        <x:v>True</x:v>
      </x:c>
      <x:c r="X9" s="1" t="str">
        <x:v>False</x:v>
      </x:c>
      <x:c r="Y9" s="1" t="str">
        <x:v>12 Month Lease</x:v>
      </x:c>
      <x:c r="Z9" s="1" t="str">
        <x:v>False</x:v>
      </x:c>
      <x:c r="AA9" s="1" t="str">
        <x:v>False</x:v>
      </x:c>
      <x:c r="AB9" s="1" t="n">
        <x:v>46069.696122685185</x:v>
      </x:c>
      <x:c r="AC9" s="1" t="str">
        <x:v>Residential Condo Unit For Rent</x:v>
      </x:c>
      <x:c r="AD9" s="1" t="str"/>
      <x:c r="AE9" s="1" t="str">
        <x:v>True</x:v>
      </x:c>
      <x:c r="AF9" s="1" t="str">
        <x:v>9</x:v>
      </x:c>
      <x:c r="AG9" s="1" t="str">
        <x:v>https://offcampus.dasa.ncsu.edu/housing/property/hurry-2-rooms-left-4br-4ba-condo-near-nc-state-all-utilities-and-internet-included/ocpchygggd</x:v>
      </x:c>
    </x:row>
    <x:row r="10" ht="15" hidden="0" customHeight="1">
      <x:c r="A10" s="1" t="str">
        <x:v>es0855q</x:v>
      </x:c>
      <x:c r="B10" s="1" t="str">
        <x:v>1022168</x:v>
      </x:c>
      <x:c r="C10" s="1" t="str">
        <x:v>yt0y65v</x:v>
      </x:c>
      <x:c r="D10" s="5" t="str">
        <x:v>Maxwell Raleigh</x:v>
      </x:c>
      <x:c r="E10" s="5" t="str">
        <x:v>3101 Hillsborough St</x:v>
      </x:c>
      <x:c r="F10" s="1" t="str">
        <x:v>Raleigh</x:v>
      </x:c>
      <x:c r="G10" s="1" t="str">
        <x:v>NC</x:v>
      </x:c>
      <x:c r="H10" s="1" t="str">
        <x:v>27607</x:v>
      </x:c>
      <x:c r="I10" s="1" t="n">
        <x:v>35.78944</x:v>
      </x:c>
      <x:c r="J10" s="1" t="n">
        <x:v>-78.678155</x:v>
      </x:c>
      <x:c r="K10" s="1" t="str">
        <x:v>Main Campus</x:v>
      </x:c>
      <x:c r="L10" s="1" t="str">
        <x:v>0.18</x:v>
      </x:c>
      <x:c r="M10" s="1" t="n">
        <x:v>799</x:v>
      </x:c>
      <x:c r="N10" s="1" t="n">
        <x:v>1899</x:v>
      </x:c>
      <x:c r="O10" s="1" t="str">
        <x:v>$799 - $1,899</x:v>
      </x:c>
      <x:c r="P10" s="1" t="n">
        <x:v>0</x:v>
      </x:c>
      <x:c r="Q10" s="1" t="n">
        <x:v>4</x:v>
      </x:c>
      <x:c r="R10" s="1" t="str">
        <x:v>Studio - 4 Beds</x:v>
      </x:c>
      <x:c r="S10" s="1" t="str">
        <x:v>False</x:v>
      </x:c>
      <x:c r="T10" s="1" t="str">
        <x:v>False</x:v>
      </x:c>
      <x:c r="U10" s="1" t="str">
        <x:v>$799 - $1,899</x:v>
      </x:c>
      <x:c r="V10" s="1" t="str"/>
      <x:c r="W10" s="1" t="str">
        <x:v>False</x:v>
      </x:c>
      <x:c r="X10" s="1" t="str">
        <x:v>False</x:v>
      </x:c>
      <x:c r="Y10" s="1" t="str">
        <x:v>11 Month Lease</x:v>
      </x:c>
      <x:c r="Z10" s="1" t="str">
        <x:v>False</x:v>
      </x:c>
      <x:c r="AA10" s="1" t="str">
        <x:v>False</x:v>
      </x:c>
      <x:c r="AB10" s="1" t="n">
        <x:v>46263.315347222226</x:v>
      </x:c>
      <x:c r="AC10" s="1" t="str">
        <x:v>Apartment Community</x:v>
      </x:c>
      <x:c r="AD10" s="1" t="n">
        <x:v>234</x:v>
      </x:c>
      <x:c r="AE10" s="1" t="str">
        <x:v>True</x:v>
      </x:c>
      <x:c r="AF10" s="1" t="str">
        <x:v>2</x:v>
      </x:c>
      <x:c r="AG10" s="1" t="str">
        <x:v>https://offcampus.dasa.ncsu.edu/housing/property/maxwell-raleigh/es0855q</x:v>
      </x:c>
    </x:row>
    <x:row r="11" ht="24" hidden="0" customHeight="1">
      <x:c r="A11" s="1" t="str">
        <x:v>ocpesl9n3p</x:v>
      </x:c>
      <x:c r="B11" s="1" t="str">
        <x:v>2212882</x:v>
      </x:c>
      <x:c r="C11" s="1" t="str"/>
      <x:c r="D11" s="5" t="str">
        <x:v>maisonNC --- Fully Furnished minutes away from Wolfline and Shopping</x:v>
      </x:c>
      <x:c r="E11" s="5" t="str">
        <x:v>1251 University Court</x:v>
      </x:c>
      <x:c r="F11" s="1" t="str">
        <x:v>Raleigh</x:v>
      </x:c>
      <x:c r="G11" s="1" t="str">
        <x:v>NC</x:v>
      </x:c>
      <x:c r="H11" s="1" t="str">
        <x:v>27606</x:v>
      </x:c>
      <x:c r="I11" s="1" t="n">
        <x:v>35.763398</x:v>
      </x:c>
      <x:c r="J11" s="1" t="n">
        <x:v>-78.702658</x:v>
      </x:c>
      <x:c r="K11" s="1" t="str">
        <x:v>Main Campus</x:v>
      </x:c>
      <x:c r="L11" s="1" t="str">
        <x:v>1.73</x:v>
      </x:c>
      <x:c r="M11" s="1" t="n">
        <x:v>750</x:v>
      </x:c>
      <x:c r="N11" s="1" t="n">
        <x:v>750</x:v>
      </x:c>
      <x:c r="O11" s="1" t="str">
        <x:v>$750</x:v>
      </x:c>
      <x:c r="P11" s="1" t="n">
        <x:v>4</x:v>
      </x:c>
      <x:c r="Q11" s="1" t="n">
        <x:v>4</x:v>
      </x:c>
      <x:c r="R11" s="1" t="str">
        <x:v>4 Beds</x:v>
      </x:c>
      <x:c r="S11" s="1" t="str">
        <x:v>True</x:v>
      </x:c>
      <x:c r="T11" s="1" t="str">
        <x:v>False</x:v>
      </x:c>
      <x:c r="U11" s="1" t="str">
        <x:v>$750 /Bedroom</x:v>
      </x:c>
      <x:c r="V11" s="1" t="str">
        <x:v>True</x:v>
      </x:c>
      <x:c r="W11" s="1" t="str">
        <x:v>True</x:v>
      </x:c>
      <x:c r="X11" s="1" t="str">
        <x:v>False</x:v>
      </x:c>
      <x:c r="Y11" s="1" t="str">
        <x:v>6 Month Lease</x:v>
      </x:c>
      <x:c r="Z11" s="1" t="str">
        <x:v>False</x:v>
      </x:c>
      <x:c r="AA11" s="1" t="str">
        <x:v>False</x:v>
      </x:c>
      <x:c r="AB11" s="1" t="n">
        <x:v>46268.6784375</x:v>
      </x:c>
      <x:c r="AC11" s="1" t="str">
        <x:v>Residential Condo Unit For Rent</x:v>
      </x:c>
      <x:c r="AD11" s="1" t="str"/>
      <x:c r="AE11" s="1" t="str">
        <x:v>True</x:v>
      </x:c>
      <x:c r="AF11" s="1" t="str">
        <x:v>2</x:v>
      </x:c>
      <x:c r="AG11" s="1" t="str">
        <x:v>https://offcampus.dasa.ncsu.edu/housing/property/maisonnc-fully-furnished-minutes-away-from-wolfline-and-shopping/ocpesl9n3p</x:v>
      </x:c>
    </x:row>
    <x:row r="12" ht="15" hidden="0" customHeight="1">
      <x:c r="A12" s="1" t="str">
        <x:v>lvqgnje</x:v>
      </x:c>
      <x:c r="B12" s="1" t="str">
        <x:v>2098340</x:v>
      </x:c>
      <x:c r="C12" s="1" t="str">
        <x:v>0rqspj1</x:v>
      </x:c>
      <x:c r="D12" s="5" t="str">
        <x:v>Trellis-University Hill</x:v>
      </x:c>
      <x:c r="E12" s="5" t="str">
        <x:v>3017 Pickett Rd</x:v>
      </x:c>
      <x:c r="F12" s="1" t="str">
        <x:v>Durham</x:v>
      </x:c>
      <x:c r="G12" s="1" t="str">
        <x:v>NC</x:v>
      </x:c>
      <x:c r="H12" s="1" t="str">
        <x:v>27705</x:v>
      </x:c>
      <x:c r="I12" s="1" t="n">
        <x:v>35.973823</x:v>
      </x:c>
      <x:c r="J12" s="1" t="n">
        <x:v>-78.963096</x:v>
      </x:c>
      <x:c r="K12" s="1" t="str">
        <x:v>Main Campus</x:v>
      </x:c>
      <x:c r="L12" s="1" t="str">
        <x:v>26.39</x:v>
      </x:c>
      <x:c r="M12" s="1" t="n">
        <x:v>1400</x:v>
      </x:c>
      <x:c r="N12" s="1" t="n">
        <x:v>1625</x:v>
      </x:c>
      <x:c r="O12" s="1" t="str">
        <x:v>$1,400 - $1,625</x:v>
      </x:c>
      <x:c r="P12" s="1" t="n">
        <x:v>1</x:v>
      </x:c>
      <x:c r="Q12" s="1" t="n">
        <x:v>2</x:v>
      </x:c>
      <x:c r="R12" s="1" t="str">
        <x:v>1 - 2 Beds</x:v>
      </x:c>
      <x:c r="S12" s="1" t="str">
        <x:v>False</x:v>
      </x:c>
      <x:c r="T12" s="1" t="str">
        <x:v>False</x:v>
      </x:c>
      <x:c r="U12" s="1" t="str">
        <x:v>$1,400 - $1,625</x:v>
      </x:c>
      <x:c r="V12" s="1" t="str"/>
      <x:c r="W12" s="1" t="str">
        <x:v>False</x:v>
      </x:c>
      <x:c r="X12" s="1" t="str">
        <x:v>False</x:v>
      </x:c>
      <x:c r="Y12" s="1" t="str">
        <x:v>12 Month Lease</x:v>
      </x:c>
      <x:c r="Z12" s="1" t="str">
        <x:v>False</x:v>
      </x:c>
      <x:c r="AA12" s="1" t="str">
        <x:v>False</x:v>
      </x:c>
      <x:c r="AB12" s="1" t="n">
        <x:v>46254.333344907405</x:v>
      </x:c>
      <x:c r="AC12" s="1" t="str">
        <x:v>Apartment Community</x:v>
      </x:c>
      <x:c r="AD12" s="1" t="n">
        <x:v>75</x:v>
      </x:c>
      <x:c r="AE12" s="1" t="str">
        <x:v>True</x:v>
      </x:c>
      <x:c r="AF12" s="1" t="str">
        <x:v>2</x:v>
      </x:c>
      <x:c r="AG12" s="1" t="str">
        <x:v>https://offcampus.dasa.ncsu.edu/housing/property/trellis-university-hill/lvqgnje</x:v>
      </x:c>
    </x:row>
    <x:row r="13" ht="24" hidden="0" customHeight="1">
      <x:c r="A13" s="1" t="str">
        <x:v>ocpcm3jede</x:v>
      </x:c>
      <x:c r="B13" s="1" t="str">
        <x:v>952545</x:v>
      </x:c>
      <x:c r="C13" s="1" t="str"/>
      <x:c r="D13" s="5" t="str">
        <x:v>maisonNC --- Fully Furnished minutes away from Wolfline and Shopping</x:v>
      </x:c>
      <x:c r="E13" s="5" t="str">
        <x:v>1440 Collegiate Circle</x:v>
      </x:c>
      <x:c r="F13" s="1" t="str">
        <x:v>Raleigh</x:v>
      </x:c>
      <x:c r="G13" s="1" t="str">
        <x:v>NC</x:v>
      </x:c>
      <x:c r="H13" s="1" t="str">
        <x:v>27606</x:v>
      </x:c>
      <x:c r="I13" s="1" t="n">
        <x:v>35.762694</x:v>
      </x:c>
      <x:c r="J13" s="1" t="n">
        <x:v>-78.701312</x:v>
      </x:c>
      <x:c r="K13" s="1" t="str">
        <x:v>Main Campus</x:v>
      </x:c>
      <x:c r="L13" s="1" t="str">
        <x:v>1.66</x:v>
      </x:c>
      <x:c r="M13" s="1" t="n">
        <x:v>750</x:v>
      </x:c>
      <x:c r="N13" s="1" t="n">
        <x:v>750</x:v>
      </x:c>
      <x:c r="O13" s="1" t="str">
        <x:v>$750</x:v>
      </x:c>
      <x:c r="P13" s="1" t="n">
        <x:v>4</x:v>
      </x:c>
      <x:c r="Q13" s="1" t="n">
        <x:v>4</x:v>
      </x:c>
      <x:c r="R13" s="1" t="str">
        <x:v>4 Beds</x:v>
      </x:c>
      <x:c r="S13" s="1" t="str">
        <x:v>True</x:v>
      </x:c>
      <x:c r="T13" s="1" t="str">
        <x:v>False</x:v>
      </x:c>
      <x:c r="U13" s="1" t="str">
        <x:v>$750 /Bedroom</x:v>
      </x:c>
      <x:c r="V13" s="1" t="str">
        <x:v>True</x:v>
      </x:c>
      <x:c r="W13" s="1" t="str">
        <x:v>True</x:v>
      </x:c>
      <x:c r="X13" s="1" t="str">
        <x:v>False</x:v>
      </x:c>
      <x:c r="Y13" s="1" t="str">
        <x:v>6 Month Lease</x:v>
      </x:c>
      <x:c r="Z13" s="1" t="str">
        <x:v>False</x:v>
      </x:c>
      <x:c r="AA13" s="1" t="str">
        <x:v>False</x:v>
      </x:c>
      <x:c r="AB13" s="1" t="n">
        <x:v>46268.68309027778</x:v>
      </x:c>
      <x:c r="AC13" s="1" t="str">
        <x:v>Residential Condo Unit For Rent</x:v>
      </x:c>
      <x:c r="AD13" s="1" t="str"/>
      <x:c r="AE13" s="1" t="str">
        <x:v>True</x:v>
      </x:c>
      <x:c r="AF13" s="1" t="str">
        <x:v>16</x:v>
      </x:c>
      <x:c r="AG13" s="1" t="str">
        <x:v>https://offcampus.dasa.ncsu.edu/housing/property/maisonnc-fully-furnished-minutes-away-from-wolfline-and-shopping/ocpcm3jede</x:v>
      </x:c>
    </x:row>
    <x:row r="14" ht="15" hidden="0" customHeight="1">
      <x:c r="A14" s="1" t="str">
        <x:v>seyb987</x:v>
      </x:c>
      <x:c r="B14" s="1" t="str">
        <x:v>949937</x:v>
      </x:c>
      <x:c r="C14" s="1" t="str">
        <x:v>bfywb8c</x:v>
      </x:c>
      <x:c r="D14" s="5" t="str">
        <x:v>Wesley</x:v>
      </x:c>
      <x:c r="E14" s="5" t="str">
        <x:v>442 Jefferson Towne Dr</x:v>
      </x:c>
      <x:c r="F14" s="1" t="str">
        <x:v>Raleigh</x:v>
      </x:c>
      <x:c r="G14" s="1" t="str">
        <x:v>NC</x:v>
      </x:c>
      <x:c r="H14" s="1" t="str">
        <x:v>27606</x:v>
      </x:c>
      <x:c r="I14" s="1" t="n">
        <x:v>35.779833</x:v>
      </x:c>
      <x:c r="J14" s="1" t="n">
        <x:v>-78.741537</x:v>
      </x:c>
      <x:c r="K14" s="1" t="str">
        <x:v>Main Campus</x:v>
      </x:c>
      <x:c r="L14" s="1" t="str">
        <x:v>4.29</x:v>
      </x:c>
      <x:c r="M14" s="1" t="n">
        <x:v>1240</x:v>
      </x:c>
      <x:c r="N14" s="1" t="n">
        <x:v>2160</x:v>
      </x:c>
      <x:c r="O14" s="1" t="str">
        <x:v>$1,240 - $2,160</x:v>
      </x:c>
      <x:c r="P14" s="1" t="n">
        <x:v>1</x:v>
      </x:c>
      <x:c r="Q14" s="1" t="n">
        <x:v>3</x:v>
      </x:c>
      <x:c r="R14" s="1" t="str">
        <x:v>1 - 3 Beds</x:v>
      </x:c>
      <x:c r="S14" s="1" t="str">
        <x:v>False</x:v>
      </x:c>
      <x:c r="T14" s="1" t="str">
        <x:v>False</x:v>
      </x:c>
      <x:c r="U14" s="1" t="str">
        <x:v>$1,240 - $2,160</x:v>
      </x:c>
      <x:c r="V14" s="1" t="str"/>
      <x:c r="W14" s="1" t="str">
        <x:v>False</x:v>
      </x:c>
      <x:c r="X14" s="1" t="str">
        <x:v>False</x:v>
      </x:c>
      <x:c r="Y14" s="1" t="str"/>
      <x:c r="Z14" s="1" t="str">
        <x:v>False</x:v>
      </x:c>
      <x:c r="AA14" s="1" t="str">
        <x:v>False</x:v>
      </x:c>
      <x:c r="AB14" s="1" t="n">
        <x:v>46268.31863425926</x:v>
      </x:c>
      <x:c r="AC14" s="1" t="str">
        <x:v>Apartment Community</x:v>
      </x:c>
      <x:c r="AD14" s="1" t="n">
        <x:v>354</x:v>
      </x:c>
      <x:c r="AE14" s="1" t="str">
        <x:v>True</x:v>
      </x:c>
      <x:c r="AF14" s="1" t="str">
        <x:v>2</x:v>
      </x:c>
      <x:c r="AG14" s="1" t="str">
        <x:v>https://offcampus.dasa.ncsu.edu/housing/property/wesley/seyb987</x:v>
      </x:c>
    </x:row>
    <x:row r="15" ht="15" hidden="0" customHeight="1">
      <x:c r="A15" s="1" t="str">
        <x:v>ocpnx5c0kn</x:v>
      </x:c>
      <x:c r="B15" s="1" t="str">
        <x:v>890238</x:v>
      </x:c>
      <x:c r="C15" s="1" t="str"/>
      <x:c r="D15" s="5" t="str">
        <x:v>Modern &amp; spacious 3BR/3BA Apartment w/View</x:v>
      </x:c>
      <x:c r="E15" s="5" t="str">
        <x:v>2304 Hillsborough Street</x:v>
      </x:c>
      <x:c r="F15" s="1" t="str">
        <x:v>Raleigh</x:v>
      </x:c>
      <x:c r="G15" s="1" t="str">
        <x:v>NC</x:v>
      </x:c>
      <x:c r="H15" s="1" t="str">
        <x:v>27607</x:v>
      </x:c>
      <x:c r="I15" s="1" t="n">
        <x:v>35.78754</x:v>
      </x:c>
      <x:c r="J15" s="1" t="n">
        <x:v>-78.666068</x:v>
      </x:c>
      <x:c r="K15" s="1" t="str">
        <x:v>Main Campus</x:v>
      </x:c>
      <x:c r="L15" s="1" t="str">
        <x:v>0.26</x:v>
      </x:c>
      <x:c r="M15" s="1" t="n">
        <x:v>1000</x:v>
      </x:c>
      <x:c r="N15" s="1" t="n">
        <x:v>1000</x:v>
      </x:c>
      <x:c r="O15" s="1" t="str">
        <x:v>$1,000</x:v>
      </x:c>
      <x:c r="P15" s="1" t="n">
        <x:v>3</x:v>
      </x:c>
      <x:c r="Q15" s="1" t="n">
        <x:v>3</x:v>
      </x:c>
      <x:c r="R15" s="1" t="str">
        <x:v>3 Beds</x:v>
      </x:c>
      <x:c r="S15" s="1" t="str">
        <x:v>True</x:v>
      </x:c>
      <x:c r="T15" s="1" t="str">
        <x:v>False</x:v>
      </x:c>
      <x:c r="U15" s="1" t="str">
        <x:v>$1,000 /Bedroom</x:v>
      </x:c>
      <x:c r="V15" s="1" t="str">
        <x:v>True</x:v>
      </x:c>
      <x:c r="W15" s="1" t="str">
        <x:v>False</x:v>
      </x:c>
      <x:c r="X15" s="1" t="str">
        <x:v>False</x:v>
      </x:c>
      <x:c r="Y15" s="1" t="str">
        <x:v>12 Month Lease</x:v>
      </x:c>
      <x:c r="Z15" s="1" t="str">
        <x:v>False</x:v>
      </x:c>
      <x:c r="AA15" s="1" t="str">
        <x:v>False</x:v>
      </x:c>
      <x:c r="AB15" s="1" t="n">
        <x:v>46268.53524305556</x:v>
      </x:c>
      <x:c r="AC15" s="1" t="str">
        <x:v>Apartment Community</x:v>
      </x:c>
      <x:c r="AD15" s="1" t="str"/>
      <x:c r="AE15" s="1" t="str">
        <x:v>True</x:v>
      </x:c>
      <x:c r="AF15" s="1" t="str">
        <x:v>13</x:v>
      </x:c>
      <x:c r="AG15" s="1" t="str">
        <x:v>https://offcampus.dasa.ncsu.edu/housing/property/modern-and-spacious-3br-3ba-apartment-w-view/ocpnx5c0kn</x:v>
      </x:c>
    </x:row>
    <x:row r="16" ht="15" hidden="0" customHeight="1">
      <x:c r="A16" s="1" t="str">
        <x:v>ll5gb9f</x:v>
      </x:c>
      <x:c r="B16" s="1" t="str">
        <x:v>2372474</x:v>
      </x:c>
      <x:c r="C16" s="1" t="str">
        <x:v>0h5s992</x:v>
      </x:c>
      <x:c r="D16" s="5" t="str">
        <x:v>Rhyne's Gate Apartments</x:v>
      </x:c>
      <x:c r="E16" s="5" t="str">
        <x:v>1110 McKimmon View Ct</x:v>
      </x:c>
      <x:c r="F16" s="1" t="str">
        <x:v>Raleigh</x:v>
      </x:c>
      <x:c r="G16" s="1" t="str">
        <x:v>NC</x:v>
      </x:c>
      <x:c r="H16" s="1" t="str">
        <x:v>27606</x:v>
      </x:c>
      <x:c r="I16" s="1" t="n">
        <x:v>35.783346</x:v>
      </x:c>
      <x:c r="J16" s="1" t="n">
        <x:v>-78.688047</x:v>
      </x:c>
      <x:c r="K16" s="1" t="str">
        <x:v>Main Campus</x:v>
      </x:c>
      <x:c r="L16" s="1" t="str">
        <x:v>0.2</x:v>
      </x:c>
      <x:c r="M16" s="1" t="n">
        <x:v>1150</x:v>
      </x:c>
      <x:c r="N16" s="1" t="n">
        <x:v>1150</x:v>
      </x:c>
      <x:c r="O16" s="1" t="str">
        <x:v>$1,150</x:v>
      </x:c>
      <x:c r="P16" s="1" t="n">
        <x:v>2</x:v>
      </x:c>
      <x:c r="Q16" s="1" t="n">
        <x:v>2</x:v>
      </x:c>
      <x:c r="R16" s="1" t="str">
        <x:v>2 Beds</x:v>
      </x:c>
      <x:c r="S16" s="1" t="str">
        <x:v>False</x:v>
      </x:c>
      <x:c r="T16" s="1" t="str">
        <x:v>False</x:v>
      </x:c>
      <x:c r="U16" s="1" t="str">
        <x:v>$1,150</x:v>
      </x:c>
      <x:c r="V16" s="1" t="str"/>
      <x:c r="W16" s="1" t="str">
        <x:v>False</x:v>
      </x:c>
      <x:c r="X16" s="1" t="str">
        <x:v>False</x:v>
      </x:c>
      <x:c r="Y16" s="1" t="str"/>
      <x:c r="Z16" s="1" t="str">
        <x:v>False</x:v>
      </x:c>
      <x:c r="AA16" s="1" t="str">
        <x:v>False</x:v>
      </x:c>
      <x:c r="AB16" s="1" t="n">
        <x:v>46267.33181712963</x:v>
      </x:c>
      <x:c r="AC16" s="1" t="str">
        <x:v>Apartment Community</x:v>
      </x:c>
      <x:c r="AD16" s="1" t="n">
        <x:v>48</x:v>
      </x:c>
      <x:c r="AE16" s="1" t="str">
        <x:v>True</x:v>
      </x:c>
      <x:c r="AF16" s="1" t="str">
        <x:v>2</x:v>
      </x:c>
      <x:c r="AG16" s="1" t="str">
        <x:v>https://offcampus.dasa.ncsu.edu/housing/property/rhynes-gate-apartments/ll5gb9f</x:v>
      </x:c>
    </x:row>
    <x:row r="17" ht="15" hidden="0" customHeight="1">
      <x:c r="A17" s="1" t="str">
        <x:v>ocp5ey2bmq</x:v>
      </x:c>
      <x:c r="B17" s="1" t="str">
        <x:v>1898461</x:v>
      </x:c>
      <x:c r="C17" s="1" t="str"/>
      <x:c r="D17" s="5" t="str">
        <x:v>Furnished Studio/ADU | Olde Raleigh | Parking | Fast Wi-Fi</x:v>
      </x:c>
      <x:c r="E17" s="5" t="str"/>
      <x:c r="F17" s="1" t="str">
        <x:v>Raleigh</x:v>
      </x:c>
      <x:c r="G17" s="1" t="str">
        <x:v>NC</x:v>
      </x:c>
      <x:c r="H17" s="1" t="str">
        <x:v>27613</x:v>
      </x:c>
      <x:c r="I17" s="1" t="n">
        <x:v>35.878112</x:v>
      </x:c>
      <x:c r="J17" s="1" t="n">
        <x:v>-78.720793</x:v>
      </x:c>
      <x:c r="K17" s="1" t="str">
        <x:v>Main Campus</x:v>
      </x:c>
      <x:c r="L17" s="1" t="str">
        <x:v>9.08</x:v>
      </x:c>
      <x:c r="M17" s="1" t="n">
        <x:v>1875</x:v>
      </x:c>
      <x:c r="N17" s="1" t="n">
        <x:v>1875</x:v>
      </x:c>
      <x:c r="O17" s="1" t="str">
        <x:v>$1,875</x:v>
      </x:c>
      <x:c r="P17" s="1" t="n">
        <x:v>0</x:v>
      </x:c>
      <x:c r="Q17" s="1" t="n">
        <x:v>0</x:v>
      </x:c>
      <x:c r="R17" s="1" t="str">
        <x:v>Studio</x:v>
      </x:c>
      <x:c r="S17" s="1" t="str">
        <x:v>False</x:v>
      </x:c>
      <x:c r="T17" s="1" t="str">
        <x:v>False</x:v>
      </x:c>
      <x:c r="U17" s="1" t="str">
        <x:v>$1,875</x:v>
      </x:c>
      <x:c r="V17" s="1" t="str">
        <x:v>True</x:v>
      </x:c>
      <x:c r="W17" s="1" t="str">
        <x:v>False</x:v>
      </x:c>
      <x:c r="X17" s="1" t="str">
        <x:v>False</x:v>
      </x:c>
      <x:c r="Y17" s="1" t="str">
        <x:v>1 Month Lease</x:v>
      </x:c>
      <x:c r="Z17" s="1" t="str">
        <x:v>True</x:v>
      </x:c>
      <x:c r="AA17" s="1" t="str">
        <x:v>False</x:v>
      </x:c>
      <x:c r="AB17" s="1" t="n">
        <x:v>46039.837372685186</x:v>
      </x:c>
      <x:c r="AC17" s="1" t="str">
        <x:v>Apartment Unit For Rent</x:v>
      </x:c>
      <x:c r="AD17" s="1" t="str"/>
      <x:c r="AE17" s="1" t="str">
        <x:v>True</x:v>
      </x:c>
      <x:c r="AF17" s="1" t="str">
        <x:v>17</x:v>
      </x:c>
      <x:c r="AG17" s="1" t="str">
        <x:v>https://offcampus.dasa.ncsu.edu/housing/property/furnished-studio-adu-olde-raleigh-parking-fast-wi-fi/ocp5ey2bmq</x:v>
      </x:c>
    </x:row>
    <x:row r="18" ht="15" hidden="0" customHeight="1">
      <x:c r="A18" s="1" t="str">
        <x:v>70rqkwy</x:v>
      </x:c>
      <x:c r="B18" s="1" t="str">
        <x:v>915262</x:v>
      </x:c>
      <x:c r="C18" s="1" t="str">
        <x:v>m3r1jwk</x:v>
      </x:c>
      <x:c r="D18" s="5" t="str">
        <x:v>Brook Hill Townhouse - Students Save Up to 10%</x:v>
      </x:c>
      <x:c r="E18" s="5" t="str">
        <x:v>5425 Dana Dr</x:v>
      </x:c>
      <x:c r="F18" s="1" t="str">
        <x:v>Raleigh</x:v>
      </x:c>
      <x:c r="G18" s="1" t="str">
        <x:v>NC</x:v>
      </x:c>
      <x:c r="H18" s="1" t="str">
        <x:v>27606</x:v>
      </x:c>
      <x:c r="I18" s="1" t="n">
        <x:v>35.769074</x:v>
      </x:c>
      <x:c r="J18" s="1" t="n">
        <x:v>-78.731014</x:v>
      </x:c>
      <x:c r="K18" s="1" t="str">
        <x:v>Main Campus</x:v>
      </x:c>
      <x:c r="L18" s="1" t="str">
        <x:v>3.46</x:v>
      </x:c>
      <x:c r="M18" s="1" t="n">
        <x:v>1350</x:v>
      </x:c>
      <x:c r="N18" s="1" t="n">
        <x:v>1645</x:v>
      </x:c>
      <x:c r="O18" s="1" t="str">
        <x:v>$1,350 - $1,645</x:v>
      </x:c>
      <x:c r="P18" s="1" t="n">
        <x:v>1</x:v>
      </x:c>
      <x:c r="Q18" s="1" t="n">
        <x:v>3</x:v>
      </x:c>
      <x:c r="R18" s="1" t="str">
        <x:v>1 - 3 Beds</x:v>
      </x:c>
      <x:c r="S18" s="1" t="str">
        <x:v>False</x:v>
      </x:c>
      <x:c r="T18" s="1" t="str">
        <x:v>False</x:v>
      </x:c>
      <x:c r="U18" s="1" t="str">
        <x:v>$1,350 - $1,645</x:v>
      </x:c>
      <x:c r="V18" s="1" t="str"/>
      <x:c r="W18" s="1" t="str">
        <x:v>False</x:v>
      </x:c>
      <x:c r="X18" s="1" t="str">
        <x:v>False</x:v>
      </x:c>
      <x:c r="Y18" s="1" t="str">
        <x:v>1 Month Lease</x:v>
      </x:c>
      <x:c r="Z18" s="1" t="str">
        <x:v>False</x:v>
      </x:c>
      <x:c r="AA18" s="1" t="str">
        <x:v>False</x:v>
      </x:c>
      <x:c r="AB18" s="1" t="n">
        <x:v>46272.31520833333</x:v>
      </x:c>
      <x:c r="AC18" s="1" t="str">
        <x:v>Apartment Community</x:v>
      </x:c>
      <x:c r="AD18" s="1" t="n">
        <x:v>100</x:v>
      </x:c>
      <x:c r="AE18" s="1" t="str">
        <x:v>True</x:v>
      </x:c>
      <x:c r="AF18" s="1" t="str">
        <x:v>2</x:v>
      </x:c>
      <x:c r="AG18" s="1" t="str">
        <x:v>https://offcampus.dasa.ncsu.edu/housing/property/brook-hill-townhouse-students-save-up-to-10/70rqkwy</x:v>
      </x:c>
    </x:row>
    <x:row r="19" ht="24" hidden="0" customHeight="1">
      <x:c r="A19" s="1" t="str">
        <x:v>ocpjeweyz6</x:v>
      </x:c>
      <x:c r="B19" s="1" t="str">
        <x:v>1299975</x:v>
      </x:c>
      <x:c r="C19" s="1" t="str"/>
      <x:c r="D19" s="5" t="str">
        <x:v>All Girls Unit - Room with Private Bathroom at  University Woods at Centennial Condominiums</x:v>
      </x:c>
      <x:c r="E19" s="5" t="str">
        <x:v>2020 University Woods Rd</x:v>
      </x:c>
      <x:c r="F19" s="1" t="str">
        <x:v>Raleigh</x:v>
      </x:c>
      <x:c r="G19" s="1" t="str">
        <x:v>NC</x:v>
      </x:c>
      <x:c r="H19" s="1" t="str">
        <x:v>27603</x:v>
      </x:c>
      <x:c r="I19" s="1" t="n">
        <x:v>35.749432</x:v>
      </x:c>
      <x:c r="J19" s="1" t="n">
        <x:v>-78.693908</x:v>
      </x:c>
      <x:c r="K19" s="1" t="str">
        <x:v>Main Campus</x:v>
      </x:c>
      <x:c r="L19" s="1" t="str">
        <x:v>2.22</x:v>
      </x:c>
      <x:c r="M19" s="1" t="n">
        <x:v>645</x:v>
      </x:c>
      <x:c r="N19" s="1" t="n">
        <x:v>645</x:v>
      </x:c>
      <x:c r="O19" s="1" t="str">
        <x:v>$645</x:v>
      </x:c>
      <x:c r="P19" s="1" t="n">
        <x:v>4</x:v>
      </x:c>
      <x:c r="Q19" s="1" t="n">
        <x:v>4</x:v>
      </x:c>
      <x:c r="R19" s="1" t="str">
        <x:v>4 Beds</x:v>
      </x:c>
      <x:c r="S19" s="1" t="str">
        <x:v>True</x:v>
      </x:c>
      <x:c r="T19" s="1" t="str">
        <x:v>False</x:v>
      </x:c>
      <x:c r="U19" s="1" t="str">
        <x:v>$645 /Bedroom</x:v>
      </x:c>
      <x:c r="V19" s="1" t="str">
        <x:v>True</x:v>
      </x:c>
      <x:c r="W19" s="1" t="str">
        <x:v>True</x:v>
      </x:c>
      <x:c r="X19" s="1" t="str">
        <x:v>False</x:v>
      </x:c>
      <x:c r="Y19" s="1" t="str">
        <x:v>12 Month Lease</x:v>
      </x:c>
      <x:c r="Z19" s="1" t="str">
        <x:v>False</x:v>
      </x:c>
      <x:c r="AA19" s="1" t="str">
        <x:v>False</x:v>
      </x:c>
      <x:c r="AB19" s="1" t="n">
        <x:v>46243.918900462966</x:v>
      </x:c>
      <x:c r="AC19" s="1" t="str">
        <x:v>Residential Condo Unit For Rent</x:v>
      </x:c>
      <x:c r="AD19" s="1" t="str"/>
      <x:c r="AE19" s="1" t="str">
        <x:v>True</x:v>
      </x:c>
      <x:c r="AF19" s="1" t="str">
        <x:v>12</x:v>
      </x:c>
      <x:c r="AG19" s="1" t="str">
        <x:v>https://offcampus.dasa.ncsu.edu/housing/property/all-girls-unit-room-with-private-bathroom-at-university-woods-at-centennial-condominiums/ocpjeweyz6</x:v>
      </x:c>
    </x:row>
    <x:row r="20" ht="15" hidden="0" customHeight="1">
      <x:c r="A20" s="1" t="str">
        <x:v>0smdl31</x:v>
      </x:c>
      <x:c r="B20" s="1" t="str">
        <x:v>635486</x:v>
      </x:c>
      <x:c r="C20" s="1" t="str">
        <x:v>ltmth3e</x:v>
      </x:c>
      <x:c r="D20" s="5" t="str">
        <x:v>Paloma Raleigh</x:v>
      </x:c>
      <x:c r="E20" s="5" t="str">
        <x:v>5701 Hillsborough St</x:v>
      </x:c>
      <x:c r="F20" s="1" t="str">
        <x:v>Raleigh</x:v>
      </x:c>
      <x:c r="G20" s="1" t="str">
        <x:v>NC</x:v>
      </x:c>
      <x:c r="H20" s="1" t="str">
        <x:v>27606</x:v>
      </x:c>
      <x:c r="I20" s="1" t="n">
        <x:v>35.785778</x:v>
      </x:c>
      <x:c r="J20" s="1" t="n">
        <x:v>-78.727869</x:v>
      </x:c>
      <x:c r="K20" s="1" t="str">
        <x:v>Main Campus</x:v>
      </x:c>
      <x:c r="L20" s="1" t="str">
        <x:v>2.28</x:v>
      </x:c>
      <x:c r="M20" s="1" t="n">
        <x:v>749</x:v>
      </x:c>
      <x:c r="N20" s="1" t="n">
        <x:v>1599</x:v>
      </x:c>
      <x:c r="O20" s="1" t="str">
        <x:v>$749 - $1,599</x:v>
      </x:c>
      <x:c r="P20" s="1" t="n">
        <x:v>1</x:v>
      </x:c>
      <x:c r="Q20" s="1" t="n">
        <x:v>5</x:v>
      </x:c>
      <x:c r="R20" s="1" t="str">
        <x:v>1 - 5 Beds</x:v>
      </x:c>
      <x:c r="S20" s="1" t="str">
        <x:v>True</x:v>
      </x:c>
      <x:c r="T20" s="1" t="str">
        <x:v>False</x:v>
      </x:c>
      <x:c r="U20" s="1" t="str">
        <x:v>$749 - $1,599 /Bedroom</x:v>
      </x:c>
      <x:c r="V20" s="1" t="str"/>
      <x:c r="W20" s="1" t="str">
        <x:v>False</x:v>
      </x:c>
      <x:c r="X20" s="1" t="str">
        <x:v>False</x:v>
      </x:c>
      <x:c r="Y20" s="1" t="str"/>
      <x:c r="Z20" s="1" t="str">
        <x:v>False</x:v>
      </x:c>
      <x:c r="AA20" s="1" t="str">
        <x:v>False</x:v>
      </x:c>
      <x:c r="AB20" s="1" t="n">
        <x:v>46173.30771990741</x:v>
      </x:c>
      <x:c r="AC20" s="1" t="str">
        <x:v>Apartment Community</x:v>
      </x:c>
      <x:c r="AD20" s="1" t="n">
        <x:v>180</x:v>
      </x:c>
      <x:c r="AE20" s="1" t="str">
        <x:v>True</x:v>
      </x:c>
      <x:c r="AF20" s="1" t="str">
        <x:v>2</x:v>
      </x:c>
      <x:c r="AG20" s="1" t="str">
        <x:v>https://offcampus.dasa.ncsu.edu/housing/property/paloma-raleigh/0smdl31</x:v>
      </x:c>
    </x:row>
    <x:row r="21" ht="24" hidden="0" customHeight="1">
      <x:c r="A21" s="1" t="str">
        <x:v>ocppjxdd3r</x:v>
      </x:c>
      <x:c r="B21" s="1" t="str">
        <x:v>893905</x:v>
      </x:c>
      <x:c r="C21" s="1" t="str"/>
      <x:c r="D21" s="5" t="str">
        <x:v>Collegeview Duplex--Brand New Luxury Housing within walking distance to NCSU</x:v>
      </x:c>
      <x:c r="E21" s="5" t="str">
        <x:v>1505 Collegeview Avenue</x:v>
      </x:c>
      <x:c r="F21" s="1" t="str">
        <x:v>Raleigh</x:v>
      </x:c>
      <x:c r="G21" s="1" t="str">
        <x:v>NC</x:v>
      </x:c>
      <x:c r="H21" s="1" t="str">
        <x:v>27606</x:v>
      </x:c>
      <x:c r="I21" s="1" t="n">
        <x:v>35.777665</x:v>
      </x:c>
      <x:c r="J21" s="1" t="n">
        <x:v>-78.685499</x:v>
      </x:c>
      <x:c r="K21" s="1" t="str">
        <x:v>Main Campus</x:v>
      </x:c>
      <x:c r="L21" s="1" t="str">
        <x:v>0.26</x:v>
      </x:c>
      <x:c r="M21" s="1" t="n">
        <x:v>900</x:v>
      </x:c>
      <x:c r="N21" s="1" t="n">
        <x:v>950</x:v>
      </x:c>
      <x:c r="O21" s="1" t="str">
        <x:v>$900 - $950</x:v>
      </x:c>
      <x:c r="P21" s="1" t="n">
        <x:v>4</x:v>
      </x:c>
      <x:c r="Q21" s="1" t="n">
        <x:v>4</x:v>
      </x:c>
      <x:c r="R21" s="1" t="str">
        <x:v>4 Beds</x:v>
      </x:c>
      <x:c r="S21" s="1" t="str">
        <x:v>True</x:v>
      </x:c>
      <x:c r="T21" s="1" t="str">
        <x:v>False</x:v>
      </x:c>
      <x:c r="U21" s="1" t="str">
        <x:v>$900 - $950 /Bedroom</x:v>
      </x:c>
      <x:c r="V21" s="1" t="str">
        <x:v>True</x:v>
      </x:c>
      <x:c r="W21" s="1" t="str">
        <x:v>False</x:v>
      </x:c>
      <x:c r="X21" s="1" t="str">
        <x:v>False</x:v>
      </x:c>
      <x:c r="Y21" s="1" t="str">
        <x:v>12 Month Lease</x:v>
      </x:c>
      <x:c r="Z21" s="1" t="str">
        <x:v>False</x:v>
      </x:c>
      <x:c r="AA21" s="1" t="str">
        <x:v>False</x:v>
      </x:c>
      <x:c r="AB21" s="1" t="n">
        <x:v>46113.671875</x:v>
      </x:c>
      <x:c r="AC21" s="1" t="str">
        <x:v>Duplex</x:v>
      </x:c>
      <x:c r="AD21" s="1" t="str"/>
      <x:c r="AE21" s="1" t="str">
        <x:v>True</x:v>
      </x:c>
      <x:c r="AF21" s="1" t="str">
        <x:v>28</x:v>
      </x:c>
      <x:c r="AG21" s="1" t="str">
        <x:v>https://offcampus.dasa.ncsu.edu/housing/property/collegeview-duplex-brand-new-luxury-housing-within-walking-distance-to-ncsu/ocppjxdd3r</x:v>
      </x:c>
    </x:row>
    <x:row r="22" ht="15" hidden="0" customHeight="1">
      <x:c r="A22" s="1" t="str">
        <x:v>hgdd8s0</x:v>
      </x:c>
      <x:c r="B22" s="1" t="str">
        <x:v>1739564</x:v>
      </x:c>
      <x:c r="C22" s="1" t="str">
        <x:v>3ddtcsd</x:v>
      </x:c>
      <x:c r="D22" s="5" t="str">
        <x:v>Lantower Bullhouse</x:v>
      </x:c>
      <x:c r="E22" s="5" t="str">
        <x:v>504 E Pettigrew St</x:v>
      </x:c>
      <x:c r="F22" s="1" t="str">
        <x:v>Durham</x:v>
      </x:c>
      <x:c r="G22" s="1" t="str">
        <x:v>NC</x:v>
      </x:c>
      <x:c r="H22" s="1" t="str">
        <x:v>27701</x:v>
      </x:c>
      <x:c r="I22" s="1" t="n">
        <x:v>35.989797</x:v>
      </x:c>
      <x:c r="J22" s="1" t="n">
        <x:v>-78.898555</x:v>
      </x:c>
      <x:c r="K22" s="1" t="str">
        <x:v>Main Campus</x:v>
      </x:c>
      <x:c r="L22" s="1" t="str">
        <x:v>21.13</x:v>
      </x:c>
      <x:c r="M22" s="1" t="n">
        <x:v>1377</x:v>
      </x:c>
      <x:c r="N22" s="1" t="n">
        <x:v>4346</x:v>
      </x:c>
      <x:c r="O22" s="1" t="str">
        <x:v>$1,377 - $4,346</x:v>
      </x:c>
      <x:c r="P22" s="1" t="n">
        <x:v>0</x:v>
      </x:c>
      <x:c r="Q22" s="1" t="n">
        <x:v>2</x:v>
      </x:c>
      <x:c r="R22" s="1" t="str">
        <x:v>Studio - 2 Beds</x:v>
      </x:c>
      <x:c r="S22" s="1" t="str">
        <x:v>False</x:v>
      </x:c>
      <x:c r="T22" s="1" t="str">
        <x:v>False</x:v>
      </x:c>
      <x:c r="U22" s="1" t="str">
        <x:v>$1,377 - $4,346</x:v>
      </x:c>
      <x:c r="V22" s="1" t="str">
        <x:v>True</x:v>
      </x:c>
      <x:c r="W22" s="1" t="str">
        <x:v>False</x:v>
      </x:c>
      <x:c r="X22" s="1" t="str">
        <x:v>False</x:v>
      </x:c>
      <x:c r="Y22" s="1" t="str"/>
      <x:c r="Z22" s="1" t="str">
        <x:v>False</x:v>
      </x:c>
      <x:c r="AA22" s="1" t="str">
        <x:v>False</x:v>
      </x:c>
      <x:c r="AB22" s="1" t="n">
        <x:v>46272.32423611111</x:v>
      </x:c>
      <x:c r="AC22" s="1" t="str">
        <x:v>Apartment Community</x:v>
      </x:c>
      <x:c r="AD22" s="1" t="n">
        <x:v>305</x:v>
      </x:c>
      <x:c r="AE22" s="1" t="str">
        <x:v>True</x:v>
      </x:c>
      <x:c r="AF22" s="1" t="str">
        <x:v>2</x:v>
      </x:c>
      <x:c r="AG22" s="1" t="str">
        <x:v>https://offcampus.dasa.ncsu.edu/housing/property/lantower-bullhouse/hgdd8s0</x:v>
      </x:c>
    </x:row>
    <x:row r="23" ht="24" hidden="0" customHeight="1">
      <x:c r="A23" s="1" t="str">
        <x:v>ocpe1n95cm</x:v>
      </x:c>
      <x:c r="B23" s="1" t="str">
        <x:v>1051859</x:v>
      </x:c>
      <x:c r="C23" s="1" t="str"/>
      <x:c r="D23" s="5" t="str">
        <x:v>Big Promotion w/best price ever. Move in Immediately . MarcomTowns. Great location nice</x:v>
      </x:c>
      <x:c r="E23" s="5" t="str">
        <x:v>3601 Marcom Street Unit 101</x:v>
      </x:c>
      <x:c r="F23" s="1" t="str">
        <x:v>Raleigh</x:v>
      </x:c>
      <x:c r="G23" s="1" t="str">
        <x:v>NC</x:v>
      </x:c>
      <x:c r="H23" s="1" t="str">
        <x:v>27606</x:v>
      </x:c>
      <x:c r="I23" s="1" t="n">
        <x:v>35.779182</x:v>
      </x:c>
      <x:c r="J23" s="1" t="n">
        <x:v>-78.686005</x:v>
      </x:c>
      <x:c r="K23" s="1" t="str">
        <x:v>Main Campus</x:v>
      </x:c>
      <x:c r="L23" s="1" t="str">
        <x:v>0.09</x:v>
      </x:c>
      <x:c r="M23" s="1" t="n">
        <x:v>950</x:v>
      </x:c>
      <x:c r="N23" s="1" t="n">
        <x:v>950</x:v>
      </x:c>
      <x:c r="O23" s="1" t="str">
        <x:v>$950</x:v>
      </x:c>
      <x:c r="P23" s="1" t="n">
        <x:v>4</x:v>
      </x:c>
      <x:c r="Q23" s="1" t="n">
        <x:v>4</x:v>
      </x:c>
      <x:c r="R23" s="1" t="str">
        <x:v>4 Beds</x:v>
      </x:c>
      <x:c r="S23" s="1" t="str">
        <x:v>True</x:v>
      </x:c>
      <x:c r="T23" s="1" t="str">
        <x:v>False</x:v>
      </x:c>
      <x:c r="U23" s="1" t="str">
        <x:v>$950 /Bedroom</x:v>
      </x:c>
      <x:c r="V23" s="1" t="str">
        <x:v>True</x:v>
      </x:c>
      <x:c r="W23" s="1" t="str">
        <x:v>False</x:v>
      </x:c>
      <x:c r="X23" s="1" t="str">
        <x:v>False</x:v>
      </x:c>
      <x:c r="Y23" s="1" t="str">
        <x:v>12 Month Lease</x:v>
      </x:c>
      <x:c r="Z23" s="1" t="str">
        <x:v>False</x:v>
      </x:c>
      <x:c r="AA23" s="1" t="str">
        <x:v>False</x:v>
      </x:c>
      <x:c r="AB23" s="1" t="n">
        <x:v>46253.7605787037</x:v>
      </x:c>
      <x:c r="AC23" s="1" t="str">
        <x:v>Townhome</x:v>
      </x:c>
      <x:c r="AD23" s="1" t="str"/>
      <x:c r="AE23" s="1" t="str">
        <x:v>True</x:v>
      </x:c>
      <x:c r="AF23" s="1" t="str">
        <x:v>10</x:v>
      </x:c>
      <x:c r="AG23" s="1" t="str">
        <x:v>https://offcampus.dasa.ncsu.edu/housing/property/big-promotion-w-best-price-ever-move-in-immediately-marcomtowns-great-location-nice/ocpe1n95cm</x:v>
      </x:c>
    </x:row>
    <x:row r="24" ht="15" hidden="0" customHeight="1">
      <x:c r="A24" s="1" t="str">
        <x:v>p8mlexs</x:v>
      </x:c>
      <x:c r="B24" s="1" t="str">
        <x:v>958697</x:v>
      </x:c>
      <x:c r="C24" s="1" t="str">
        <x:v>5cm5fxn</x:v>
      </x:c>
      <x:c r="D24" s="5" t="str">
        <x:v>Valentine Commons</x:v>
      </x:c>
      <x:c r="E24" s="5" t="str">
        <x:v>3009 M E Valentine Dr</x:v>
      </x:c>
      <x:c r="F24" s="1" t="str">
        <x:v>Raleigh</x:v>
      </x:c>
      <x:c r="G24" s="1" t="str">
        <x:v>NC</x:v>
      </x:c>
      <x:c r="H24" s="1" t="str">
        <x:v>27607</x:v>
      </x:c>
      <x:c r="I24" s="1" t="n">
        <x:v>35.788189</x:v>
      </x:c>
      <x:c r="J24" s="1" t="n">
        <x:v>-78.676931</x:v>
      </x:c>
      <x:c r="K24" s="1" t="str">
        <x:v>Main Campus</x:v>
      </x:c>
      <x:c r="L24" s="1" t="str">
        <x:v>0.01</x:v>
      </x:c>
      <x:c r="M24" s="1" t="n">
        <x:v>1190</x:v>
      </x:c>
      <x:c r="N24" s="1" t="n">
        <x:v>2238</x:v>
      </x:c>
      <x:c r="O24" s="1" t="str">
        <x:v>$1,190 - $2,238</x:v>
      </x:c>
      <x:c r="P24" s="1" t="n">
        <x:v>2</x:v>
      </x:c>
      <x:c r="Q24" s="1" t="n">
        <x:v>4</x:v>
      </x:c>
      <x:c r="R24" s="1" t="str">
        <x:v>2 - 4 Beds</x:v>
      </x:c>
      <x:c r="S24" s="1" t="str">
        <x:v>False</x:v>
      </x:c>
      <x:c r="T24" s="1" t="str">
        <x:v>False</x:v>
      </x:c>
      <x:c r="U24" s="1" t="str">
        <x:v>$1,190 - $2,238</x:v>
      </x:c>
      <x:c r="V24" s="1" t="str"/>
      <x:c r="W24" s="1" t="str">
        <x:v>False</x:v>
      </x:c>
      <x:c r="X24" s="1" t="str">
        <x:v>False</x:v>
      </x:c>
      <x:c r="Y24" s="1" t="str">
        <x:v>12 Month Lease</x:v>
      </x:c>
      <x:c r="Z24" s="1" t="str">
        <x:v>False</x:v>
      </x:c>
      <x:c r="AA24" s="1" t="str">
        <x:v>False</x:v>
      </x:c>
      <x:c r="AB24" s="1" t="n">
        <x:v>46253.30751157407</x:v>
      </x:c>
      <x:c r="AC24" s="1" t="str">
        <x:v>Apartment Community</x:v>
      </x:c>
      <x:c r="AD24" s="1" t="n">
        <x:v>277</x:v>
      </x:c>
      <x:c r="AE24" s="1" t="str">
        <x:v>True</x:v>
      </x:c>
      <x:c r="AF24" s="1" t="str">
        <x:v>2</x:v>
      </x:c>
      <x:c r="AG24" s="1" t="str">
        <x:v>https://offcampus.dasa.ncsu.edu/housing/property/valentine-commons/p8mlexs</x:v>
      </x:c>
    </x:row>
    <x:row r="25" ht="15" hidden="0" customHeight="1">
      <x:c r="A25" s="1" t="str">
        <x:v>ocp2evl6hb</x:v>
      </x:c>
      <x:c r="B25" s="1" t="str">
        <x:v>1068891</x:v>
      </x:c>
      <x:c r="C25" s="1" t="str"/>
      <x:c r="D25" s="5" t="str">
        <x:v>University Oaks -</x:v>
      </x:c>
      <x:c r="E25" s="5" t="str">
        <x:v>1120 Carlton Avenue</x:v>
      </x:c>
      <x:c r="F25" s="1" t="str">
        <x:v>Raleigh</x:v>
      </x:c>
      <x:c r="G25" s="1" t="str">
        <x:v>NC</x:v>
      </x:c>
      <x:c r="H25" s="1" t="str">
        <x:v>27606</x:v>
      </x:c>
      <x:c r="I25" s="1" t="n">
        <x:v>35.782805</x:v>
      </x:c>
      <x:c r="J25" s="1" t="n">
        <x:v>-78.688398</x:v>
      </x:c>
      <x:c r="K25" s="1" t="str">
        <x:v>Main Campus</x:v>
      </x:c>
      <x:c r="L25" s="1" t="str">
        <x:v>0.24</x:v>
      </x:c>
      <x:c r="M25" s="1" t="n">
        <x:v>725</x:v>
      </x:c>
      <x:c r="N25" s="1" t="n">
        <x:v>725</x:v>
      </x:c>
      <x:c r="O25" s="1" t="str">
        <x:v>$725</x:v>
      </x:c>
      <x:c r="P25" s="1" t="n">
        <x:v>1</x:v>
      </x:c>
      <x:c r="Q25" s="1" t="n">
        <x:v>1</x:v>
      </x:c>
      <x:c r="R25" s="1" t="str">
        <x:v>1 Bed</x:v>
      </x:c>
      <x:c r="S25" s="1" t="str">
        <x:v>True</x:v>
      </x:c>
      <x:c r="T25" s="1" t="str">
        <x:v>False</x:v>
      </x:c>
      <x:c r="U25" s="1" t="str">
        <x:v>$725 /Bedroom</x:v>
      </x:c>
      <x:c r="V25" s="1" t="str">
        <x:v>True</x:v>
      </x:c>
      <x:c r="W25" s="1" t="str">
        <x:v>True</x:v>
      </x:c>
      <x:c r="X25" s="1" t="str">
        <x:v>False</x:v>
      </x:c>
      <x:c r="Y25" s="1" t="str">
        <x:v>12 Month Lease</x:v>
      </x:c>
      <x:c r="Z25" s="1" t="str">
        <x:v>False</x:v>
      </x:c>
      <x:c r="AA25" s="1" t="str">
        <x:v>False</x:v>
      </x:c>
      <x:c r="AB25" s="1" t="n">
        <x:v>46175.19876157407</x:v>
      </x:c>
      <x:c r="AC25" s="1" t="str">
        <x:v>Residential Condo Unit For Rent</x:v>
      </x:c>
      <x:c r="AD25" s="1" t="str"/>
      <x:c r="AE25" s="1" t="str">
        <x:v>True</x:v>
      </x:c>
      <x:c r="AF25" s="1" t="str">
        <x:v>8</x:v>
      </x:c>
      <x:c r="AG25" s="1" t="str">
        <x:v>https://offcampus.dasa.ncsu.edu/housing/property/university-oaks/ocp2evl6hb</x:v>
      </x:c>
    </x:row>
    <x:row r="26" ht="15" hidden="0" customHeight="1">
      <x:c r="A26" s="1" t="str">
        <x:v>fgrbwjv</x:v>
      </x:c>
      <x:c r="B26" s="1" t="str">
        <x:v>632792</x:v>
      </x:c>
      <x:c r="C26" s="1" t="str">
        <x:v>xdrwzjq</x:v>
      </x:c>
      <x:c r="D26" s="5" t="str">
        <x:v>Stanhope</x:v>
      </x:c>
      <x:c r="E26" s="5" t="str">
        <x:v>3001 Hillsborough St</x:v>
      </x:c>
      <x:c r="F26" s="1" t="str">
        <x:v>Raleigh</x:v>
      </x:c>
      <x:c r="G26" s="1" t="str">
        <x:v>NC</x:v>
      </x:c>
      <x:c r="H26" s="1" t="str">
        <x:v>27607</x:v>
      </x:c>
      <x:c r="I26" s="1" t="n">
        <x:v>35.789503</x:v>
      </x:c>
      <x:c r="J26" s="1" t="n">
        <x:v>-78.676817</x:v>
      </x:c>
      <x:c r="K26" s="1" t="str">
        <x:v>Main Campus</x:v>
      </x:c>
      <x:c r="L26" s="1" t="str">
        <x:v>0.05</x:v>
      </x:c>
      <x:c r="M26" s="1" t="n">
        <x:v>845</x:v>
      </x:c>
      <x:c r="N26" s="1" t="n">
        <x:v>1695</x:v>
      </x:c>
      <x:c r="O26" s="1" t="str">
        <x:v>$845 - $1,695</x:v>
      </x:c>
      <x:c r="P26" s="1" t="n">
        <x:v>0</x:v>
      </x:c>
      <x:c r="Q26" s="1" t="n">
        <x:v>4</x:v>
      </x:c>
      <x:c r="R26" s="1" t="str">
        <x:v>Studio - 4 Beds</x:v>
      </x:c>
      <x:c r="S26" s="1" t="str">
        <x:v>False</x:v>
      </x:c>
      <x:c r="T26" s="1" t="str">
        <x:v>False</x:v>
      </x:c>
      <x:c r="U26" s="1" t="str">
        <x:v>$845 - $1,695</x:v>
      </x:c>
      <x:c r="V26" s="1" t="str"/>
      <x:c r="W26" s="1" t="str">
        <x:v>False</x:v>
      </x:c>
      <x:c r="X26" s="1" t="str">
        <x:v>False</x:v>
      </x:c>
      <x:c r="Y26" s="1" t="str">
        <x:v>11 Month Lease</x:v>
      </x:c>
      <x:c r="Z26" s="1" t="str">
        <x:v>False</x:v>
      </x:c>
      <x:c r="AA26" s="1" t="str">
        <x:v>False</x:v>
      </x:c>
      <x:c r="AB26" s="1" t="n">
        <x:v>46270.3078125</x:v>
      </x:c>
      <x:c r="AC26" s="1" t="str">
        <x:v>Apartment Community</x:v>
      </x:c>
      <x:c r="AD26" s="1" t="n">
        <x:v>300</x:v>
      </x:c>
      <x:c r="AE26" s="1" t="str">
        <x:v>True</x:v>
      </x:c>
      <x:c r="AF26" s="1" t="str">
        <x:v>2</x:v>
      </x:c>
      <x:c r="AG26" s="1" t="str">
        <x:v>https://offcampus.dasa.ncsu.edu/housing/property/stanhope/fgrbwjv</x:v>
      </x:c>
    </x:row>
    <x:row r="27" ht="24" hidden="0" customHeight="1">
      <x:c r="A27" s="1" t="str">
        <x:v>ocpvlydr3e</x:v>
      </x:c>
      <x:c r="B27" s="1" t="str">
        <x:v>901410</x:v>
      </x:c>
      <x:c r="C27" s="1" t="str"/>
      <x:c r="D27" s="5" t="str">
        <x:v>Reavis ---Brand New Luxury Housing within walking distance to NCSU</x:v>
      </x:c>
      <x:c r="E27" s="5" t="str">
        <x:v>4104 Reavis Rd</x:v>
      </x:c>
      <x:c r="F27" s="1" t="str">
        <x:v>Raleigh</x:v>
      </x:c>
      <x:c r="G27" s="1" t="str">
        <x:v>NC</x:v>
      </x:c>
      <x:c r="H27" s="1" t="str">
        <x:v>27606</x:v>
      </x:c>
      <x:c r="I27" s="1" t="n">
        <x:v>35.785622</x:v>
      </x:c>
      <x:c r="J27" s="1" t="n">
        <x:v>-78.69476</x:v>
      </x:c>
      <x:c r="K27" s="1" t="str">
        <x:v>Main Campus</x:v>
      </x:c>
      <x:c r="L27" s="1" t="str">
        <x:v>0.32</x:v>
      </x:c>
      <x:c r="M27" s="1" t="n">
        <x:v>925</x:v>
      </x:c>
      <x:c r="N27" s="1" t="n">
        <x:v>975</x:v>
      </x:c>
      <x:c r="O27" s="1" t="str">
        <x:v>$925 - $975</x:v>
      </x:c>
      <x:c r="P27" s="1" t="n">
        <x:v>4</x:v>
      </x:c>
      <x:c r="Q27" s="1" t="n">
        <x:v>4</x:v>
      </x:c>
      <x:c r="R27" s="1" t="str">
        <x:v>4 Beds</x:v>
      </x:c>
      <x:c r="S27" s="1" t="str">
        <x:v>True</x:v>
      </x:c>
      <x:c r="T27" s="1" t="str">
        <x:v>False</x:v>
      </x:c>
      <x:c r="U27" s="1" t="str">
        <x:v>$925 - $975 /Bedroom</x:v>
      </x:c>
      <x:c r="V27" s="1" t="str">
        <x:v>True</x:v>
      </x:c>
      <x:c r="W27" s="1" t="str">
        <x:v>True</x:v>
      </x:c>
      <x:c r="X27" s="1" t="str">
        <x:v>False</x:v>
      </x:c>
      <x:c r="Y27" s="1" t="str">
        <x:v>12 Month Lease</x:v>
      </x:c>
      <x:c r="Z27" s="1" t="str">
        <x:v>False</x:v>
      </x:c>
      <x:c r="AA27" s="1" t="str">
        <x:v>False</x:v>
      </x:c>
      <x:c r="AB27" s="1" t="n">
        <x:v>46113.67438657407</x:v>
      </x:c>
      <x:c r="AC27" s="1" t="str">
        <x:v>Duplex</x:v>
      </x:c>
      <x:c r="AD27" s="1" t="str"/>
      <x:c r="AE27" s="1" t="str">
        <x:v>True</x:v>
      </x:c>
      <x:c r="AF27" s="1" t="str">
        <x:v>11</x:v>
      </x:c>
      <x:c r="AG27" s="1" t="str">
        <x:v>https://offcampus.dasa.ncsu.edu/housing/property/reavis-brand-new-luxury-housing-within-walking-distance-to-ncsu/ocpvlydr3e</x:v>
      </x:c>
    </x:row>
    <x:row r="28" ht="15" hidden="0" customHeight="1">
      <x:c r="A28" s="1" t="str">
        <x:v>86fjg60</x:v>
      </x:c>
      <x:c r="B28" s="1" t="str">
        <x:v>2210773</x:v>
      </x:c>
      <x:c r="C28" s="1" t="str">
        <x:v>v5f7d6d</x:v>
      </x:c>
      <x:c r="D28" s="5" t="str">
        <x:v>HeyDay Raleigh</x:v>
      </x:c>
      <x:c r="E28" s="5" t="str">
        <x:v>2812 Hillsborough St</x:v>
      </x:c>
      <x:c r="F28" s="1" t="str">
        <x:v>Raleigh</x:v>
      </x:c>
      <x:c r="G28" s="1" t="str">
        <x:v>NC</x:v>
      </x:c>
      <x:c r="H28" s="1" t="str">
        <x:v>27607</x:v>
      </x:c>
      <x:c r="I28" s="1" t="n">
        <x:v>35.789556</x:v>
      </x:c>
      <x:c r="J28" s="1" t="n">
        <x:v>-78.674739</x:v>
      </x:c>
      <x:c r="K28" s="1" t="str">
        <x:v>Main Campus</x:v>
      </x:c>
      <x:c r="L28" s="1" t="str">
        <x:v>0.0</x:v>
      </x:c>
      <x:c r="M28" s="1" t="n">
        <x:v>1349</x:v>
      </x:c>
      <x:c r="N28" s="1" t="n">
        <x:v>2269</x:v>
      </x:c>
      <x:c r="O28" s="1" t="str">
        <x:v>$1,349 - $2,269</x:v>
      </x:c>
      <x:c r="P28" s="1" t="n">
        <x:v>0</x:v>
      </x:c>
      <x:c r="Q28" s="1" t="n">
        <x:v>4</x:v>
      </x:c>
      <x:c r="R28" s="1" t="str">
        <x:v>Studio - 4 Beds</x:v>
      </x:c>
      <x:c r="S28" s="1" t="str">
        <x:v>False</x:v>
      </x:c>
      <x:c r="T28" s="1" t="str">
        <x:v>False</x:v>
      </x:c>
      <x:c r="U28" s="1" t="str">
        <x:v>$1,349 - $2,269</x:v>
      </x:c>
      <x:c r="V28" s="1" t="str"/>
      <x:c r="W28" s="1" t="str">
        <x:v>False</x:v>
      </x:c>
      <x:c r="X28" s="1" t="str">
        <x:v>False</x:v>
      </x:c>
      <x:c r="Y28" s="1" t="str">
        <x:v>11 Month Lease</x:v>
      </x:c>
      <x:c r="Z28" s="1" t="str">
        <x:v>False</x:v>
      </x:c>
      <x:c r="AA28" s="1" t="str">
        <x:v>False</x:v>
      </x:c>
      <x:c r="AB28" s="1" t="n">
        <x:v>46260.33310185185</x:v>
      </x:c>
      <x:c r="AC28" s="1" t="str">
        <x:v>Apartment Community</x:v>
      </x:c>
      <x:c r="AD28" s="1" t="n">
        <x:v>138</x:v>
      </x:c>
      <x:c r="AE28" s="1" t="str">
        <x:v>True</x:v>
      </x:c>
      <x:c r="AF28" s="1" t="str">
        <x:v>2</x:v>
      </x:c>
      <x:c r="AG28" s="1" t="str">
        <x:v>https://offcampus.dasa.ncsu.edu/housing/property/heyday-raleigh/86fjg60</x:v>
      </x:c>
    </x:row>
    <x:row r="29" ht="24" hidden="0" customHeight="1">
      <x:c r="A29" s="1" t="str">
        <x:v>ocpxdxd79p</x:v>
      </x:c>
      <x:c r="B29" s="1" t="str">
        <x:v>1424343</x:v>
      </x:c>
      <x:c r="C29" s="1" t="str"/>
      <x:c r="D29" s="5" t="str">
        <x:v>4BR/4BA Condo| On Wolfline | Preleasing 27-28 Special $850 Util/Parking Incld | Mile to Campus</x:v>
      </x:c>
      <x:c r="E29" s="5" t="str">
        <x:v>1511 Graduate Lane</x:v>
      </x:c>
      <x:c r="F29" s="1" t="str">
        <x:v>Raleigh</x:v>
      </x:c>
      <x:c r="G29" s="1" t="str">
        <x:v>NC</x:v>
      </x:c>
      <x:c r="H29" s="1" t="str">
        <x:v>27606</x:v>
      </x:c>
      <x:c r="I29" s="1" t="n">
        <x:v>35.773343</x:v>
      </x:c>
      <x:c r="J29" s="1" t="n">
        <x:v>-78.690564</x:v>
      </x:c>
      <x:c r="K29" s="1" t="str">
        <x:v>Main Campus</x:v>
      </x:c>
      <x:c r="L29" s="1" t="str">
        <x:v>0.5</x:v>
      </x:c>
      <x:c r="M29" s="1" t="n">
        <x:v>875</x:v>
      </x:c>
      <x:c r="N29" s="1" t="n">
        <x:v>875</x:v>
      </x:c>
      <x:c r="O29" s="1" t="str">
        <x:v>$875</x:v>
      </x:c>
      <x:c r="P29" s="1" t="n">
        <x:v>4</x:v>
      </x:c>
      <x:c r="Q29" s="1" t="n">
        <x:v>4</x:v>
      </x:c>
      <x:c r="R29" s="1" t="str">
        <x:v>4 Beds</x:v>
      </x:c>
      <x:c r="S29" s="1" t="str">
        <x:v>True</x:v>
      </x:c>
      <x:c r="T29" s="1" t="str">
        <x:v>False</x:v>
      </x:c>
      <x:c r="U29" s="1" t="str">
        <x:v>$875 /Bedroom</x:v>
      </x:c>
      <x:c r="V29" s="1" t="str">
        <x:v>True</x:v>
      </x:c>
      <x:c r="W29" s="1" t="str">
        <x:v>False</x:v>
      </x:c>
      <x:c r="X29" s="1" t="str">
        <x:v>False</x:v>
      </x:c>
      <x:c r="Y29" s="1" t="str">
        <x:v>12 Month Lease</x:v>
      </x:c>
      <x:c r="Z29" s="1" t="str">
        <x:v>False</x:v>
      </x:c>
      <x:c r="AA29" s="1" t="str">
        <x:v>False</x:v>
      </x:c>
      <x:c r="AB29" s="1" t="n">
        <x:v>46273.627858796295</x:v>
      </x:c>
      <x:c r="AC29" s="1" t="str">
        <x:v>Residential Condo Unit For Rent</x:v>
      </x:c>
      <x:c r="AD29" s="1" t="str"/>
      <x:c r="AE29" s="1" t="str">
        <x:v>True</x:v>
      </x:c>
      <x:c r="AF29" s="1" t="str">
        <x:v>32</x:v>
      </x:c>
      <x:c r="AG29" s="1" t="str">
        <x:v>https://offcampus.dasa.ncsu.edu/housing/property/4br-4ba-condo-on-wolfline-preleasing-27-28-special-850-util-parking-incld-mile-to-campus/ocpxdxd79p</x:v>
      </x:c>
    </x:row>
    <x:row r="30" ht="15" hidden="0" customHeight="1">
      <x:c r="A30" s="1" t="str">
        <x:v>9de4we5</x:v>
      </x:c>
      <x:c r="B30" s="1" t="str">
        <x:v>2291495</x:v>
      </x:c>
      <x:c r="C30" s="1" t="str">
        <x:v>tgekze9</x:v>
      </x:c>
      <x:c r="D30" s="5" t="str">
        <x:v>LYV Woodcroft at Southpoint</x:v>
      </x:c>
      <x:c r="E30" s="5" t="str">
        <x:v>4655 Hope Valley Rd</x:v>
      </x:c>
      <x:c r="F30" s="1" t="str">
        <x:v>Durham</x:v>
      </x:c>
      <x:c r="G30" s="1" t="str">
        <x:v>NC</x:v>
      </x:c>
      <x:c r="H30" s="1" t="str">
        <x:v>27707</x:v>
      </x:c>
      <x:c r="I30" s="1" t="n">
        <x:v>35.924925</x:v>
      </x:c>
      <x:c r="J30" s="1" t="n">
        <x:v>-78.953214</x:v>
      </x:c>
      <x:c r="K30" s="1" t="str">
        <x:v>Main Campus</x:v>
      </x:c>
      <x:c r="L30" s="1" t="str">
        <x:v>19.38</x:v>
      </x:c>
      <x:c r="M30" s="1" t="n">
        <x:v>1200</x:v>
      </x:c>
      <x:c r="N30" s="1" t="n">
        <x:v>1400</x:v>
      </x:c>
      <x:c r="O30" s="1" t="str">
        <x:v>$1,200 - $1,400</x:v>
      </x:c>
      <x:c r="P30" s="1" t="n">
        <x:v>1</x:v>
      </x:c>
      <x:c r="Q30" s="1" t="n">
        <x:v>2</x:v>
      </x:c>
      <x:c r="R30" s="1" t="str">
        <x:v>1 - 2 Beds</x:v>
      </x:c>
      <x:c r="S30" s="1" t="str">
        <x:v>False</x:v>
      </x:c>
      <x:c r="T30" s="1" t="str">
        <x:v>False</x:v>
      </x:c>
      <x:c r="U30" s="1" t="str">
        <x:v>$1,200 - $1,400</x:v>
      </x:c>
      <x:c r="V30" s="1" t="str"/>
      <x:c r="W30" s="1" t="str">
        <x:v>False</x:v>
      </x:c>
      <x:c r="X30" s="1" t="str">
        <x:v>False</x:v>
      </x:c>
      <x:c r="Y30" s="1" t="str">
        <x:v>12 Month Lease</x:v>
      </x:c>
      <x:c r="Z30" s="1" t="str">
        <x:v>False</x:v>
      </x:c>
      <x:c r="AA30" s="1" t="str">
        <x:v>False</x:v>
      </x:c>
      <x:c r="AB30" s="1" t="n">
        <x:v>46267.33105324074</x:v>
      </x:c>
      <x:c r="AC30" s="1" t="str">
        <x:v>Apartment Community</x:v>
      </x:c>
      <x:c r="AD30" s="1" t="n">
        <x:v>264</x:v>
      </x:c>
      <x:c r="AE30" s="1" t="str">
        <x:v>True</x:v>
      </x:c>
      <x:c r="AF30" s="1" t="str">
        <x:v>2</x:v>
      </x:c>
      <x:c r="AG30" s="1" t="str">
        <x:v>https://offcampus.dasa.ncsu.edu/housing/property/lyv-woodcroft-at-southpoint/9de4we5</x:v>
      </x:c>
    </x:row>
    <x:row r="31" ht="24" hidden="0" customHeight="1">
      <x:c r="A31" s="1" t="str">
        <x:v>ocpm68s5sh</x:v>
      </x:c>
      <x:c r="B31" s="1" t="str">
        <x:v>901422</x:v>
      </x:c>
      <x:c r="C31" s="1" t="str"/>
      <x:c r="D31" s="5" t="str">
        <x:v>Burt Drive Townhouses---Brand New Luxury Housing within walking distance to NCSU</x:v>
      </x:c>
      <x:c r="E31" s="5" t="str">
        <x:v>3609 Burt Drive</x:v>
      </x:c>
      <x:c r="F31" s="1" t="str">
        <x:v>Raleigh</x:v>
      </x:c>
      <x:c r="G31" s="1" t="str">
        <x:v>NC</x:v>
      </x:c>
      <x:c r="H31" s="1" t="str">
        <x:v>27606</x:v>
      </x:c>
      <x:c r="I31" s="1" t="n">
        <x:v>35.776121</x:v>
      </x:c>
      <x:c r="J31" s="1" t="n">
        <x:v>-78.686075</x:v>
      </x:c>
      <x:c r="K31" s="1" t="str">
        <x:v>Main Campus</x:v>
      </x:c>
      <x:c r="L31" s="1" t="str">
        <x:v>0.29</x:v>
      </x:c>
      <x:c r="M31" s="1" t="n">
        <x:v>1050</x:v>
      </x:c>
      <x:c r="N31" s="1" t="n">
        <x:v>1050</x:v>
      </x:c>
      <x:c r="O31" s="1" t="str">
        <x:v>$1,050</x:v>
      </x:c>
      <x:c r="P31" s="1" t="n">
        <x:v>4</x:v>
      </x:c>
      <x:c r="Q31" s="1" t="n">
        <x:v>4</x:v>
      </x:c>
      <x:c r="R31" s="1" t="str">
        <x:v>4 Beds</x:v>
      </x:c>
      <x:c r="S31" s="1" t="str">
        <x:v>True</x:v>
      </x:c>
      <x:c r="T31" s="1" t="str">
        <x:v>False</x:v>
      </x:c>
      <x:c r="U31" s="1" t="str">
        <x:v>$1,050 /Bedroom</x:v>
      </x:c>
      <x:c r="V31" s="1" t="str">
        <x:v>True</x:v>
      </x:c>
      <x:c r="W31" s="1" t="str">
        <x:v>True</x:v>
      </x:c>
      <x:c r="X31" s="1" t="str">
        <x:v>False</x:v>
      </x:c>
      <x:c r="Y31" s="1" t="str">
        <x:v>12 Month Lease</x:v>
      </x:c>
      <x:c r="Z31" s="1" t="str">
        <x:v>False</x:v>
      </x:c>
      <x:c r="AA31" s="1" t="str">
        <x:v>False</x:v>
      </x:c>
      <x:c r="AB31" s="1" t="n">
        <x:v>46113.67255787037</x:v>
      </x:c>
      <x:c r="AC31" s="1" t="str">
        <x:v>Townhome</x:v>
      </x:c>
      <x:c r="AD31" s="1" t="str"/>
      <x:c r="AE31" s="1" t="str">
        <x:v>True</x:v>
      </x:c>
      <x:c r="AF31" s="1" t="str">
        <x:v>12</x:v>
      </x:c>
      <x:c r="AG31" s="1" t="str">
        <x:v>https://offcampus.dasa.ncsu.edu/housing/property/burt-drive-townhouses-brand-new-luxury-housing-within-walking-distance-to-ncsu/ocpm68s5sh</x:v>
      </x:c>
    </x:row>
    <x:row r="32" ht="15" hidden="0" customHeight="1">
      <x:c r="A32" s="1" t="str">
        <x:v>gky0hgw</x:v>
      </x:c>
      <x:c r="B32" s="1" t="str">
        <x:v>1097703</x:v>
      </x:c>
      <x:c r="C32" s="1" t="str">
        <x:v>wjyplgh</x:v>
      </x:c>
      <x:c r="D32" s="5" t="str">
        <x:v>Willow Bend Apartments</x:v>
      </x:c>
      <x:c r="E32" s="5" t="str">
        <x:v>1718 Palmer St</x:v>
      </x:c>
      <x:c r="F32" s="1" t="str">
        <x:v>Durham</x:v>
      </x:c>
      <x:c r="G32" s="1" t="str">
        <x:v>NC</x:v>
      </x:c>
      <x:c r="H32" s="1" t="str">
        <x:v>27707</x:v>
      </x:c>
      <x:c r="I32" s="1" t="n">
        <x:v>35.987772</x:v>
      </x:c>
      <x:c r="J32" s="1" t="n">
        <x:v>-78.923142</x:v>
      </x:c>
      <x:c r="K32" s="1" t="str">
        <x:v>Main Campus</x:v>
      </x:c>
      <x:c r="L32" s="1" t="str">
        <x:v>22.93</x:v>
      </x:c>
      <x:c r="M32" s="1" t="n">
        <x:v>1312</x:v>
      </x:c>
      <x:c r="N32" s="1" t="n">
        <x:v>1357</x:v>
      </x:c>
      <x:c r="O32" s="1" t="str">
        <x:v>$1,312 - $1,357</x:v>
      </x:c>
      <x:c r="P32" s="1" t="n">
        <x:v>2</x:v>
      </x:c>
      <x:c r="Q32" s="1" t="n">
        <x:v>2</x:v>
      </x:c>
      <x:c r="R32" s="1" t="str">
        <x:v>2 Beds</x:v>
      </x:c>
      <x:c r="S32" s="1" t="str">
        <x:v>False</x:v>
      </x:c>
      <x:c r="T32" s="1" t="str">
        <x:v>False</x:v>
      </x:c>
      <x:c r="U32" s="1" t="str">
        <x:v>$1,312 - $1,357</x:v>
      </x:c>
      <x:c r="V32" s="1" t="str"/>
      <x:c r="W32" s="1" t="str">
        <x:v>False</x:v>
      </x:c>
      <x:c r="X32" s="1" t="str">
        <x:v>False</x:v>
      </x:c>
      <x:c r="Y32" s="1" t="str"/>
      <x:c r="Z32" s="1" t="str">
        <x:v>False</x:v>
      </x:c>
      <x:c r="AA32" s="1" t="str">
        <x:v>False</x:v>
      </x:c>
      <x:c r="AB32" s="1" t="n">
        <x:v>46268.32309027778</x:v>
      </x:c>
      <x:c r="AC32" s="1" t="str">
        <x:v>Apartment Community</x:v>
      </x:c>
      <x:c r="AD32" s="1" t="n">
        <x:v>44</x:v>
      </x:c>
      <x:c r="AE32" s="1" t="str">
        <x:v>True</x:v>
      </x:c>
      <x:c r="AF32" s="1" t="str">
        <x:v>2</x:v>
      </x:c>
      <x:c r="AG32" s="1" t="str">
        <x:v>https://offcampus.dasa.ncsu.edu/housing/property/willow-bend-apartments/gky0hgw</x:v>
      </x:c>
    </x:row>
    <x:row r="33" ht="15" hidden="0" customHeight="1">
      <x:c r="A33" s="1" t="str">
        <x:v>ocpd8x87kh</x:v>
      </x:c>
      <x:c r="B33" s="1" t="str">
        <x:v>949002</x:v>
      </x:c>
      <x:c r="C33" s="1" t="str"/>
      <x:c r="D33" s="5" t="str">
        <x:v>New Construction: 4 Bed 4.5 Bath Townhomes</x:v>
      </x:c>
      <x:c r="E33" s="5" t="str"/>
      <x:c r="F33" s="1" t="str">
        <x:v>Raleigh</x:v>
      </x:c>
      <x:c r="G33" s="1" t="str">
        <x:v>NC</x:v>
      </x:c>
      <x:c r="H33" s="1" t="str">
        <x:v>27606</x:v>
      </x:c>
      <x:c r="I33" s="1" t="n">
        <x:v>35.778062</x:v>
      </x:c>
      <x:c r="J33" s="1" t="n">
        <x:v>-78.689907</x:v>
      </x:c>
      <x:c r="K33" s="1" t="str">
        <x:v>Main Campus</x:v>
      </x:c>
      <x:c r="L33" s="1" t="str">
        <x:v>0.24</x:v>
      </x:c>
      <x:c r="M33" s="1" t="n">
        <x:v>4000</x:v>
      </x:c>
      <x:c r="N33" s="1" t="n">
        <x:v>4000</x:v>
      </x:c>
      <x:c r="O33" s="1" t="str">
        <x:v>$4,000</x:v>
      </x:c>
      <x:c r="P33" s="1" t="n">
        <x:v>4</x:v>
      </x:c>
      <x:c r="Q33" s="1" t="n">
        <x:v>4</x:v>
      </x:c>
      <x:c r="R33" s="1" t="str">
        <x:v>4 Beds</x:v>
      </x:c>
      <x:c r="S33" s="1" t="str">
        <x:v>False</x:v>
      </x:c>
      <x:c r="T33" s="1" t="str">
        <x:v>False</x:v>
      </x:c>
      <x:c r="U33" s="1" t="str">
        <x:v>$4,000</x:v>
      </x:c>
      <x:c r="V33" s="1" t="str"/>
      <x:c r="W33" s="1" t="str">
        <x:v>False</x:v>
      </x:c>
      <x:c r="X33" s="1" t="str">
        <x:v>False</x:v>
      </x:c>
      <x:c r="Y33" s="1" t="str">
        <x:v>12 Month Lease</x:v>
      </x:c>
      <x:c r="Z33" s="1" t="str">
        <x:v>True</x:v>
      </x:c>
      <x:c r="AA33" s="1" t="str">
        <x:v>False</x:v>
      </x:c>
      <x:c r="AB33" s="1" t="n">
        <x:v>46183.79981481482</x:v>
      </x:c>
      <x:c r="AC33" s="1" t="str">
        <x:v>Townhome</x:v>
      </x:c>
      <x:c r="AD33" s="1" t="str"/>
      <x:c r="AE33" s="1" t="str">
        <x:v>True</x:v>
      </x:c>
      <x:c r="AF33" s="1" t="str">
        <x:v>11</x:v>
      </x:c>
      <x:c r="AG33" s="1" t="str">
        <x:v>https://offcampus.dasa.ncsu.edu/housing/property/new-construction-4-bed-4-5-bath-townhomes/ocpd8x87kh</x:v>
      </x:c>
    </x:row>
    <x:row r="34" ht="15" hidden="0" customHeight="1">
      <x:c r="A34" s="1" t="str">
        <x:v>v534e5d</x:v>
      </x:c>
      <x:c r="B34" s="1" t="str">
        <x:v>1289740</x:v>
      </x:c>
      <x:c r="C34" s="1" t="str">
        <x:v>863kf50</x:v>
      </x:c>
      <x:c r="D34" s="5" t="str">
        <x:v>Kensington Park</x:v>
      </x:c>
      <x:c r="E34" s="5" t="str">
        <x:v>2700 Brigadoon Dr</x:v>
      </x:c>
      <x:c r="F34" s="1" t="str">
        <x:v>Raleigh</x:v>
      </x:c>
      <x:c r="G34" s="1" t="str">
        <x:v>NC</x:v>
      </x:c>
      <x:c r="H34" s="1" t="str">
        <x:v>27606</x:v>
      </x:c>
      <x:c r="I34" s="1" t="n">
        <x:v>35.771483</x:v>
      </x:c>
      <x:c r="J34" s="1" t="n">
        <x:v>-78.687069</x:v>
      </x:c>
      <x:c r="K34" s="1" t="str">
        <x:v>Main Campus</x:v>
      </x:c>
      <x:c r="L34" s="1" t="str">
        <x:v>0.48</x:v>
      </x:c>
      <x:c r="M34" s="1" t="n">
        <x:v>1175</x:v>
      </x:c>
      <x:c r="N34" s="1" t="n">
        <x:v>1945</x:v>
      </x:c>
      <x:c r="O34" s="1" t="str">
        <x:v>$1,175 - $1,945</x:v>
      </x:c>
      <x:c r="P34" s="1" t="n">
        <x:v>1</x:v>
      </x:c>
      <x:c r="Q34" s="1" t="n">
        <x:v>3</x:v>
      </x:c>
      <x:c r="R34" s="1" t="str">
        <x:v>1 - 3 Beds</x:v>
      </x:c>
      <x:c r="S34" s="1" t="str">
        <x:v>False</x:v>
      </x:c>
      <x:c r="T34" s="1" t="str">
        <x:v>False</x:v>
      </x:c>
      <x:c r="U34" s="1" t="str">
        <x:v>$1,175 - $1,945</x:v>
      </x:c>
      <x:c r="V34" s="1" t="str"/>
      <x:c r="W34" s="1" t="str">
        <x:v>False</x:v>
      </x:c>
      <x:c r="X34" s="1" t="str">
        <x:v>False</x:v>
      </x:c>
      <x:c r="Y34" s="1" t="str"/>
      <x:c r="Z34" s="1" t="str">
        <x:v>False</x:v>
      </x:c>
      <x:c r="AA34" s="1" t="str">
        <x:v>False</x:v>
      </x:c>
      <x:c r="AB34" s="1" t="n">
        <x:v>46253.32098379629</x:v>
      </x:c>
      <x:c r="AC34" s="1" t="str">
        <x:v>Apartment Community</x:v>
      </x:c>
      <x:c r="AD34" s="1" t="n">
        <x:v>335</x:v>
      </x:c>
      <x:c r="AE34" s="1" t="str">
        <x:v>True</x:v>
      </x:c>
      <x:c r="AF34" s="1" t="str">
        <x:v>2</x:v>
      </x:c>
      <x:c r="AG34" s="1" t="str">
        <x:v>https://offcampus.dasa.ncsu.edu/housing/property/kensington-park/v534e5d</x:v>
      </x:c>
    </x:row>
    <x:row r="35" ht="24" hidden="0" customHeight="1">
      <x:c r="A35" s="1" t="str">
        <x:v>ocp913l1z6</x:v>
      </x:c>
      <x:c r="B35" s="1" t="str">
        <x:v>987192</x:v>
      </x:c>
      <x:c r="C35" s="1" t="str"/>
      <x:c r="D35" s="5" t="str">
        <x:v>** WAITLIST for 2026-2027 ** 4 Bedroom, 4.5 Bathroom Unit Near NCSU Campus and Cup A Joe</x:v>
      </x:c>
      <x:c r="E35" s="5" t="str">
        <x:v>3104 Douglas Street</x:v>
      </x:c>
      <x:c r="F35" s="1" t="str">
        <x:v>Raleigh</x:v>
      </x:c>
      <x:c r="G35" s="1" t="str">
        <x:v>NC</x:v>
      </x:c>
      <x:c r="H35" s="1" t="str">
        <x:v>27607</x:v>
      </x:c>
      <x:c r="I35" s="1" t="n">
        <x:v>35.791166</x:v>
      </x:c>
      <x:c r="J35" s="1" t="n">
        <x:v>-78.677347</x:v>
      </x:c>
      <x:c r="K35" s="1" t="str">
        <x:v>Main Campus</x:v>
      </x:c>
      <x:c r="L35" s="1" t="str">
        <x:v>0.3</x:v>
      </x:c>
      <x:c r="M35" s="1" t="n">
        <x:v>4400</x:v>
      </x:c>
      <x:c r="N35" s="1" t="n">
        <x:v>4400</x:v>
      </x:c>
      <x:c r="O35" s="1" t="str">
        <x:v>$4,400</x:v>
      </x:c>
      <x:c r="P35" s="1" t="n">
        <x:v>4</x:v>
      </x:c>
      <x:c r="Q35" s="1" t="n">
        <x:v>4</x:v>
      </x:c>
      <x:c r="R35" s="1" t="str">
        <x:v>4 Beds</x:v>
      </x:c>
      <x:c r="S35" s="1" t="str">
        <x:v>False</x:v>
      </x:c>
      <x:c r="T35" s="1" t="str">
        <x:v>False</x:v>
      </x:c>
      <x:c r="U35" s="1" t="str">
        <x:v>$4,400</x:v>
      </x:c>
      <x:c r="V35" s="1" t="str"/>
      <x:c r="W35" s="1" t="str">
        <x:v>False</x:v>
      </x:c>
      <x:c r="X35" s="1" t="str">
        <x:v>False</x:v>
      </x:c>
      <x:c r="Y35" s="1" t="str"/>
      <x:c r="Z35" s="1" t="str">
        <x:v>False</x:v>
      </x:c>
      <x:c r="AA35" s="1" t="str">
        <x:v>False</x:v>
      </x:c>
      <x:c r="AB35" s="1" t="n">
        <x:v>46071.717210648145</x:v>
      </x:c>
      <x:c r="AC35" s="1" t="str">
        <x:v>Duplex</x:v>
      </x:c>
      <x:c r="AD35" s="1" t="str"/>
      <x:c r="AE35" s="1" t="str">
        <x:v>True</x:v>
      </x:c>
      <x:c r="AF35" s="1" t="str">
        <x:v>12</x:v>
      </x:c>
      <x:c r="AG35" s="1" t="str">
        <x:v>https://offcampus.dasa.ncsu.edu/housing/property/waitlist-for-2026-2027-4-bedroom-4-5-bathroom-unit-near-ncsu-campus-and-cup-a-joe/ocp913l1z6</x:v>
      </x:c>
    </x:row>
    <x:row r="36" ht="15" hidden="0" customHeight="1">
      <x:c r="A36" s="1" t="str">
        <x:v>0zm5l03</x:v>
      </x:c>
      <x:c r="B36" s="1" t="str">
        <x:v>1677875</x:v>
      </x:c>
      <x:c r="C36" s="1" t="str">
        <x:v>lwmlh0g</x:v>
      </x:c>
      <x:c r="D36" s="5" t="str">
        <x:v>616 at the Village</x:v>
      </x:c>
      <x:c r="E36" s="5" t="str">
        <x:v>616 Oberlin Rd</x:v>
      </x:c>
      <x:c r="F36" s="1" t="str">
        <x:v>Raleigh</x:v>
      </x:c>
      <x:c r="G36" s="1" t="str">
        <x:v>NC</x:v>
      </x:c>
      <x:c r="H36" s="1" t="str">
        <x:v>27605</x:v>
      </x:c>
      <x:c r="I36" s="1" t="n">
        <x:v>35.792999</x:v>
      </x:c>
      <x:c r="J36" s="1" t="n">
        <x:v>-78.662003</x:v>
      </x:c>
      <x:c r="K36" s="1" t="str">
        <x:v>Main Campus</x:v>
      </x:c>
      <x:c r="L36" s="1" t="str">
        <x:v>0.67</x:v>
      </x:c>
      <x:c r="M36" s="1" t="n">
        <x:v>1620</x:v>
      </x:c>
      <x:c r="N36" s="1" t="n">
        <x:v>3430</x:v>
      </x:c>
      <x:c r="O36" s="1" t="str">
        <x:v>$1,620 - $3,430</x:v>
      </x:c>
      <x:c r="P36" s="1" t="n">
        <x:v>0</x:v>
      </x:c>
      <x:c r="Q36" s="1" t="n">
        <x:v>3</x:v>
      </x:c>
      <x:c r="R36" s="1" t="str">
        <x:v>Studio - 3 Beds</x:v>
      </x:c>
      <x:c r="S36" s="1" t="str">
        <x:v>False</x:v>
      </x:c>
      <x:c r="T36" s="1" t="str">
        <x:v>False</x:v>
      </x:c>
      <x:c r="U36" s="1" t="str">
        <x:v>$1,620 - $3,430</x:v>
      </x:c>
      <x:c r="V36" s="1" t="str"/>
      <x:c r="W36" s="1" t="str">
        <x:v>False</x:v>
      </x:c>
      <x:c r="X36" s="1" t="str">
        <x:v>False</x:v>
      </x:c>
      <x:c r="Y36" s="1" t="str"/>
      <x:c r="Z36" s="1" t="str">
        <x:v>False</x:v>
      </x:c>
      <x:c r="AA36" s="1" t="str">
        <x:v>False</x:v>
      </x:c>
      <x:c r="AB36" s="1" t="n">
        <x:v>46273.31886574074</x:v>
      </x:c>
      <x:c r="AC36" s="1" t="str">
        <x:v>Apartment Community</x:v>
      </x:c>
      <x:c r="AD36" s="1" t="n">
        <x:v>207</x:v>
      </x:c>
      <x:c r="AE36" s="1" t="str">
        <x:v>True</x:v>
      </x:c>
      <x:c r="AF36" s="1" t="str">
        <x:v>2</x:v>
      </x:c>
      <x:c r="AG36" s="1" t="str">
        <x:v>https://offcampus.dasa.ncsu.edu/housing/property/616-at-the-village/0zm5l03</x:v>
      </x:c>
    </x:row>
    <x:row r="37" ht="15" hidden="0" customHeight="1">
      <x:c r="A37" s="1" t="str">
        <x:v>ocp2k0px98</x:v>
      </x:c>
      <x:c r="B37" s="1" t="str">
        <x:v>2240527</x:v>
      </x:c>
      <x:c r="C37" s="1" t="str"/>
      <x:c r="D37" s="5" t="str">
        <x:v>Liberty station male only townhome- 5 miles from Centennial</x:v>
      </x:c>
      <x:c r="E37" s="5" t="str">
        <x:v>567 Hacksaw Trail</x:v>
      </x:c>
      <x:c r="F37" s="1" t="str">
        <x:v>Raleigh</x:v>
      </x:c>
      <x:c r="G37" s="1" t="str">
        <x:v>NC</x:v>
      </x:c>
      <x:c r="H37" s="1" t="str">
        <x:v>27610</x:v>
      </x:c>
      <x:c r="I37" s="1" t="n">
        <x:v>35.737912</x:v>
      </x:c>
      <x:c r="J37" s="1" t="n">
        <x:v>-78.630411</x:v>
      </x:c>
      <x:c r="K37" s="1" t="str">
        <x:v>Main Campus</x:v>
      </x:c>
      <x:c r="L37" s="1" t="str">
        <x:v>5.44</x:v>
      </x:c>
      <x:c r="M37" s="1" t="n">
        <x:v>900</x:v>
      </x:c>
      <x:c r="N37" s="1" t="n">
        <x:v>900</x:v>
      </x:c>
      <x:c r="O37" s="1" t="str">
        <x:v>$900</x:v>
      </x:c>
      <x:c r="P37" s="1" t="n">
        <x:v>1</x:v>
      </x:c>
      <x:c r="Q37" s="1" t="n">
        <x:v>1</x:v>
      </x:c>
      <x:c r="R37" s="1" t="str">
        <x:v>1 Bed</x:v>
      </x:c>
      <x:c r="S37" s="1" t="str">
        <x:v>True</x:v>
      </x:c>
      <x:c r="T37" s="1" t="str">
        <x:v>False</x:v>
      </x:c>
      <x:c r="U37" s="1" t="str">
        <x:v>$900 /Bedroom</x:v>
      </x:c>
      <x:c r="V37" s="1" t="str"/>
      <x:c r="W37" s="1" t="str">
        <x:v>True</x:v>
      </x:c>
      <x:c r="X37" s="1" t="str">
        <x:v>False</x:v>
      </x:c>
      <x:c r="Y37" s="1" t="str">
        <x:v>12 Month Lease</x:v>
      </x:c>
      <x:c r="Z37" s="1" t="str">
        <x:v>False</x:v>
      </x:c>
      <x:c r="AA37" s="1" t="str">
        <x:v>False</x:v>
      </x:c>
      <x:c r="AB37" s="1" t="n">
        <x:v>46203.74353009259</x:v>
      </x:c>
      <x:c r="AC37" s="1" t="str">
        <x:v>Townhome</x:v>
      </x:c>
      <x:c r="AD37" s="1" t="str"/>
      <x:c r="AE37" s="1" t="str">
        <x:v>True</x:v>
      </x:c>
      <x:c r="AF37" s="1" t="str">
        <x:v>4</x:v>
      </x:c>
      <x:c r="AG37" s="1" t="str">
        <x:v>https://offcampus.dasa.ncsu.edu/housing/property/liberty-station-male-only-townhome-5-miles-from-centennial/ocp2k0px98</x:v>
      </x:c>
    </x:row>
    <x:row r="38" ht="15" hidden="0" customHeight="1">
      <x:c r="A38" s="1" t="str">
        <x:v>z8cfdjw</x:v>
      </x:c>
      <x:c r="B38" s="1" t="str">
        <x:v>702854</x:v>
      </x:c>
      <x:c r="C38" s="1" t="str">
        <x:v>dccrgjh</x:v>
      </x:c>
      <x:c r="D38" s="5" t="str">
        <x:v>Campus Crossings Raleigh</x:v>
      </x:c>
      <x:c r="E38" s="5" t="str">
        <x:v>3101 Compatible Way</x:v>
      </x:c>
      <x:c r="F38" s="1" t="str">
        <x:v>Raleigh</x:v>
      </x:c>
      <x:c r="G38" s="1" t="str">
        <x:v>NC</x:v>
      </x:c>
      <x:c r="H38" s="1" t="str">
        <x:v>27603</x:v>
      </x:c>
      <x:c r="I38" s="1" t="n">
        <x:v>35.744806</x:v>
      </x:c>
      <x:c r="J38" s="1" t="n">
        <x:v>-78.687537</x:v>
      </x:c>
      <x:c r="K38" s="1" t="str">
        <x:v>Main Campus</x:v>
      </x:c>
      <x:c r="L38" s="1" t="str">
        <x:v>2.96</x:v>
      </x:c>
      <x:c r="M38" s="1" t="n">
        <x:v>685</x:v>
      </x:c>
      <x:c r="N38" s="1" t="n">
        <x:v>870</x:v>
      </x:c>
      <x:c r="O38" s="1" t="str">
        <x:v>$685 - $870</x:v>
      </x:c>
      <x:c r="P38" s="1" t="n">
        <x:v>2</x:v>
      </x:c>
      <x:c r="Q38" s="1" t="n">
        <x:v>4</x:v>
      </x:c>
      <x:c r="R38" s="1" t="str">
        <x:v>2 - 4 Beds</x:v>
      </x:c>
      <x:c r="S38" s="1" t="str">
        <x:v>True</x:v>
      </x:c>
      <x:c r="T38" s="1" t="str">
        <x:v>False</x:v>
      </x:c>
      <x:c r="U38" s="1" t="str">
        <x:v>$685 - $870 /Bedroom</x:v>
      </x:c>
      <x:c r="V38" s="1" t="str"/>
      <x:c r="W38" s="1" t="str">
        <x:v>False</x:v>
      </x:c>
      <x:c r="X38" s="1" t="str">
        <x:v>False</x:v>
      </x:c>
      <x:c r="Y38" s="1" t="str">
        <x:v>11 Month Lease</x:v>
      </x:c>
      <x:c r="Z38" s="1" t="str">
        <x:v>False</x:v>
      </x:c>
      <x:c r="AA38" s="1" t="str">
        <x:v>False</x:v>
      </x:c>
      <x:c r="AB38" s="1" t="n">
        <x:v>46247.30809027778</x:v>
      </x:c>
      <x:c r="AC38" s="1" t="str">
        <x:v>Apartment Community</x:v>
      </x:c>
      <x:c r="AD38" s="1" t="n">
        <x:v>718</x:v>
      </x:c>
      <x:c r="AE38" s="1" t="str">
        <x:v>True</x:v>
      </x:c>
      <x:c r="AF38" s="1" t="str">
        <x:v>2</x:v>
      </x:c>
      <x:c r="AG38" s="1" t="str">
        <x:v>https://offcampus.dasa.ncsu.edu/housing/property/campus-crossings-raleigh/z8cfdjw</x:v>
      </x:c>
    </x:row>
    <x:row r="39" ht="15" hidden="0" customHeight="1">
      <x:c r="A39" s="1" t="str">
        <x:v>ocp6mp93ms</x:v>
      </x:c>
      <x:c r="B39" s="1" t="str">
        <x:v>1874562</x:v>
      </x:c>
      <x:c r="C39" s="1" t="str"/>
      <x:c r="D39" s="5" t="str">
        <x:v>Newly Renovated - All Girls Unit Room with Private Bathroom</x:v>
      </x:c>
      <x:c r="E39" s="5" t="str">
        <x:v>2021 Wolftech Ln</x:v>
      </x:c>
      <x:c r="F39" s="1" t="str">
        <x:v>Raleigh</x:v>
      </x:c>
      <x:c r="G39" s="1" t="str">
        <x:v>NC</x:v>
      </x:c>
      <x:c r="H39" s="1" t="str">
        <x:v>27603</x:v>
      </x:c>
      <x:c r="I39" s="1" t="n">
        <x:v>35.749776</x:v>
      </x:c>
      <x:c r="J39" s="1" t="n">
        <x:v>-78.695407</x:v>
      </x:c>
      <x:c r="K39" s="1" t="str">
        <x:v>Main Campus</x:v>
      </x:c>
      <x:c r="L39" s="1" t="str">
        <x:v>2.19</x:v>
      </x:c>
      <x:c r="M39" s="1" t="n">
        <x:v>645</x:v>
      </x:c>
      <x:c r="N39" s="1" t="n">
        <x:v>645</x:v>
      </x:c>
      <x:c r="O39" s="1" t="str">
        <x:v>$645</x:v>
      </x:c>
      <x:c r="P39" s="1" t="n">
        <x:v>4</x:v>
      </x:c>
      <x:c r="Q39" s="1" t="n">
        <x:v>4</x:v>
      </x:c>
      <x:c r="R39" s="1" t="str">
        <x:v>4 Beds</x:v>
      </x:c>
      <x:c r="S39" s="1" t="str">
        <x:v>True</x:v>
      </x:c>
      <x:c r="T39" s="1" t="str">
        <x:v>False</x:v>
      </x:c>
      <x:c r="U39" s="1" t="str">
        <x:v>$645 /Bedroom</x:v>
      </x:c>
      <x:c r="V39" s="1" t="str"/>
      <x:c r="W39" s="1" t="str">
        <x:v>True</x:v>
      </x:c>
      <x:c r="X39" s="1" t="str">
        <x:v>False</x:v>
      </x:c>
      <x:c r="Y39" s="1" t="str">
        <x:v>12 Month Lease</x:v>
      </x:c>
      <x:c r="Z39" s="1" t="str">
        <x:v>False</x:v>
      </x:c>
      <x:c r="AA39" s="1" t="str">
        <x:v>False</x:v>
      </x:c>
      <x:c r="AB39" s="1" t="n">
        <x:v>46251.90075231482</x:v>
      </x:c>
      <x:c r="AC39" s="1" t="str">
        <x:v>Residential Condo Unit For Rent</x:v>
      </x:c>
      <x:c r="AD39" s="1" t="str"/>
      <x:c r="AE39" s="1" t="str">
        <x:v>True</x:v>
      </x:c>
      <x:c r="AF39" s="1" t="str">
        <x:v>16</x:v>
      </x:c>
      <x:c r="AG39" s="1" t="str">
        <x:v>https://offcampus.dasa.ncsu.edu/housing/property/newly-renovated-all-girls-unit-room-with-private-bathroom/ocp6mp93ms</x:v>
      </x:c>
    </x:row>
    <x:row r="40" ht="15" hidden="0" customHeight="1">
      <x:c r="A40" s="1" t="str">
        <x:v>75medjw</x:v>
      </x:c>
      <x:c r="B40" s="1" t="str">
        <x:v>2312026</x:v>
      </x:c>
      <x:c r="C40" s="1" t="str">
        <x:v>m6mvgjh</x:v>
      </x:c>
      <x:c r="D40" s="5" t="str">
        <x:v>Brickside</x:v>
      </x:c>
      <x:c r="E40" s="5" t="str">
        <x:v>2600 Hillsborough St</x:v>
      </x:c>
      <x:c r="F40" s="1" t="str">
        <x:v>Raleigh</x:v>
      </x:c>
      <x:c r="G40" s="1" t="str">
        <x:v>NC</x:v>
      </x:c>
      <x:c r="H40" s="1" t="str">
        <x:v>27607</x:v>
      </x:c>
      <x:c r="I40" s="1" t="n">
        <x:v>35.788447</x:v>
      </x:c>
      <x:c r="J40" s="1" t="n">
        <x:v>-78.669806</x:v>
      </x:c>
      <x:c r="K40" s="1" t="str">
        <x:v>Main Campus</x:v>
      </x:c>
      <x:c r="L40" s="1" t="str">
        <x:v>0.38</x:v>
      </x:c>
      <x:c r="M40" s="1" t="n">
        <x:v>999</x:v>
      </x:c>
      <x:c r="N40" s="1" t="n">
        <x:v>1825</x:v>
      </x:c>
      <x:c r="O40" s="1" t="str">
        <x:v>$999 - $1,825</x:v>
      </x:c>
      <x:c r="P40" s="1" t="n">
        <x:v>0</x:v>
      </x:c>
      <x:c r="Q40" s="1" t="n">
        <x:v>4</x:v>
      </x:c>
      <x:c r="R40" s="1" t="str">
        <x:v>Studio - 4 Beds</x:v>
      </x:c>
      <x:c r="S40" s="1" t="str">
        <x:v>True</x:v>
      </x:c>
      <x:c r="T40" s="1" t="str">
        <x:v>False</x:v>
      </x:c>
      <x:c r="U40" s="1" t="str">
        <x:v>$999 - $1,825 /Bedroom</x:v>
      </x:c>
      <x:c r="V40" s="1" t="str"/>
      <x:c r="W40" s="1" t="str">
        <x:v>False</x:v>
      </x:c>
      <x:c r="X40" s="1" t="str">
        <x:v>False</x:v>
      </x:c>
      <x:c r="Y40" s="1" t="str">
        <x:v>12 Month Lease</x:v>
      </x:c>
      <x:c r="Z40" s="1" t="str">
        <x:v>False</x:v>
      </x:c>
      <x:c r="AA40" s="1" t="str">
        <x:v>False</x:v>
      </x:c>
      <x:c r="AB40" s="1" t="n">
        <x:v>46267.3315162037</x:v>
      </x:c>
      <x:c r="AC40" s="1" t="str">
        <x:v>Apartment Community</x:v>
      </x:c>
      <x:c r="AD40" s="1" t="n">
        <x:v>110</x:v>
      </x:c>
      <x:c r="AE40" s="1" t="str">
        <x:v>True</x:v>
      </x:c>
      <x:c r="AF40" s="1" t="str">
        <x:v>2</x:v>
      </x:c>
      <x:c r="AG40" s="1" t="str">
        <x:v>https://offcampus.dasa.ncsu.edu/housing/property/brickside/75medjw</x:v>
      </x:c>
    </x:row>
    <x:row r="41" ht="24" hidden="0" customHeight="1">
      <x:c r="A41" s="1" t="str">
        <x:v>ocp6wsb4yt</x:v>
      </x:c>
      <x:c r="B41" s="1" t="str">
        <x:v>961876</x:v>
      </x:c>
      <x:c r="C41" s="1" t="str"/>
      <x:c r="D41" s="5" t="str">
        <x:v>We have 1 bedroom open In a luxury 5 bed 5 full bath house 1/1/27-6/30/27</x:v>
      </x:c>
      <x:c r="E41" s="5" t="str">
        <x:v>5012 Western Boulevard</x:v>
      </x:c>
      <x:c r="F41" s="1" t="str">
        <x:v>Raleigh</x:v>
      </x:c>
      <x:c r="G41" s="1" t="str">
        <x:v>NC</x:v>
      </x:c>
      <x:c r="H41" s="1" t="str">
        <x:v>27606</x:v>
      </x:c>
      <x:c r="I41" s="1" t="n">
        <x:v>35.786652</x:v>
      </x:c>
      <x:c r="J41" s="1" t="n">
        <x:v>-78.709484</x:v>
      </x:c>
      <x:c r="K41" s="1" t="str">
        <x:v>Main Campus</x:v>
      </x:c>
      <x:c r="L41" s="1" t="str">
        <x:v>1.3</x:v>
      </x:c>
      <x:c r="M41" s="1" t="n">
        <x:v>1200</x:v>
      </x:c>
      <x:c r="N41" s="1" t="n">
        <x:v>1200</x:v>
      </x:c>
      <x:c r="O41" s="1" t="str">
        <x:v>$1,200</x:v>
      </x:c>
      <x:c r="P41" s="1" t="n">
        <x:v>1</x:v>
      </x:c>
      <x:c r="Q41" s="1" t="n">
        <x:v>1</x:v>
      </x:c>
      <x:c r="R41" s="1" t="str">
        <x:v>1 Bed</x:v>
      </x:c>
      <x:c r="S41" s="1" t="str">
        <x:v>True</x:v>
      </x:c>
      <x:c r="T41" s="1" t="str">
        <x:v>False</x:v>
      </x:c>
      <x:c r="U41" s="1" t="str">
        <x:v>$1,200 /Bedroom</x:v>
      </x:c>
      <x:c r="V41" s="1" t="str"/>
      <x:c r="W41" s="1" t="str">
        <x:v>True</x:v>
      </x:c>
      <x:c r="X41" s="1" t="str">
        <x:v>True</x:v>
      </x:c>
      <x:c r="Y41" s="1" t="str">
        <x:v>6 Month Lease</x:v>
      </x:c>
      <x:c r="Z41" s="1" t="str">
        <x:v>False</x:v>
      </x:c>
      <x:c r="AA41" s="1" t="str">
        <x:v>False</x:v>
      </x:c>
      <x:c r="AB41" s="1" t="n">
        <x:v>46241.44900462963</x:v>
      </x:c>
      <x:c r="AC41" s="1" t="str">
        <x:v>Single-Family Home</x:v>
      </x:c>
      <x:c r="AD41" s="1" t="str"/>
      <x:c r="AE41" s="1" t="str">
        <x:v>True</x:v>
      </x:c>
      <x:c r="AF41" s="1" t="str">
        <x:v>27</x:v>
      </x:c>
      <x:c r="AG41" s="1" t="str">
        <x:v>https://offcampus.dasa.ncsu.edu/housing/property/we-have-1-bedroom-open-in-a-luxury-5-bed-5-full-bath-house-1-1-27-6-30-27/ocp6wsb4yt</x:v>
      </x:c>
    </x:row>
    <x:row r="42" ht="15" hidden="0" customHeight="1">
      <x:c r="A42" s="1" t="str">
        <x:v>tv2h1cb</x:v>
      </x:c>
      <x:c r="B42" s="1" t="str">
        <x:v>1315350</x:v>
      </x:c>
      <x:c r="C42" s="1" t="str">
        <x:v>9r262c6</x:v>
      </x:c>
      <x:c r="D42" s="5" t="str">
        <x:v>Gorman Crossings</x:v>
      </x:c>
      <x:c r="E42" s="5" t="str">
        <x:v>2101 Gorman St</x:v>
      </x:c>
      <x:c r="F42" s="1" t="str">
        <x:v>Raleigh</x:v>
      </x:c>
      <x:c r="G42" s="1" t="str">
        <x:v>NC</x:v>
      </x:c>
      <x:c r="H42" s="1" t="str">
        <x:v>27606</x:v>
      </x:c>
      <x:c r="I42" s="1" t="n">
        <x:v>35.770408</x:v>
      </x:c>
      <x:c r="J42" s="1" t="n">
        <x:v>-78.693727</x:v>
      </x:c>
      <x:c r="K42" s="1" t="str">
        <x:v>Main Campus</x:v>
      </x:c>
      <x:c r="L42" s="1" t="str">
        <x:v>0.78</x:v>
      </x:c>
      <x:c r="M42" s="1" t="n">
        <x:v>1295</x:v>
      </x:c>
      <x:c r="N42" s="1" t="n">
        <x:v>2145</x:v>
      </x:c>
      <x:c r="O42" s="1" t="str">
        <x:v>$1,295 - $2,145</x:v>
      </x:c>
      <x:c r="P42" s="1" t="n">
        <x:v>2</x:v>
      </x:c>
      <x:c r="Q42" s="1" t="n">
        <x:v>3</x:v>
      </x:c>
      <x:c r="R42" s="1" t="str">
        <x:v>2 - 3 Beds</x:v>
      </x:c>
      <x:c r="S42" s="1" t="str">
        <x:v>False</x:v>
      </x:c>
      <x:c r="T42" s="1" t="str">
        <x:v>False</x:v>
      </x:c>
      <x:c r="U42" s="1" t="str">
        <x:v>$1,295 - $2,145</x:v>
      </x:c>
      <x:c r="V42" s="1" t="str"/>
      <x:c r="W42" s="1" t="str">
        <x:v>False</x:v>
      </x:c>
      <x:c r="X42" s="1" t="str">
        <x:v>False</x:v>
      </x:c>
      <x:c r="Y42" s="1" t="str"/>
      <x:c r="Z42" s="1" t="str">
        <x:v>False</x:v>
      </x:c>
      <x:c r="AA42" s="1" t="str">
        <x:v>False</x:v>
      </x:c>
      <x:c r="AB42" s="1" t="n">
        <x:v>46177.326527777775</x:v>
      </x:c>
      <x:c r="AC42" s="1" t="str">
        <x:v>Apartment Community</x:v>
      </x:c>
      <x:c r="AD42" s="1" t="n">
        <x:v>336</x:v>
      </x:c>
      <x:c r="AE42" s="1" t="str">
        <x:v>True</x:v>
      </x:c>
      <x:c r="AF42" s="1" t="str">
        <x:v>2</x:v>
      </x:c>
      <x:c r="AG42" s="1" t="str">
        <x:v>https://offcampus.dasa.ncsu.edu/housing/property/gorman-crossings/tv2h1cb</x:v>
      </x:c>
    </x:row>
    <x:row r="43" ht="15" hidden="0" customHeight="1">
      <x:c r="A43" s="1" t="str">
        <x:v>ocpbp1v5c9</x:v>
      </x:c>
      <x:c r="B43" s="1" t="str">
        <x:v>1951612</x:v>
      </x:c>
      <x:c r="C43" s="1" t="str"/>
      <x:c r="D43" s="5" t="str">
        <x:v>Prime ITB location one block off Ridge Road</x:v>
      </x:c>
      <x:c r="E43" s="5" t="str">
        <x:v>1003 Marilyn Drive</x:v>
      </x:c>
      <x:c r="F43" s="1" t="str">
        <x:v>Raleigh</x:v>
      </x:c>
      <x:c r="G43" s="1" t="str">
        <x:v>NC</x:v>
      </x:c>
      <x:c r="H43" s="1" t="str">
        <x:v>27607</x:v>
      </x:c>
      <x:c r="I43" s="1" t="n">
        <x:v>35.804462</x:v>
      </x:c>
      <x:c r="J43" s="1" t="n">
        <x:v>-78.688856</x:v>
      </x:c>
      <x:c r="K43" s="1" t="str">
        <x:v>Main Campus</x:v>
      </x:c>
      <x:c r="L43" s="1" t="str">
        <x:v>1.14</x:v>
      </x:c>
      <x:c r="M43" s="1" t="n">
        <x:v>2800</x:v>
      </x:c>
      <x:c r="N43" s="1" t="n">
        <x:v>2800</x:v>
      </x:c>
      <x:c r="O43" s="1" t="str">
        <x:v>$2,800</x:v>
      </x:c>
      <x:c r="P43" s="1" t="n">
        <x:v>3</x:v>
      </x:c>
      <x:c r="Q43" s="1" t="n">
        <x:v>3</x:v>
      </x:c>
      <x:c r="R43" s="1" t="str">
        <x:v>3 Beds</x:v>
      </x:c>
      <x:c r="S43" s="1" t="str">
        <x:v>False</x:v>
      </x:c>
      <x:c r="T43" s="1" t="str">
        <x:v>False</x:v>
      </x:c>
      <x:c r="U43" s="1" t="str">
        <x:v>$2,800</x:v>
      </x:c>
      <x:c r="V43" s="1" t="str"/>
      <x:c r="W43" s="1" t="str">
        <x:v>False</x:v>
      </x:c>
      <x:c r="X43" s="1" t="str">
        <x:v>False</x:v>
      </x:c>
      <x:c r="Y43" s="1" t="str">
        <x:v>12 Month Lease</x:v>
      </x:c>
      <x:c r="Z43" s="1" t="str">
        <x:v>False</x:v>
      </x:c>
      <x:c r="AA43" s="1" t="str">
        <x:v>False</x:v>
      </x:c>
      <x:c r="AB43" s="1" t="n">
        <x:v>46076.96668981481</x:v>
      </x:c>
      <x:c r="AC43" s="1" t="str">
        <x:v>Single-Family Home</x:v>
      </x:c>
      <x:c r="AD43" s="1" t="str"/>
      <x:c r="AE43" s="1" t="str">
        <x:v>True</x:v>
      </x:c>
      <x:c r="AF43" s="1" t="str">
        <x:v>21</x:v>
      </x:c>
      <x:c r="AG43" s="1" t="str">
        <x:v>https://offcampus.dasa.ncsu.edu/housing/property/prime-itb-location-one-block-off-ridge-road/ocpbp1v5c9</x:v>
      </x:c>
    </x:row>
    <x:row r="44" ht="15" hidden="0" customHeight="1">
      <x:c r="A44" s="1" t="str">
        <x:v>5x5ph7m</x:v>
      </x:c>
      <x:c r="B44" s="1" t="str">
        <x:v>659141</x:v>
      </x:c>
      <x:c r="C44" s="1" t="str">
        <x:v>py50l7r</x:v>
      </x:c>
      <x:c r="D44" s="5" t="str">
        <x:v>Redpoint Raleigh</x:v>
      </x:c>
      <x:c r="E44" s="5" t="str">
        <x:v>10 Oakdale Dr</x:v>
      </x:c>
      <x:c r="F44" s="1" t="str">
        <x:v>Raleigh</x:v>
      </x:c>
      <x:c r="G44" s="1" t="str">
        <x:v>NC</x:v>
      </x:c>
      <x:c r="H44" s="1" t="str">
        <x:v>27606</x:v>
      </x:c>
      <x:c r="I44" s="1" t="n">
        <x:v>35.785793</x:v>
      </x:c>
      <x:c r="J44" s="1" t="n">
        <x:v>-78.729156</x:v>
      </x:c>
      <x:c r="K44" s="1" t="str">
        <x:v>Main Campus</x:v>
      </x:c>
      <x:c r="L44" s="1" t="str">
        <x:v>2.38</x:v>
      </x:c>
      <x:c r="M44" s="1" t="n">
        <x:v>899</x:v>
      </x:c>
      <x:c r="N44" s="1" t="n">
        <x:v>995</x:v>
      </x:c>
      <x:c r="O44" s="1" t="str">
        <x:v>$899 - $995</x:v>
      </x:c>
      <x:c r="P44" s="1" t="n">
        <x:v>3</x:v>
      </x:c>
      <x:c r="Q44" s="1" t="n">
        <x:v>4</x:v>
      </x:c>
      <x:c r="R44" s="1" t="str">
        <x:v>3 - 4 Beds</x:v>
      </x:c>
      <x:c r="S44" s="1" t="str">
        <x:v>True</x:v>
      </x:c>
      <x:c r="T44" s="1" t="str">
        <x:v>False</x:v>
      </x:c>
      <x:c r="U44" s="1" t="str">
        <x:v>$899 - $995 /Bedroom</x:v>
      </x:c>
      <x:c r="V44" s="1" t="str"/>
      <x:c r="W44" s="1" t="str">
        <x:v>False</x:v>
      </x:c>
      <x:c r="X44" s="1" t="str">
        <x:v>False</x:v>
      </x:c>
      <x:c r="Y44" s="1" t="str"/>
      <x:c r="Z44" s="1" t="str">
        <x:v>False</x:v>
      </x:c>
      <x:c r="AA44" s="1" t="str">
        <x:v>False</x:v>
      </x:c>
      <x:c r="AB44" s="1" t="n">
        <x:v>46269.308842592596</x:v>
      </x:c>
      <x:c r="AC44" s="1" t="str">
        <x:v>Apartment Community</x:v>
      </x:c>
      <x:c r="AD44" s="1" t="n">
        <x:v>149</x:v>
      </x:c>
      <x:c r="AE44" s="1" t="str">
        <x:v>True</x:v>
      </x:c>
      <x:c r="AF44" s="1" t="str">
        <x:v>2</x:v>
      </x:c>
      <x:c r="AG44" s="1" t="str">
        <x:v>https://offcampus.dasa.ncsu.edu/housing/property/redpoint-raleigh/5x5ph7m</x:v>
      </x:c>
    </x:row>
    <x:row r="45" ht="24" hidden="0" customHeight="1">
      <x:c r="A45" s="1" t="str">
        <x:v>ocp5z7c91m</x:v>
      </x:c>
      <x:c r="B45" s="1" t="str">
        <x:v>2097027</x:v>
      </x:c>
      <x:c r="C45" s="1" t="str"/>
      <x:c r="D45" s="5" t="str">
        <x:v>$300 off 1st month's rent! Spacious 3BD/2.5BA Townhome Rental available near NCSU for fall semester!</x:v>
      </x:c>
      <x:c r="E45" s="5" t="str">
        <x:v>608 Brent Road</x:v>
      </x:c>
      <x:c r="F45" s="1" t="str">
        <x:v>Raleigh</x:v>
      </x:c>
      <x:c r="G45" s="1" t="str">
        <x:v>NC</x:v>
      </x:c>
      <x:c r="H45" s="1" t="str">
        <x:v>27606</x:v>
      </x:c>
      <x:c r="I45" s="1" t="n">
        <x:v>35.773756</x:v>
      </x:c>
      <x:c r="J45" s="1" t="n">
        <x:v>-78.696867</x:v>
      </x:c>
      <x:c r="K45" s="1" t="str">
        <x:v>Main Campus</x:v>
      </x:c>
      <x:c r="L45" s="1" t="str">
        <x:v>0.87</x:v>
      </x:c>
      <x:c r="M45" s="1" t="n">
        <x:v>1800</x:v>
      </x:c>
      <x:c r="N45" s="1" t="n">
        <x:v>1800</x:v>
      </x:c>
      <x:c r="O45" s="1" t="str">
        <x:v>$1,800</x:v>
      </x:c>
      <x:c r="P45" s="1" t="n">
        <x:v>3</x:v>
      </x:c>
      <x:c r="Q45" s="1" t="n">
        <x:v>3</x:v>
      </x:c>
      <x:c r="R45" s="1" t="str">
        <x:v>3 Beds</x:v>
      </x:c>
      <x:c r="S45" s="1" t="str">
        <x:v>False</x:v>
      </x:c>
      <x:c r="T45" s="1" t="str">
        <x:v>False</x:v>
      </x:c>
      <x:c r="U45" s="1" t="str">
        <x:v>$1,800</x:v>
      </x:c>
      <x:c r="V45" s="1" t="str"/>
      <x:c r="W45" s="1" t="str">
        <x:v>False</x:v>
      </x:c>
      <x:c r="X45" s="1" t="str">
        <x:v>False</x:v>
      </x:c>
      <x:c r="Y45" s="1" t="str">
        <x:v>12 Month Lease</x:v>
      </x:c>
      <x:c r="Z45" s="1" t="str">
        <x:v>False</x:v>
      </x:c>
      <x:c r="AA45" s="1" t="str">
        <x:v>False</x:v>
      </x:c>
      <x:c r="AB45" s="1" t="n">
        <x:v>46179.91233796296</x:v>
      </x:c>
      <x:c r="AC45" s="1" t="str">
        <x:v>Duplex</x:v>
      </x:c>
      <x:c r="AD45" s="1" t="str"/>
      <x:c r="AE45" s="1" t="str">
        <x:v>True</x:v>
      </x:c>
      <x:c r="AF45" s="1" t="str">
        <x:v>14</x:v>
      </x:c>
      <x:c r="AG45" s="1" t="str">
        <x:v>https://offcampus.dasa.ncsu.edu/housing/property/300-off-1st-months-rent-spacious-3bd-2-5ba-townhome-rental-available-near-ncsu-for-fall-semester/ocp5z7c91m</x:v>
      </x:c>
    </x:row>
    <x:row r="46" ht="15" hidden="0" customHeight="1">
      <x:c r="A46" s="1" t="str">
        <x:v>syvz9l4</x:v>
      </x:c>
      <x:c r="B46" s="1" t="str">
        <x:v>633153</x:v>
      </x:c>
      <x:c r="C46" s="1" t="str">
        <x:v>bxv9bl8</x:v>
      </x:c>
      <x:c r="D46" s="5" t="str">
        <x:v>The Wilde</x:v>
      </x:c>
      <x:c r="E46" s="5" t="str">
        <x:v>3333 Melrose Club Blvd</x:v>
      </x:c>
      <x:c r="F46" s="1" t="str">
        <x:v>Raleigh</x:v>
      </x:c>
      <x:c r="G46" s="1" t="str">
        <x:v>NC</x:v>
      </x:c>
      <x:c r="H46" s="1" t="str">
        <x:v>27603</x:v>
      </x:c>
      <x:c r="I46" s="1" t="n">
        <x:v>35.751208</x:v>
      </x:c>
      <x:c r="J46" s="1" t="n">
        <x:v>-78.691361</x:v>
      </x:c>
      <x:c r="K46" s="1" t="str">
        <x:v>Main Campus</x:v>
      </x:c>
      <x:c r="L46" s="1" t="str">
        <x:v>2.25</x:v>
      </x:c>
      <x:c r="M46" s="1" t="n">
        <x:v>599</x:v>
      </x:c>
      <x:c r="N46" s="1" t="n">
        <x:v>920</x:v>
      </x:c>
      <x:c r="O46" s="1" t="str">
        <x:v>$599 - $920</x:v>
      </x:c>
      <x:c r="P46" s="1" t="n">
        <x:v>2</x:v>
      </x:c>
      <x:c r="Q46" s="1" t="n">
        <x:v>4</x:v>
      </x:c>
      <x:c r="R46" s="1" t="str">
        <x:v>2 - 4 Beds</x:v>
      </x:c>
      <x:c r="S46" s="1" t="str">
        <x:v>True</x:v>
      </x:c>
      <x:c r="T46" s="1" t="str">
        <x:v>False</x:v>
      </x:c>
      <x:c r="U46" s="1" t="str">
        <x:v>$599 - $920 /Bedroom</x:v>
      </x:c>
      <x:c r="V46" s="1" t="str"/>
      <x:c r="W46" s="1" t="str">
        <x:v>False</x:v>
      </x:c>
      <x:c r="X46" s="1" t="str">
        <x:v>False</x:v>
      </x:c>
      <x:c r="Y46" s="1" t="str">
        <x:v>11 Month Lease</x:v>
      </x:c>
      <x:c r="Z46" s="1" t="str">
        <x:v>False</x:v>
      </x:c>
      <x:c r="AA46" s="1" t="str">
        <x:v>False</x:v>
      </x:c>
      <x:c r="AB46" s="1" t="n">
        <x:v>46248.30939814815</x:v>
      </x:c>
      <x:c r="AC46" s="1" t="str">
        <x:v>Apartment Community</x:v>
      </x:c>
      <x:c r="AD46" s="1" t="n">
        <x:v>210</x:v>
      </x:c>
      <x:c r="AE46" s="1" t="str">
        <x:v>True</x:v>
      </x:c>
      <x:c r="AF46" s="1" t="str">
        <x:v>2</x:v>
      </x:c>
      <x:c r="AG46" s="1" t="str">
        <x:v>https://offcampus.dasa.ncsu.edu/housing/property/the-wilde/syvz9l4</x:v>
      </x:c>
    </x:row>
    <x:row r="47" ht="15" hidden="0" customHeight="1">
      <x:c r="A47" s="1" t="str">
        <x:v>ocph8n0fc0</x:v>
      </x:c>
      <x:c r="B47" s="1" t="str">
        <x:v>2268744</x:v>
      </x:c>
      <x:c r="C47" s="1" t="str"/>
      <x:c r="D47" s="5" t="str">
        <x:v>Affordable Student Housing 1 Block from Campus on Wolf Line</x:v>
      </x:c>
      <x:c r="E47" s="5" t="str"/>
      <x:c r="F47" s="1" t="str">
        <x:v>Raleigh</x:v>
      </x:c>
      <x:c r="G47" s="1" t="str">
        <x:v>NC</x:v>
      </x:c>
      <x:c r="H47" s="1" t="str">
        <x:v>27606</x:v>
      </x:c>
      <x:c r="I47" s="1" t="n">
        <x:v>35.782901</x:v>
      </x:c>
      <x:c r="J47" s="1" t="n">
        <x:v>-78.688396</x:v>
      </x:c>
      <x:c r="K47" s="1" t="str">
        <x:v>Main Campus</x:v>
      </x:c>
      <x:c r="L47" s="1" t="str">
        <x:v>0.24</x:v>
      </x:c>
      <x:c r="M47" s="1" t="n">
        <x:v>640</x:v>
      </x:c>
      <x:c r="N47" s="1" t="n">
        <x:v>640</x:v>
      </x:c>
      <x:c r="O47" s="1" t="str">
        <x:v>$640</x:v>
      </x:c>
      <x:c r="P47" s="1" t="n">
        <x:v>4</x:v>
      </x:c>
      <x:c r="Q47" s="1" t="n">
        <x:v>4</x:v>
      </x:c>
      <x:c r="R47" s="1" t="str">
        <x:v>4 Beds</x:v>
      </x:c>
      <x:c r="S47" s="1" t="str">
        <x:v>True</x:v>
      </x:c>
      <x:c r="T47" s="1" t="str">
        <x:v>False</x:v>
      </x:c>
      <x:c r="U47" s="1" t="str">
        <x:v>$640 /Bedroom</x:v>
      </x:c>
      <x:c r="V47" s="1" t="str"/>
      <x:c r="W47" s="1" t="str">
        <x:v>True</x:v>
      </x:c>
      <x:c r="X47" s="1" t="str">
        <x:v>False</x:v>
      </x:c>
      <x:c r="Y47" s="1" t="str">
        <x:v>11 Month Lease</x:v>
      </x:c>
      <x:c r="Z47" s="1" t="str">
        <x:v>True</x:v>
      </x:c>
      <x:c r="AA47" s="1" t="str">
        <x:v>False</x:v>
      </x:c>
      <x:c r="AB47" s="1" t="n">
        <x:v>46216.85928240741</x:v>
      </x:c>
      <x:c r="AC47" s="1" t="str">
        <x:v>Residential Condo Unit For Rent</x:v>
      </x:c>
      <x:c r="AD47" s="1" t="str"/>
      <x:c r="AE47" s="1" t="str">
        <x:v>True</x:v>
      </x:c>
      <x:c r="AF47" s="1" t="str">
        <x:v>6</x:v>
      </x:c>
      <x:c r="AG47" s="1" t="str">
        <x:v>https://offcampus.dasa.ncsu.edu/housing/property/affordable-student-housing-1-block-from-campus-on-wolf-line/ocph8n0fc0</x:v>
      </x:c>
    </x:row>
    <x:row r="48" ht="15" hidden="0" customHeight="1">
      <x:c r="A48" s="1" t="str">
        <x:v>61y0ywr</x:v>
      </x:c>
      <x:c r="B48" s="1" t="str">
        <x:v>1512903</x:v>
      </x:c>
      <x:c r="C48" s="1" t="str">
        <x:v>n2ypxwm</x:v>
      </x:c>
      <x:c r="D48" s="5" t="str">
        <x:v>Hub Raleigh</x:v>
      </x:c>
      <x:c r="E48" s="5" t="str">
        <x:v>111 Cox Ave</x:v>
      </x:c>
      <x:c r="F48" s="1" t="str">
        <x:v>Raleigh</x:v>
      </x:c>
      <x:c r="G48" s="1" t="str">
        <x:v>NC</x:v>
      </x:c>
      <x:c r="H48" s="1" t="str">
        <x:v>27605</x:v>
      </x:c>
      <x:c r="I48" s="1" t="n">
        <x:v>35.784382</x:v>
      </x:c>
      <x:c r="J48" s="1" t="n">
        <x:v>-78.660298</x:v>
      </x:c>
      <x:c r="K48" s="1" t="str">
        <x:v>Main Campus</x:v>
      </x:c>
      <x:c r="L48" s="1" t="str">
        <x:v>0.24</x:v>
      </x:c>
      <x:c r="M48" s="1" t="n">
        <x:v>799</x:v>
      </x:c>
      <x:c r="N48" s="1" t="n">
        <x:v>1599</x:v>
      </x:c>
      <x:c r="O48" s="1" t="str">
        <x:v>$799 - $1,599</x:v>
      </x:c>
      <x:c r="P48" s="1" t="n">
        <x:v>0</x:v>
      </x:c>
      <x:c r="Q48" s="1" t="n">
        <x:v>4</x:v>
      </x:c>
      <x:c r="R48" s="1" t="str">
        <x:v>Studio - 4 Beds</x:v>
      </x:c>
      <x:c r="S48" s="1" t="str">
        <x:v>False</x:v>
      </x:c>
      <x:c r="T48" s="1" t="str">
        <x:v>False</x:v>
      </x:c>
      <x:c r="U48" s="1" t="str">
        <x:v>$799 - $1,599</x:v>
      </x:c>
      <x:c r="V48" s="1" t="str"/>
      <x:c r="W48" s="1" t="str">
        <x:v>False</x:v>
      </x:c>
      <x:c r="X48" s="1" t="str">
        <x:v>False</x:v>
      </x:c>
      <x:c r="Y48" s="1" t="str">
        <x:v>11 Month Lease</x:v>
      </x:c>
      <x:c r="Z48" s="1" t="str">
        <x:v>False</x:v>
      </x:c>
      <x:c r="AA48" s="1" t="str">
        <x:v>False</x:v>
      </x:c>
      <x:c r="AB48" s="1" t="n">
        <x:v>46262.326006944444</x:v>
      </x:c>
      <x:c r="AC48" s="1" t="str">
        <x:v>Apartment Community</x:v>
      </x:c>
      <x:c r="AD48" s="1" t="n">
        <x:v>665</x:v>
      </x:c>
      <x:c r="AE48" s="1" t="str">
        <x:v>True</x:v>
      </x:c>
      <x:c r="AF48" s="1" t="str">
        <x:v>2</x:v>
      </x:c>
      <x:c r="AG48" s="1" t="str">
        <x:v>https://offcampus.dasa.ncsu.edu/housing/property/hub-raleigh/61y0ywr</x:v>
      </x:c>
    </x:row>
    <x:row r="49" ht="15" hidden="0" customHeight="1">
      <x:c r="A49" s="1" t="str">
        <x:v>ocp1tnqde5</x:v>
      </x:c>
      <x:c r="B49" s="1" t="str">
        <x:v>1754373</x:v>
      </x:c>
      <x:c r="C49" s="1" t="str"/>
      <x:c r="D49" s="5" t="str">
        <x:v>2 blocks from central campus, 2 blocks from Village District!</x:v>
      </x:c>
      <x:c r="E49" s="5" t="str">
        <x:v>2208 Garden Place</x:v>
      </x:c>
      <x:c r="F49" s="1" t="str">
        <x:v>Raleigh</x:v>
      </x:c>
      <x:c r="G49" s="1" t="str">
        <x:v>NC</x:v>
      </x:c>
      <x:c r="H49" s="1" t="str">
        <x:v>27607</x:v>
      </x:c>
      <x:c r="I49" s="1" t="n">
        <x:v>35.7886</x:v>
      </x:c>
      <x:c r="J49" s="1" t="n">
        <x:v>-78.66418</x:v>
      </x:c>
      <x:c r="K49" s="1" t="str">
        <x:v>Main Campus</x:v>
      </x:c>
      <x:c r="L49" s="1" t="str">
        <x:v>0.24</x:v>
      </x:c>
      <x:c r="M49" s="1" t="n">
        <x:v>3900</x:v>
      </x:c>
      <x:c r="N49" s="1" t="n">
        <x:v>3900</x:v>
      </x:c>
      <x:c r="O49" s="1" t="str">
        <x:v>$3,900</x:v>
      </x:c>
      <x:c r="P49" s="1" t="n">
        <x:v>4</x:v>
      </x:c>
      <x:c r="Q49" s="1" t="n">
        <x:v>4</x:v>
      </x:c>
      <x:c r="R49" s="1" t="str">
        <x:v>4 Beds</x:v>
      </x:c>
      <x:c r="S49" s="1" t="str">
        <x:v>False</x:v>
      </x:c>
      <x:c r="T49" s="1" t="str">
        <x:v>False</x:v>
      </x:c>
      <x:c r="U49" s="1" t="str">
        <x:v>$3,900</x:v>
      </x:c>
      <x:c r="V49" s="1" t="str"/>
      <x:c r="W49" s="1" t="str">
        <x:v>False</x:v>
      </x:c>
      <x:c r="X49" s="1" t="str">
        <x:v>False</x:v>
      </x:c>
      <x:c r="Y49" s="1" t="str">
        <x:v>12 Month Lease</x:v>
      </x:c>
      <x:c r="Z49" s="1" t="str">
        <x:v>False</x:v>
      </x:c>
      <x:c r="AA49" s="1" t="str">
        <x:v>False</x:v>
      </x:c>
      <x:c r="AB49" s="1" t="n">
        <x:v>45966.69193287037</x:v>
      </x:c>
      <x:c r="AC49" s="1" t="str">
        <x:v>Apartment Community</x:v>
      </x:c>
      <x:c r="AD49" s="1" t="str"/>
      <x:c r="AE49" s="1" t="str">
        <x:v>True</x:v>
      </x:c>
      <x:c r="AF49" s="1" t="str">
        <x:v>4</x:v>
      </x:c>
      <x:c r="AG49" s="1" t="str">
        <x:v>https://offcampus.dasa.ncsu.edu/housing/property/2-blocks-from-central-campus-2-blocks-from-village-district/ocp1tnqde5</x:v>
      </x:c>
    </x:row>
    <x:row r="50" ht="15" hidden="0" customHeight="1">
      <x:c r="A50" s="1" t="str">
        <x:v>dw0f7sh</x:v>
      </x:c>
      <x:c r="B50" s="1" t="str">
        <x:v>982126</x:v>
      </x:c>
      <x:c r="C50" s="1" t="str">
        <x:v>zz0r4sw</x:v>
      </x:c>
      <x:c r="D50" s="5" t="str">
        <x:v>Campus Edge</x:v>
      </x:c>
      <x:c r="E50" s="5" t="str">
        <x:v>3551 Cum Laude Ct</x:v>
      </x:c>
      <x:c r="F50" s="1" t="str">
        <x:v>Raleigh</x:v>
      </x:c>
      <x:c r="G50" s="1" t="str">
        <x:v>NC</x:v>
      </x:c>
      <x:c r="H50" s="1" t="str">
        <x:v>27606</x:v>
      </x:c>
      <x:c r="I50" s="1" t="n">
        <x:v>35.754317</x:v>
      </x:c>
      <x:c r="J50" s="1" t="n">
        <x:v>-78.697608</x:v>
      </x:c>
      <x:c r="K50" s="1" t="str">
        <x:v>Main Campus</x:v>
      </x:c>
      <x:c r="L50" s="1" t="str">
        <x:v>2.11</x:v>
      </x:c>
      <x:c r="M50" s="1" t="n">
        <x:v>955</x:v>
      </x:c>
      <x:c r="N50" s="1" t="n">
        <x:v>980</x:v>
      </x:c>
      <x:c r="O50" s="1" t="str">
        <x:v>$955 - $980</x:v>
      </x:c>
      <x:c r="P50" s="1" t="n">
        <x:v>3</x:v>
      </x:c>
      <x:c r="Q50" s="1" t="n">
        <x:v>3</x:v>
      </x:c>
      <x:c r="R50" s="1" t="str">
        <x:v>3 Beds</x:v>
      </x:c>
      <x:c r="S50" s="1" t="str">
        <x:v>True</x:v>
      </x:c>
      <x:c r="T50" s="1" t="str">
        <x:v>False</x:v>
      </x:c>
      <x:c r="U50" s="1" t="str">
        <x:v>$955 - $980 /Bedroom</x:v>
      </x:c>
      <x:c r="V50" s="1" t="str"/>
      <x:c r="W50" s="1" t="str">
        <x:v>False</x:v>
      </x:c>
      <x:c r="X50" s="1" t="str">
        <x:v>False</x:v>
      </x:c>
      <x:c r="Y50" s="1" t="str">
        <x:v>11 Month Lease</x:v>
      </x:c>
      <x:c r="Z50" s="1" t="str">
        <x:v>False</x:v>
      </x:c>
      <x:c r="AA50" s="1" t="str">
        <x:v>False</x:v>
      </x:c>
      <x:c r="AB50" s="1" t="n">
        <x:v>46253.307488425926</x:v>
      </x:c>
      <x:c r="AC50" s="1" t="str">
        <x:v>Apartment Community</x:v>
      </x:c>
      <x:c r="AD50" s="1" t="n">
        <x:v>546</x:v>
      </x:c>
      <x:c r="AE50" s="1" t="str">
        <x:v>True</x:v>
      </x:c>
      <x:c r="AF50" s="1" t="str">
        <x:v>2</x:v>
      </x:c>
      <x:c r="AG50" s="1" t="str">
        <x:v>https://offcampus.dasa.ncsu.edu/housing/property/campus-edge/dw0f7sh</x:v>
      </x:c>
    </x:row>
    <x:row r="51" ht="15" hidden="0" customHeight="1">
      <x:c r="A51" s="1" t="str">
        <x:v>ocp85fz0j3</x:v>
      </x:c>
      <x:c r="B51" s="1" t="str">
        <x:v>1622605</x:v>
      </x:c>
      <x:c r="C51" s="1" t="str"/>
      <x:c r="D51" s="5" t="str">
        <x:v>Brand-New 4BR Townhomes - Eight at State</x:v>
      </x:c>
      <x:c r="E51" s="5" t="str">
        <x:v>4204 Reavis Road</x:v>
      </x:c>
      <x:c r="F51" s="1" t="str">
        <x:v>Raleigh</x:v>
      </x:c>
      <x:c r="G51" s="1" t="str">
        <x:v>NC</x:v>
      </x:c>
      <x:c r="H51" s="1" t="str">
        <x:v>27606</x:v>
      </x:c>
      <x:c r="I51" s="1" t="n">
        <x:v>35.785424</x:v>
      </x:c>
      <x:c r="J51" s="1" t="n">
        <x:v>-78.6963</x:v>
      </x:c>
      <x:c r="K51" s="1" t="str">
        <x:v>Main Campus</x:v>
      </x:c>
      <x:c r="L51" s="1" t="str">
        <x:v>0.36</x:v>
      </x:c>
      <x:c r="M51" s="1" t="n">
        <x:v>4000</x:v>
      </x:c>
      <x:c r="N51" s="1" t="n">
        <x:v>4000</x:v>
      </x:c>
      <x:c r="O51" s="1" t="str">
        <x:v>$4,000</x:v>
      </x:c>
      <x:c r="P51" s="1" t="n">
        <x:v>4</x:v>
      </x:c>
      <x:c r="Q51" s="1" t="n">
        <x:v>4</x:v>
      </x:c>
      <x:c r="R51" s="1" t="str">
        <x:v>4 Beds</x:v>
      </x:c>
      <x:c r="S51" s="1" t="str">
        <x:v>False</x:v>
      </x:c>
      <x:c r="T51" s="1" t="str">
        <x:v>False</x:v>
      </x:c>
      <x:c r="U51" s="1" t="str">
        <x:v>$4,000</x:v>
      </x:c>
      <x:c r="V51" s="1" t="str"/>
      <x:c r="W51" s="1" t="str">
        <x:v>False</x:v>
      </x:c>
      <x:c r="X51" s="1" t="str">
        <x:v>False</x:v>
      </x:c>
      <x:c r="Y51" s="1" t="str">
        <x:v>12 Month Lease</x:v>
      </x:c>
      <x:c r="Z51" s="1" t="str">
        <x:v>False</x:v>
      </x:c>
      <x:c r="AA51" s="1" t="str">
        <x:v>False</x:v>
      </x:c>
      <x:c r="AB51" s="1" t="n">
        <x:v>45933.819861111115</x:v>
      </x:c>
      <x:c r="AC51" s="1" t="str">
        <x:v>Townhome</x:v>
      </x:c>
      <x:c r="AD51" s="1" t="str"/>
      <x:c r="AE51" s="1" t="str">
        <x:v>True</x:v>
      </x:c>
      <x:c r="AF51" s="1" t="str">
        <x:v>9</x:v>
      </x:c>
      <x:c r="AG51" s="1" t="str">
        <x:v>https://offcampus.dasa.ncsu.edu/housing/property/brand-new-4br-townhomes-eight-at-state/ocp85fz0j3</x:v>
      </x:c>
    </x:row>
    <x:row r="52" ht="15" hidden="0" customHeight="1">
      <x:c r="A52" s="1" t="str">
        <x:v>zfcjzqy</x:v>
      </x:c>
      <x:c r="B52" s="1" t="str">
        <x:v>694234</x:v>
      </x:c>
      <x:c r="C52" s="1" t="str">
        <x:v>dec7wqk</x:v>
      </x:c>
      <x:c r="D52" s="5" t="str">
        <x:v>Yugo Raleigh Logan</x:v>
      </x:c>
      <x:c r="E52" s="5" t="str">
        <x:v>102 Logan Ct</x:v>
      </x:c>
      <x:c r="F52" s="1" t="str">
        <x:v>Raleigh</x:v>
      </x:c>
      <x:c r="G52" s="1" t="str">
        <x:v>NC</x:v>
      </x:c>
      <x:c r="H52" s="1" t="str">
        <x:v>27607</x:v>
      </x:c>
      <x:c r="I52" s="1" t="n">
        <x:v>35.788293</x:v>
      </x:c>
      <x:c r="J52" s="1" t="n">
        <x:v>-78.665382</x:v>
      </x:c>
      <x:c r="K52" s="1" t="str">
        <x:v>Main Campus</x:v>
      </x:c>
      <x:c r="L52" s="1" t="str">
        <x:v>0.27</x:v>
      </x:c>
      <x:c r="M52" s="1" t="n">
        <x:v>999</x:v>
      </x:c>
      <x:c r="N52" s="1" t="n">
        <x:v>1879</x:v>
      </x:c>
      <x:c r="O52" s="1" t="str">
        <x:v>$999 - $1,879</x:v>
      </x:c>
      <x:c r="P52" s="1" t="n">
        <x:v>1</x:v>
      </x:c>
      <x:c r="Q52" s="1" t="n">
        <x:v>4</x:v>
      </x:c>
      <x:c r="R52" s="1" t="str">
        <x:v>1 - 4 Beds</x:v>
      </x:c>
      <x:c r="S52" s="1" t="str">
        <x:v>False</x:v>
      </x:c>
      <x:c r="T52" s="1" t="str">
        <x:v>False</x:v>
      </x:c>
      <x:c r="U52" s="1" t="str">
        <x:v>$999 - $1,879</x:v>
      </x:c>
      <x:c r="V52" s="1" t="str"/>
      <x:c r="W52" s="1" t="str">
        <x:v>False</x:v>
      </x:c>
      <x:c r="X52" s="1" t="str">
        <x:v>False</x:v>
      </x:c>
      <x:c r="Y52" s="1" t="str">
        <x:v>11 Month Lease</x:v>
      </x:c>
      <x:c r="Z52" s="1" t="str">
        <x:v>False</x:v>
      </x:c>
      <x:c r="AA52" s="1" t="str">
        <x:v>False</x:v>
      </x:c>
      <x:c r="AB52" s="1" t="n">
        <x:v>46262.30930555556</x:v>
      </x:c>
      <x:c r="AC52" s="1" t="str">
        <x:v>Apartment Community</x:v>
      </x:c>
      <x:c r="AD52" s="1" t="n">
        <x:v>121</x:v>
      </x:c>
      <x:c r="AE52" s="1" t="str">
        <x:v>True</x:v>
      </x:c>
      <x:c r="AF52" s="1" t="str">
        <x:v>2</x:v>
      </x:c>
      <x:c r="AG52" s="1" t="str">
        <x:v>https://offcampus.dasa.ncsu.edu/housing/property/yugo-raleigh-logan/zfcjzqy</x:v>
      </x:c>
    </x:row>
    <x:row r="53" ht="24" hidden="0" customHeight="1">
      <x:c r="A53" s="1" t="str">
        <x:v>ocpx3vt61n</x:v>
      </x:c>
      <x:c r="B53" s="1" t="str">
        <x:v>2257450</x:v>
      </x:c>
      <x:c r="C53" s="1" t="str"/>
      <x:c r="D53" s="5" t="str">
        <x:v>FURNISHED NCSU STUDENT HOUSING – TOWNHOME ROOM RENTAL WITH PRIVATE BATHROOM ($850/room)</x:v>
      </x:c>
      <x:c r="E53" s="5" t="str">
        <x:v>37 Red Lane</x:v>
      </x:c>
      <x:c r="F53" s="1" t="str">
        <x:v>Raleigh</x:v>
      </x:c>
      <x:c r="G53" s="1" t="str">
        <x:v>NC</x:v>
      </x:c>
      <x:c r="H53" s="1" t="str">
        <x:v>27606</x:v>
      </x:c>
      <x:c r="I53" s="1" t="n">
        <x:v>35.784785</x:v>
      </x:c>
      <x:c r="J53" s="1" t="n">
        <x:v>-78.724642</x:v>
      </x:c>
      <x:c r="K53" s="1" t="str">
        <x:v>Main Campus</x:v>
      </x:c>
      <x:c r="L53" s="1" t="str">
        <x:v>2.1</x:v>
      </x:c>
      <x:c r="M53" s="1" t="n">
        <x:v>850</x:v>
      </x:c>
      <x:c r="N53" s="1" t="n">
        <x:v>850</x:v>
      </x:c>
      <x:c r="O53" s="1" t="str">
        <x:v>$850</x:v>
      </x:c>
      <x:c r="P53" s="1" t="n">
        <x:v>3</x:v>
      </x:c>
      <x:c r="Q53" s="1" t="n">
        <x:v>3</x:v>
      </x:c>
      <x:c r="R53" s="1" t="str">
        <x:v>3 Beds</x:v>
      </x:c>
      <x:c r="S53" s="1" t="str">
        <x:v>True</x:v>
      </x:c>
      <x:c r="T53" s="1" t="str">
        <x:v>False</x:v>
      </x:c>
      <x:c r="U53" s="1" t="str">
        <x:v>$850 /Bedroom</x:v>
      </x:c>
      <x:c r="V53" s="1" t="str"/>
      <x:c r="W53" s="1" t="str">
        <x:v>False</x:v>
      </x:c>
      <x:c r="X53" s="1" t="str">
        <x:v>False</x:v>
      </x:c>
      <x:c r="Y53" s="1" t="str">
        <x:v>12 Month Lease</x:v>
      </x:c>
      <x:c r="Z53" s="1" t="str">
        <x:v>False</x:v>
      </x:c>
      <x:c r="AA53" s="1" t="str">
        <x:v>False</x:v>
      </x:c>
      <x:c r="AB53" s="1" t="n">
        <x:v>46245.06570601852</x:v>
      </x:c>
      <x:c r="AC53" s="1" t="str">
        <x:v>Townhome</x:v>
      </x:c>
      <x:c r="AD53" s="1" t="str"/>
      <x:c r="AE53" s="1" t="str">
        <x:v>True</x:v>
      </x:c>
      <x:c r="AF53" s="1" t="str">
        <x:v>11</x:v>
      </x:c>
      <x:c r="AG53" s="1" t="str">
        <x:v>https://offcampus.dasa.ncsu.edu/housing/property/furnished-ncsu-student-housing-townhome-room-rental-with-private-bathroom-850-room/ocpx3vt61n</x:v>
      </x:c>
    </x:row>
    <x:row r="54" ht="15" hidden="0" customHeight="1">
      <x:c r="A54" s="1" t="str">
        <x:v>9rxe6j6</x:v>
      </x:c>
      <x:c r="B54" s="1" t="str">
        <x:v>654063</x:v>
      </x:c>
      <x:c r="C54" s="1" t="str">
        <x:v>tvxv5jb</x:v>
      </x:c>
      <x:c r="D54" s="5" t="str">
        <x:v>The Dakota</x:v>
      </x:c>
      <x:c r="E54" s="5" t="str">
        <x:v>1201 Pine Haven Dr</x:v>
      </x:c>
      <x:c r="F54" s="1" t="str">
        <x:v>Raleigh</x:v>
      </x:c>
      <x:c r="G54" s="1" t="str">
        <x:v>NC</x:v>
      </x:c>
      <x:c r="H54" s="1" t="str">
        <x:v>27607</x:v>
      </x:c>
      <x:c r="I54" s="1" t="n">
        <x:v>35.798105</x:v>
      </x:c>
      <x:c r="J54" s="1" t="n">
        <x:v>-78.735625</x:v>
      </x:c>
      <x:c r="K54" s="1" t="str">
        <x:v>Main Campus</x:v>
      </x:c>
      <x:c r="L54" s="1" t="str">
        <x:v>3.15</x:v>
      </x:c>
      <x:c r="M54" s="1" t="n">
        <x:v>1316</x:v>
      </x:c>
      <x:c r="N54" s="1" t="n">
        <x:v>2017</x:v>
      </x:c>
      <x:c r="O54" s="1" t="str">
        <x:v>$1,316 - $2,017</x:v>
      </x:c>
      <x:c r="P54" s="1" t="n">
        <x:v>1</x:v>
      </x:c>
      <x:c r="Q54" s="1" t="n">
        <x:v>3</x:v>
      </x:c>
      <x:c r="R54" s="1" t="str">
        <x:v>1 - 3 Beds</x:v>
      </x:c>
      <x:c r="S54" s="1" t="str">
        <x:v>False</x:v>
      </x:c>
      <x:c r="T54" s="1" t="str">
        <x:v>False</x:v>
      </x:c>
      <x:c r="U54" s="1" t="str">
        <x:v>$1,316 - $2,017</x:v>
      </x:c>
      <x:c r="V54" s="1" t="str"/>
      <x:c r="W54" s="1" t="str">
        <x:v>False</x:v>
      </x:c>
      <x:c r="X54" s="1" t="str">
        <x:v>False</x:v>
      </x:c>
      <x:c r="Y54" s="1" t="str"/>
      <x:c r="Z54" s="1" t="str">
        <x:v>False</x:v>
      </x:c>
      <x:c r="AA54" s="1" t="str">
        <x:v>False</x:v>
      </x:c>
      <x:c r="AB54" s="1" t="n">
        <x:v>46273.30726851852</x:v>
      </x:c>
      <x:c r="AC54" s="1" t="str">
        <x:v>Apartment Community</x:v>
      </x:c>
      <x:c r="AD54" s="1" t="n">
        <x:v>314</x:v>
      </x:c>
      <x:c r="AE54" s="1" t="str">
        <x:v>True</x:v>
      </x:c>
      <x:c r="AF54" s="1" t="str">
        <x:v>2</x:v>
      </x:c>
      <x:c r="AG54" s="1" t="str">
        <x:v>https://offcampus.dasa.ncsu.edu/housing/property/the-dakota/9rxe6j6</x:v>
      </x:c>
    </x:row>
    <x:row r="55" ht="15" hidden="0" customHeight="1">
      <x:c r="A55" s="1" t="str">
        <x:v>ocp5km4x4p</x:v>
      </x:c>
      <x:c r="B55" s="1" t="str">
        <x:v>1644490</x:v>
      </x:c>
      <x:c r="C55" s="1" t="str"/>
      <x:c r="D55" s="5" t="str">
        <x:v>Private Townhome in North Raleigh</x:v>
      </x:c>
      <x:c r="E55" s="5" t="str">
        <x:v>7301-A Leesville Road</x:v>
      </x:c>
      <x:c r="F55" s="1" t="str">
        <x:v>Raleigh</x:v>
      </x:c>
      <x:c r="G55" s="1" t="str">
        <x:v>NC</x:v>
      </x:c>
      <x:c r="H55" s="1" t="str">
        <x:v>27613</x:v>
      </x:c>
      <x:c r="I55" s="1" t="n">
        <x:v>35.86681</x:v>
      </x:c>
      <x:c r="J55" s="1" t="n">
        <x:v>-78.69826</x:v>
      </x:c>
      <x:c r="K55" s="1" t="str">
        <x:v>Main Campus</x:v>
      </x:c>
      <x:c r="L55" s="1" t="str">
        <x:v>7.22</x:v>
      </x:c>
      <x:c r="M55" s="1" t="n">
        <x:v>1495</x:v>
      </x:c>
      <x:c r="N55" s="1" t="n">
        <x:v>1495</x:v>
      </x:c>
      <x:c r="O55" s="1" t="str">
        <x:v>$1,495</x:v>
      </x:c>
      <x:c r="P55" s="1" t="n">
        <x:v>2</x:v>
      </x:c>
      <x:c r="Q55" s="1" t="n">
        <x:v>2</x:v>
      </x:c>
      <x:c r="R55" s="1" t="str">
        <x:v>2 Beds</x:v>
      </x:c>
      <x:c r="S55" s="1" t="str">
        <x:v>False</x:v>
      </x:c>
      <x:c r="T55" s="1" t="str">
        <x:v>False</x:v>
      </x:c>
      <x:c r="U55" s="1" t="str">
        <x:v>$1,495</x:v>
      </x:c>
      <x:c r="V55" s="1" t="str"/>
      <x:c r="W55" s="1" t="str">
        <x:v>False</x:v>
      </x:c>
      <x:c r="X55" s="1" t="str">
        <x:v>False</x:v>
      </x:c>
      <x:c r="Y55" s="1" t="str">
        <x:v>12 Month Lease</x:v>
      </x:c>
      <x:c r="Z55" s="1" t="str">
        <x:v>False</x:v>
      </x:c>
      <x:c r="AA55" s="1" t="str">
        <x:v>False</x:v>
      </x:c>
      <x:c r="AB55" s="1" t="n">
        <x:v>46248.7449537037</x:v>
      </x:c>
      <x:c r="AC55" s="1" t="str">
        <x:v>Townhome</x:v>
      </x:c>
      <x:c r="AD55" s="1" t="str"/>
      <x:c r="AE55" s="1" t="str">
        <x:v>True</x:v>
      </x:c>
      <x:c r="AF55" s="1" t="str">
        <x:v>7</x:v>
      </x:c>
      <x:c r="AG55" s="1" t="str">
        <x:v>https://offcampus.dasa.ncsu.edu/housing/property/private-townhome-in-north-raleigh/ocp5km4x4p</x:v>
      </x:c>
    </x:row>
    <x:row r="56" ht="15" hidden="0" customHeight="1">
      <x:c r="A56" s="1" t="str">
        <x:v>xr4rsmq</x:v>
      </x:c>
      <x:c r="B56" s="1" t="str">
        <x:v>2375281</x:v>
      </x:c>
      <x:c r="C56" s="1" t="str">
        <x:v>fv4ftmv</x:v>
      </x:c>
      <x:c r="D56" s="5" t="str">
        <x:v>Pine Knoll Apartments</x:v>
      </x:c>
      <x:c r="E56" s="5" t="str">
        <x:v>2435-2509 Avent Ferry Rd</x:v>
      </x:c>
      <x:c r="F56" s="1" t="str">
        <x:v>Raleigh</x:v>
      </x:c>
      <x:c r="G56" s="1" t="str">
        <x:v>NC</x:v>
      </x:c>
      <x:c r="H56" s="1" t="str">
        <x:v>27606</x:v>
      </x:c>
      <x:c r="I56" s="1" t="n">
        <x:v>35.773534</x:v>
      </x:c>
      <x:c r="J56" s="1" t="n">
        <x:v>-78.682627</x:v>
      </x:c>
      <x:c r="K56" s="1" t="str">
        <x:v>Main Campus</x:v>
      </x:c>
      <x:c r="L56" s="1" t="str">
        <x:v>0.17</x:v>
      </x:c>
      <x:c r="M56" s="1" t="n">
        <x:v>1095</x:v>
      </x:c>
      <x:c r="N56" s="1" t="n">
        <x:v>1095</x:v>
      </x:c>
      <x:c r="O56" s="1" t="str">
        <x:v>$1,095</x:v>
      </x:c>
      <x:c r="P56" s="1" t="n">
        <x:v>1</x:v>
      </x:c>
      <x:c r="Q56" s="1" t="n">
        <x:v>1</x:v>
      </x:c>
      <x:c r="R56" s="1" t="str">
        <x:v>1 Bed</x:v>
      </x:c>
      <x:c r="S56" s="1" t="str">
        <x:v>False</x:v>
      </x:c>
      <x:c r="T56" s="1" t="str">
        <x:v>False</x:v>
      </x:c>
      <x:c r="U56" s="1" t="str">
        <x:v>$1,095</x:v>
      </x:c>
      <x:c r="V56" s="1" t="str"/>
      <x:c r="W56" s="1" t="str">
        <x:v>False</x:v>
      </x:c>
      <x:c r="X56" s="1" t="str">
        <x:v>False</x:v>
      </x:c>
      <x:c r="Y56" s="1" t="str"/>
      <x:c r="Z56" s="1" t="str">
        <x:v>False</x:v>
      </x:c>
      <x:c r="AA56" s="1" t="str">
        <x:v>False</x:v>
      </x:c>
      <x:c r="AB56" s="1" t="n">
        <x:v>46267.331828703704</x:v>
      </x:c>
      <x:c r="AC56" s="1" t="str">
        <x:v>Apartment Community</x:v>
      </x:c>
      <x:c r="AD56" s="1" t="n">
        <x:v>72</x:v>
      </x:c>
      <x:c r="AE56" s="1" t="str">
        <x:v>True</x:v>
      </x:c>
      <x:c r="AF56" s="1" t="str">
        <x:v>2</x:v>
      </x:c>
      <x:c r="AG56" s="1" t="str">
        <x:v>https://offcampus.dasa.ncsu.edu/housing/property/pine-knoll-apartments/xr4rsmq</x:v>
      </x:c>
    </x:row>
    <x:row r="57" ht="24" hidden="0" customHeight="1">
      <x:c r="A57" s="1" t="str">
        <x:v>ocpwwwe8yh</x:v>
      </x:c>
      <x:c r="B57" s="1" t="str">
        <x:v>2253444</x:v>
      </x:c>
      <x:c r="C57" s="1" t="str"/>
      <x:c r="D57" s="5" t="str">
        <x:v>FURNISHED TOWNHOME RENTAL – 10 Mins to NCSU - 3 Bedroom - starting $750 per room</x:v>
      </x:c>
      <x:c r="E57" s="5" t="str">
        <x:v>727 Maypearl Lane</x:v>
      </x:c>
      <x:c r="F57" s="1" t="str">
        <x:v>Raleigh</x:v>
      </x:c>
      <x:c r="G57" s="1" t="str">
        <x:v>NC</x:v>
      </x:c>
      <x:c r="H57" s="1" t="str">
        <x:v>27610</x:v>
      </x:c>
      <x:c r="I57" s="1" t="n">
        <x:v>35.739252</x:v>
      </x:c>
      <x:c r="J57" s="1" t="n">
        <x:v>-78.628621</x:v>
      </x:c>
      <x:c r="K57" s="1" t="str">
        <x:v>Main Campus</x:v>
      </x:c>
      <x:c r="L57" s="1" t="str">
        <x:v>4.37</x:v>
      </x:c>
      <x:c r="M57" s="1" t="n">
        <x:v>750</x:v>
      </x:c>
      <x:c r="N57" s="1" t="n">
        <x:v>750</x:v>
      </x:c>
      <x:c r="O57" s="1" t="str">
        <x:v>$750</x:v>
      </x:c>
      <x:c r="P57" s="1" t="n">
        <x:v>4</x:v>
      </x:c>
      <x:c r="Q57" s="1" t="n">
        <x:v>4</x:v>
      </x:c>
      <x:c r="R57" s="1" t="str">
        <x:v>4 Beds</x:v>
      </x:c>
      <x:c r="S57" s="1" t="str">
        <x:v>True</x:v>
      </x:c>
      <x:c r="T57" s="1" t="str">
        <x:v>False</x:v>
      </x:c>
      <x:c r="U57" s="1" t="str">
        <x:v>$750 /Bedroom</x:v>
      </x:c>
      <x:c r="V57" s="1" t="str"/>
      <x:c r="W57" s="1" t="str">
        <x:v>True</x:v>
      </x:c>
      <x:c r="X57" s="1" t="str">
        <x:v>False</x:v>
      </x:c>
      <x:c r="Y57" s="1" t="str">
        <x:v>12 Month Lease</x:v>
      </x:c>
      <x:c r="Z57" s="1" t="str">
        <x:v>False</x:v>
      </x:c>
      <x:c r="AA57" s="1" t="str">
        <x:v>False</x:v>
      </x:c>
      <x:c r="AB57" s="1" t="n">
        <x:v>46245.06791666667</x:v>
      </x:c>
      <x:c r="AC57" s="1" t="str">
        <x:v>Townhome</x:v>
      </x:c>
      <x:c r="AD57" s="1" t="str"/>
      <x:c r="AE57" s="1" t="str">
        <x:v>True</x:v>
      </x:c>
      <x:c r="AF57" s="1" t="str">
        <x:v>17</x:v>
      </x:c>
      <x:c r="AG57" s="1" t="str">
        <x:v>https://offcampus.dasa.ncsu.edu/housing/property/furnished-townhome-rental-10-mins-to-ncsu-3-bedroom-starting-750-per-room/ocpwwwe8yh</x:v>
      </x:c>
    </x:row>
    <x:row r="58" ht="15" hidden="0" customHeight="1">
      <x:c r="A58" s="1" t="str">
        <x:v>5je4q3n</x:v>
      </x:c>
      <x:c r="B58" s="1" t="str">
        <x:v>1920646</x:v>
      </x:c>
      <x:c r="C58" s="1" t="str">
        <x:v>pkekm3s</x:v>
      </x:c>
      <x:c r="D58" s="5" t="str">
        <x:v>Signature 1505</x:v>
      </x:c>
      <x:c r="E58" s="5" t="str">
        <x:v>1505 Hillsborough St</x:v>
      </x:c>
      <x:c r="F58" s="1" t="str">
        <x:v>Raleigh</x:v>
      </x:c>
      <x:c r="G58" s="1" t="str">
        <x:v>NC</x:v>
      </x:c>
      <x:c r="H58" s="1" t="str">
        <x:v>27605</x:v>
      </x:c>
      <x:c r="I58" s="1" t="n">
        <x:v>35.78383</x:v>
      </x:c>
      <x:c r="J58" s="1" t="n">
        <x:v>-78.658382</x:v>
      </x:c>
      <x:c r="K58" s="1" t="str">
        <x:v>Main Campus</x:v>
      </x:c>
      <x:c r="L58" s="1" t="str">
        <x:v>0.34</x:v>
      </x:c>
      <x:c r="M58" s="1" t="n">
        <x:v>650</x:v>
      </x:c>
      <x:c r="N58" s="1" t="n">
        <x:v>1305</x:v>
      </x:c>
      <x:c r="O58" s="1" t="str">
        <x:v>$650 - $1,305</x:v>
      </x:c>
      <x:c r="P58" s="1" t="n">
        <x:v>2</x:v>
      </x:c>
      <x:c r="Q58" s="1" t="n">
        <x:v>4</x:v>
      </x:c>
      <x:c r="R58" s="1" t="str">
        <x:v>2 - 4 Beds</x:v>
      </x:c>
      <x:c r="S58" s="1" t="str">
        <x:v>True</x:v>
      </x:c>
      <x:c r="T58" s="1" t="str">
        <x:v>False</x:v>
      </x:c>
      <x:c r="U58" s="1" t="str">
        <x:v>$650 - $1,305 /Bedroom</x:v>
      </x:c>
      <x:c r="V58" s="1" t="str"/>
      <x:c r="W58" s="1" t="str">
        <x:v>False</x:v>
      </x:c>
      <x:c r="X58" s="1" t="str">
        <x:v>False</x:v>
      </x:c>
      <x:c r="Y58" s="1" t="str">
        <x:v>11 Month Lease</x:v>
      </x:c>
      <x:c r="Z58" s="1" t="str">
        <x:v>False</x:v>
      </x:c>
      <x:c r="AA58" s="1" t="str">
        <x:v>False</x:v>
      </x:c>
      <x:c r="AB58" s="1" t="n">
        <x:v>46247.307662037034</x:v>
      </x:c>
      <x:c r="AC58" s="1" t="str">
        <x:v>Apartment Community</x:v>
      </x:c>
      <x:c r="AD58" s="1" t="n">
        <x:v>150</x:v>
      </x:c>
      <x:c r="AE58" s="1" t="str">
        <x:v>True</x:v>
      </x:c>
      <x:c r="AF58" s="1" t="str">
        <x:v>2</x:v>
      </x:c>
      <x:c r="AG58" s="1" t="str">
        <x:v>https://offcampus.dasa.ncsu.edu/housing/property/signature-1505/5je4q3n</x:v>
      </x:c>
    </x:row>
    <x:row r="59" ht="24" hidden="0" customHeight="1">
      <x:c r="A59" s="1" t="str">
        <x:v>ocptf3fhqb</x:v>
      </x:c>
      <x:c r="B59" s="1" t="str">
        <x:v>2097039</x:v>
      </x:c>
      <x:c r="C59" s="1" t="str"/>
      <x:c r="D59" s="5" t="str">
        <x:v>Spacious 2BD/1BA apartment available 08/01/26- 1 block from the NCSU McKimmon Center!</x:v>
      </x:c>
      <x:c r="E59" s="5" t="str">
        <x:v>1225 Carlton Avenue</x:v>
      </x:c>
      <x:c r="F59" s="1" t="str">
        <x:v>Raleigh</x:v>
      </x:c>
      <x:c r="G59" s="1" t="str">
        <x:v>NC</x:v>
      </x:c>
      <x:c r="H59" s="1" t="str">
        <x:v>27606</x:v>
      </x:c>
      <x:c r="I59" s="1" t="n">
        <x:v>35.7814</x:v>
      </x:c>
      <x:c r="J59" s="1" t="n">
        <x:v>-78.688225</x:v>
      </x:c>
      <x:c r="K59" s="1" t="str">
        <x:v>Main Campus</x:v>
      </x:c>
      <x:c r="L59" s="1" t="str">
        <x:v>0.21</x:v>
      </x:c>
      <x:c r="M59" s="1" t="n">
        <x:v>1200</x:v>
      </x:c>
      <x:c r="N59" s="1" t="n">
        <x:v>1200</x:v>
      </x:c>
      <x:c r="O59" s="1" t="str">
        <x:v>$1,200</x:v>
      </x:c>
      <x:c r="P59" s="1" t="n">
        <x:v>2</x:v>
      </x:c>
      <x:c r="Q59" s="1" t="n">
        <x:v>2</x:v>
      </x:c>
      <x:c r="R59" s="1" t="str">
        <x:v>2 Beds</x:v>
      </x:c>
      <x:c r="S59" s="1" t="str">
        <x:v>False</x:v>
      </x:c>
      <x:c r="T59" s="1" t="str">
        <x:v>False</x:v>
      </x:c>
      <x:c r="U59" s="1" t="str">
        <x:v>$1,200</x:v>
      </x:c>
      <x:c r="V59" s="1" t="str"/>
      <x:c r="W59" s="1" t="str">
        <x:v>False</x:v>
      </x:c>
      <x:c r="X59" s="1" t="str">
        <x:v>False</x:v>
      </x:c>
      <x:c r="Y59" s="1" t="str">
        <x:v>12 Month Lease</x:v>
      </x:c>
      <x:c r="Z59" s="1" t="str">
        <x:v>False</x:v>
      </x:c>
      <x:c r="AA59" s="1" t="str">
        <x:v>False</x:v>
      </x:c>
      <x:c r="AB59" s="1" t="n">
        <x:v>46211.71334490741</x:v>
      </x:c>
      <x:c r="AC59" s="1" t="str">
        <x:v>Apartment Community</x:v>
      </x:c>
      <x:c r="AD59" s="1" t="str"/>
      <x:c r="AE59" s="1" t="str">
        <x:v>True</x:v>
      </x:c>
      <x:c r="AF59" s="1" t="str">
        <x:v>10</x:v>
      </x:c>
      <x:c r="AG59" s="1" t="str">
        <x:v>https://offcampus.dasa.ncsu.edu/housing/property/spacious-2bd-1ba-apartment-available-08-01-26-1-block-from-the-ncsu-mckimmon-center/ocptf3fhqb</x:v>
      </x:c>
    </x:row>
    <x:row r="60" ht="15" hidden="0" customHeight="1">
      <x:c r="A60" s="1" t="str">
        <x:v>h2l8mh2</x:v>
      </x:c>
      <x:c r="B60" s="1" t="str">
        <x:v>2056030</x:v>
      </x:c>
      <x:c r="C60" s="1" t="str">
        <x:v>31lyqhf</x:v>
      </x:c>
      <x:c r="D60" s="5" t="str">
        <x:v>Redfield Villages</x:v>
      </x:c>
      <x:c r="E60" s="5" t="str">
        <x:v>3707 Lexington Dr</x:v>
      </x:c>
      <x:c r="F60" s="1" t="str">
        <x:v>Raleigh</x:v>
      </x:c>
      <x:c r="G60" s="1" t="str">
        <x:v>NC</x:v>
      </x:c>
      <x:c r="H60" s="1" t="str">
        <x:v>27606</x:v>
      </x:c>
      <x:c r="I60" s="1" t="n">
        <x:v>35.785828</x:v>
      </x:c>
      <x:c r="J60" s="1" t="n">
        <x:v>-78.688022</x:v>
      </x:c>
      <x:c r="K60" s="1" t="str">
        <x:v>Main Campus</x:v>
      </x:c>
      <x:c r="L60" s="1" t="str">
        <x:v>0.06</x:v>
      </x:c>
      <x:c r="M60" s="1" t="n">
        <x:v>799</x:v>
      </x:c>
      <x:c r="N60" s="1" t="n">
        <x:v>899</x:v>
      </x:c>
      <x:c r="O60" s="1" t="str">
        <x:v>$799 - $899</x:v>
      </x:c>
      <x:c r="P60" s="1" t="n">
        <x:v>2</x:v>
      </x:c>
      <x:c r="Q60" s="1" t="n">
        <x:v>5</x:v>
      </x:c>
      <x:c r="R60" s="1" t="str">
        <x:v>2 - 5 Beds</x:v>
      </x:c>
      <x:c r="S60" s="1" t="str">
        <x:v>True</x:v>
      </x:c>
      <x:c r="T60" s="1" t="str">
        <x:v>False</x:v>
      </x:c>
      <x:c r="U60" s="1" t="str">
        <x:v>$799 - $899 /Bedroom</x:v>
      </x:c>
      <x:c r="V60" s="1" t="str"/>
      <x:c r="W60" s="1" t="str">
        <x:v>False</x:v>
      </x:c>
      <x:c r="X60" s="1" t="str">
        <x:v>False</x:v>
      </x:c>
      <x:c r="Y60" s="1" t="str">
        <x:v>11 Month Lease</x:v>
      </x:c>
      <x:c r="Z60" s="1" t="str">
        <x:v>False</x:v>
      </x:c>
      <x:c r="AA60" s="1" t="str">
        <x:v>False</x:v>
      </x:c>
      <x:c r="AB60" s="1" t="n">
        <x:v>46244.32630787037</x:v>
      </x:c>
      <x:c r="AC60" s="1" t="str">
        <x:v>Apartment Community</x:v>
      </x:c>
      <x:c r="AD60" s="1" t="n">
        <x:v>50</x:v>
      </x:c>
      <x:c r="AE60" s="1" t="str">
        <x:v>True</x:v>
      </x:c>
      <x:c r="AF60" s="1" t="str">
        <x:v>2</x:v>
      </x:c>
      <x:c r="AG60" s="1" t="str">
        <x:v>https://offcampus.dasa.ncsu.edu/housing/property/redfield-villages/h2l8mh2</x:v>
      </x:c>
    </x:row>
    <x:row r="61" ht="24" hidden="0" customHeight="1">
      <x:c r="A61" s="1" t="str">
        <x:v>ocpthnbmc9</x:v>
      </x:c>
      <x:c r="B61" s="1" t="str">
        <x:v>994678</x:v>
      </x:c>
      <x:c r="C61" s="1" t="str"/>
      <x:c r="D61" s="5" t="str">
        <x:v>Luxury 4 Bedroom 4 Full Bath w free parking, 1 gig internet included. 2027-2028 School yea</x:v>
      </x:c>
      <x:c r="E61" s="5" t="str">
        <x:v>1508 Gorman Street Unit 204</x:v>
      </x:c>
      <x:c r="F61" s="1" t="str">
        <x:v>Raleigh</x:v>
      </x:c>
      <x:c r="G61" s="1" t="str">
        <x:v>NC</x:v>
      </x:c>
      <x:c r="H61" s="1" t="str">
        <x:v>27606</x:v>
      </x:c>
      <x:c r="I61" s="1" t="n">
        <x:v>35.777786</x:v>
      </x:c>
      <x:c r="J61" s="1" t="n">
        <x:v>-78.687882</x:v>
      </x:c>
      <x:c r="K61" s="1" t="str">
        <x:v>Main Campus</x:v>
      </x:c>
      <x:c r="L61" s="1" t="str">
        <x:v>0.13</x:v>
      </x:c>
      <x:c r="M61" s="1" t="n">
        <x:v>4000</x:v>
      </x:c>
      <x:c r="N61" s="1" t="n">
        <x:v>4000</x:v>
      </x:c>
      <x:c r="O61" s="1" t="str">
        <x:v>$4,000</x:v>
      </x:c>
      <x:c r="P61" s="1" t="n">
        <x:v>4</x:v>
      </x:c>
      <x:c r="Q61" s="1" t="n">
        <x:v>4</x:v>
      </x:c>
      <x:c r="R61" s="1" t="str">
        <x:v>4 Beds</x:v>
      </x:c>
      <x:c r="S61" s="1" t="str">
        <x:v>False</x:v>
      </x:c>
      <x:c r="T61" s="1" t="str">
        <x:v>False</x:v>
      </x:c>
      <x:c r="U61" s="1" t="str">
        <x:v>$4,000</x:v>
      </x:c>
      <x:c r="V61" s="1" t="str"/>
      <x:c r="W61" s="1" t="str">
        <x:v>False</x:v>
      </x:c>
      <x:c r="X61" s="1" t="str">
        <x:v>False</x:v>
      </x:c>
      <x:c r="Y61" s="1" t="str">
        <x:v>12 Month Lease</x:v>
      </x:c>
      <x:c r="Z61" s="1" t="str">
        <x:v>False</x:v>
      </x:c>
      <x:c r="AA61" s="1" t="str">
        <x:v>False</x:v>
      </x:c>
      <x:c r="AB61" s="1" t="n">
        <x:v>46213.37636574074</x:v>
      </x:c>
      <x:c r="AC61" s="1" t="str">
        <x:v>Residential Condo Unit For Rent</x:v>
      </x:c>
      <x:c r="AD61" s="1" t="str"/>
      <x:c r="AE61" s="1" t="str">
        <x:v>True</x:v>
      </x:c>
      <x:c r="AF61" s="1" t="str">
        <x:v>30</x:v>
      </x:c>
      <x:c r="AG61" s="1" t="str">
        <x:v>https://offcampus.dasa.ncsu.edu/housing/property/luxury-4-bedroom-4-full-bath-w-free-parking-1-gig-internet-included-2027-2028-school-yea/ocpthnbmc9</x:v>
      </x:c>
    </x:row>
    <x:row r="62" ht="15" hidden="0" customHeight="1">
      <x:c r="A62" s="1" t="str">
        <x:v>vw4rv9e</x:v>
      </x:c>
      <x:c r="B62" s="1" t="str">
        <x:v>2328879</x:v>
      </x:c>
      <x:c r="C62" s="1" t="str">
        <x:v>8z4fr91</x:v>
      </x:c>
      <x:c r="D62" s="5" t="str">
        <x:v>Signature at Varsity</x:v>
      </x:c>
      <x:c r="E62" s="5" t="str">
        <x:v>1400 Crest Rd</x:v>
      </x:c>
      <x:c r="F62" s="1" t="str">
        <x:v>Raleigh</x:v>
      </x:c>
      <x:c r="G62" s="1" t="str">
        <x:v>NC</x:v>
      </x:c>
      <x:c r="H62" s="1" t="str">
        <x:v>27606</x:v>
      </x:c>
      <x:c r="I62" s="1" t="n">
        <x:v>35.778885</x:v>
      </x:c>
      <x:c r="J62" s="1" t="n">
        <x:v>-78.683032</x:v>
      </x:c>
      <x:c r="K62" s="1" t="str">
        <x:v>Main Campus</x:v>
      </x:c>
      <x:c r="L62" s="1" t="str">
        <x:v>0.1</x:v>
      </x:c>
      <x:c r="M62" s="1" t="n">
        <x:v>1249</x:v>
      </x:c>
      <x:c r="N62" s="1" t="n">
        <x:v>2222</x:v>
      </x:c>
      <x:c r="O62" s="1" t="str">
        <x:v>$1,249 - $2,222</x:v>
      </x:c>
      <x:c r="P62" s="1" t="n">
        <x:v>0</x:v>
      </x:c>
      <x:c r="Q62" s="1" t="n">
        <x:v>5</x:v>
      </x:c>
      <x:c r="R62" s="1" t="str">
        <x:v>Studio - 5 Beds</x:v>
      </x:c>
      <x:c r="S62" s="1" t="str">
        <x:v>False</x:v>
      </x:c>
      <x:c r="T62" s="1" t="str">
        <x:v>False</x:v>
      </x:c>
      <x:c r="U62" s="1" t="str">
        <x:v>$1,249 - $2,222</x:v>
      </x:c>
      <x:c r="V62" s="1" t="str"/>
      <x:c r="W62" s="1" t="str">
        <x:v>False</x:v>
      </x:c>
      <x:c r="X62" s="1" t="str">
        <x:v>False</x:v>
      </x:c>
      <x:c r="Y62" s="1" t="str"/>
      <x:c r="Z62" s="1" t="str">
        <x:v>False</x:v>
      </x:c>
      <x:c r="AA62" s="1" t="str">
        <x:v>False</x:v>
      </x:c>
      <x:c r="AB62" s="1" t="n">
        <x:v>46269.33070601852</x:v>
      </x:c>
      <x:c r="AC62" s="1" t="str">
        <x:v>Apartment Community</x:v>
      </x:c>
      <x:c r="AD62" s="1" t="n">
        <x:v>221</x:v>
      </x:c>
      <x:c r="AE62" s="1" t="str">
        <x:v>True</x:v>
      </x:c>
      <x:c r="AF62" s="1" t="str">
        <x:v>2</x:v>
      </x:c>
      <x:c r="AG62" s="1" t="str">
        <x:v>https://offcampus.dasa.ncsu.edu/housing/property/signature-at-varsity/vw4rv9e</x:v>
      </x:c>
    </x:row>
    <x:row r="63" ht="15" hidden="0" customHeight="1">
      <x:c r="A63" s="1" t="str">
        <x:v>ocp8c26c92</x:v>
      </x:c>
      <x:c r="B63" s="1" t="str">
        <x:v>2104103</x:v>
      </x:c>
      <x:c r="C63" s="1" t="str"/>
      <x:c r="D63" s="5" t="str">
        <x:v>Fully Furnished 3BR Townhome Steps from Lake Johnson</x:v>
      </x:c>
      <x:c r="E63" s="5" t="str">
        <x:v>1020 High Lake Court</x:v>
      </x:c>
      <x:c r="F63" s="1" t="str">
        <x:v>Raleigh</x:v>
      </x:c>
      <x:c r="G63" s="1" t="str">
        <x:v>NC</x:v>
      </x:c>
      <x:c r="H63" s="1" t="str">
        <x:v>27606</x:v>
      </x:c>
      <x:c r="I63" s="1" t="n">
        <x:v>35.766646</x:v>
      </x:c>
      <x:c r="J63" s="1" t="n">
        <x:v>-78.707047</x:v>
      </x:c>
      <x:c r="K63" s="1" t="str">
        <x:v>Main Campus</x:v>
      </x:c>
      <x:c r="L63" s="1" t="str">
        <x:v>1.88</x:v>
      </x:c>
      <x:c r="M63" s="1" t="n">
        <x:v>2500</x:v>
      </x:c>
      <x:c r="N63" s="1" t="n">
        <x:v>2500</x:v>
      </x:c>
      <x:c r="O63" s="1" t="str">
        <x:v>$2,500</x:v>
      </x:c>
      <x:c r="P63" s="1" t="n">
        <x:v>3</x:v>
      </x:c>
      <x:c r="Q63" s="1" t="n">
        <x:v>3</x:v>
      </x:c>
      <x:c r="R63" s="1" t="str">
        <x:v>3 Beds</x:v>
      </x:c>
      <x:c r="S63" s="1" t="str">
        <x:v>False</x:v>
      </x:c>
      <x:c r="T63" s="1" t="str">
        <x:v>False</x:v>
      </x:c>
      <x:c r="U63" s="1" t="str">
        <x:v>$2,500</x:v>
      </x:c>
      <x:c r="V63" s="1" t="str"/>
      <x:c r="W63" s="1" t="str">
        <x:v>False</x:v>
      </x:c>
      <x:c r="X63" s="1" t="str">
        <x:v>False</x:v>
      </x:c>
      <x:c r="Y63" s="1" t="str">
        <x:v>12 Month Lease</x:v>
      </x:c>
      <x:c r="Z63" s="1" t="str">
        <x:v>False</x:v>
      </x:c>
      <x:c r="AA63" s="1" t="str">
        <x:v>False</x:v>
      </x:c>
      <x:c r="AB63" s="1" t="n">
        <x:v>46164.267476851855</x:v>
      </x:c>
      <x:c r="AC63" s="1" t="str">
        <x:v>Townhome</x:v>
      </x:c>
      <x:c r="AD63" s="1" t="str"/>
      <x:c r="AE63" s="1" t="str">
        <x:v>True</x:v>
      </x:c>
      <x:c r="AF63" s="1" t="str">
        <x:v>20</x:v>
      </x:c>
      <x:c r="AG63" s="1" t="str">
        <x:v>https://offcampus.dasa.ncsu.edu/housing/property/fully-furnished-3br-townhome-steps-from-lake-johnson/ocp8c26c92</x:v>
      </x:c>
    </x:row>
    <x:row r="64" ht="15" hidden="0" customHeight="1">
      <x:c r="A64" s="1" t="str">
        <x:v>rf696l2</x:v>
      </x:c>
      <x:c r="B64" s="1" t="str">
        <x:v>1425906</x:v>
      </x:c>
      <x:c r="C64" s="1" t="str">
        <x:v>ce6z5lf</x:v>
      </x:c>
      <x:c r="D64" s="5" t="str">
        <x:v>Madison Hunters Glen</x:v>
      </x:c>
      <x:c r="E64" s="5" t="str">
        <x:v>100-D-150 Hunt Club Ln</x:v>
      </x:c>
      <x:c r="F64" s="1" t="str">
        <x:v>Raleigh</x:v>
      </x:c>
      <x:c r="G64" s="1" t="str">
        <x:v>NC</x:v>
      </x:c>
      <x:c r="H64" s="1" t="str">
        <x:v>27606</x:v>
      </x:c>
      <x:c r="I64" s="1" t="n">
        <x:v>35.783971</x:v>
      </x:c>
      <x:c r="J64" s="1" t="n">
        <x:v>-78.719274</x:v>
      </x:c>
      <x:c r="K64" s="1" t="str">
        <x:v>Main Campus</x:v>
      </x:c>
      <x:c r="L64" s="1" t="str">
        <x:v>1.91</x:v>
      </x:c>
      <x:c r="M64" s="1" t="n">
        <x:v>1081</x:v>
      </x:c>
      <x:c r="N64" s="1" t="n">
        <x:v>1534</x:v>
      </x:c>
      <x:c r="O64" s="1" t="str">
        <x:v>$1,081 - $1,534</x:v>
      </x:c>
      <x:c r="P64" s="1" t="n">
        <x:v>1</x:v>
      </x:c>
      <x:c r="Q64" s="1" t="n">
        <x:v>2</x:v>
      </x:c>
      <x:c r="R64" s="1" t="str">
        <x:v>1 - 2 Beds</x:v>
      </x:c>
      <x:c r="S64" s="1" t="str">
        <x:v>False</x:v>
      </x:c>
      <x:c r="T64" s="1" t="str">
        <x:v>False</x:v>
      </x:c>
      <x:c r="U64" s="1" t="str">
        <x:v>$1,081 - $1,534</x:v>
      </x:c>
      <x:c r="V64" s="1" t="str"/>
      <x:c r="W64" s="1" t="str">
        <x:v>False</x:v>
      </x:c>
      <x:c r="X64" s="1" t="str">
        <x:v>False</x:v>
      </x:c>
      <x:c r="Y64" s="1" t="str"/>
      <x:c r="Z64" s="1" t="str">
        <x:v>False</x:v>
      </x:c>
      <x:c r="AA64" s="1" t="str">
        <x:v>False</x:v>
      </x:c>
      <x:c r="AB64" s="1" t="n">
        <x:v>46273.317881944444</x:v>
      </x:c>
      <x:c r="AC64" s="1" t="str">
        <x:v>Apartment Community</x:v>
      </x:c>
      <x:c r="AD64" s="1" t="n">
        <x:v>180</x:v>
      </x:c>
      <x:c r="AE64" s="1" t="str">
        <x:v>True</x:v>
      </x:c>
      <x:c r="AF64" s="1" t="str">
        <x:v>2</x:v>
      </x:c>
      <x:c r="AG64" s="1" t="str">
        <x:v>https://offcampus.dasa.ncsu.edu/housing/property/madison-hunters-glen/rf696l2</x:v>
      </x:c>
    </x:row>
    <x:row r="65" ht="24" hidden="0" customHeight="1">
      <x:c r="A65" s="1" t="str">
        <x:v>ocpszex2v4</x:v>
      </x:c>
      <x:c r="B65" s="1" t="str">
        <x:v>2060359</x:v>
      </x:c>
      <x:c r="C65" s="1" t="str"/>
      <x:c r="D65" s="5" t="str">
        <x:v>Spacious bedroom with private bath in 2BR townhome – 5 minutes to NC State</x:v>
      </x:c>
      <x:c r="E65" s="5" t="str">
        <x:v>4105 Iver Johnson Drive</x:v>
      </x:c>
      <x:c r="F65" s="1" t="str">
        <x:v>Raleigh</x:v>
      </x:c>
      <x:c r="G65" s="1" t="str">
        <x:v>NC</x:v>
      </x:c>
      <x:c r="H65" s="1" t="str">
        <x:v>27606</x:v>
      </x:c>
      <x:c r="I65" s="1" t="n">
        <x:v>35.775635</x:v>
      </x:c>
      <x:c r="J65" s="1" t="n">
        <x:v>-78.69008</x:v>
      </x:c>
      <x:c r="K65" s="1" t="str">
        <x:v>Main Campus</x:v>
      </x:c>
      <x:c r="L65" s="1" t="str">
        <x:v>0.93</x:v>
      </x:c>
      <x:c r="M65" s="1" t="n">
        <x:v>800</x:v>
      </x:c>
      <x:c r="N65" s="1" t="n">
        <x:v>800</x:v>
      </x:c>
      <x:c r="O65" s="1" t="str">
        <x:v>$800</x:v>
      </x:c>
      <x:c r="P65" s="1" t="n">
        <x:v>2</x:v>
      </x:c>
      <x:c r="Q65" s="1" t="n">
        <x:v>2</x:v>
      </x:c>
      <x:c r="R65" s="1" t="str">
        <x:v>2 Beds</x:v>
      </x:c>
      <x:c r="S65" s="1" t="str">
        <x:v>True</x:v>
      </x:c>
      <x:c r="T65" s="1" t="str">
        <x:v>False</x:v>
      </x:c>
      <x:c r="U65" s="1" t="str">
        <x:v>$800 /Bedroom</x:v>
      </x:c>
      <x:c r="V65" s="1" t="str"/>
      <x:c r="W65" s="1" t="str">
        <x:v>True</x:v>
      </x:c>
      <x:c r="X65" s="1" t="str">
        <x:v>False</x:v>
      </x:c>
      <x:c r="Y65" s="1" t="str">
        <x:v>12 Month Lease</x:v>
      </x:c>
      <x:c r="Z65" s="1" t="str">
        <x:v>False</x:v>
      </x:c>
      <x:c r="AA65" s="1" t="str">
        <x:v>False</x:v>
      </x:c>
      <x:c r="AB65" s="1" t="n">
        <x:v>46258.86241898148</x:v>
      </x:c>
      <x:c r="AC65" s="1" t="str">
        <x:v>Townhome</x:v>
      </x:c>
      <x:c r="AD65" s="1" t="str"/>
      <x:c r="AE65" s="1" t="str">
        <x:v>True</x:v>
      </x:c>
      <x:c r="AF65" s="1" t="str">
        <x:v>20</x:v>
      </x:c>
      <x:c r="AG65" s="1" t="str">
        <x:v>https://offcampus.dasa.ncsu.edu/housing/property/spacious-bedroom-with-private-bath-in-2br-townhome-5-minutes-to-nc-state/ocpszex2v4</x:v>
      </x:c>
    </x:row>
    <x:row r="66" ht="15" hidden="0" customHeight="1">
      <x:c r="A66" s="1" t="str">
        <x:v>6mnn0qr</x:v>
      </x:c>
      <x:c r="B66" s="1" t="str">
        <x:v>632826</x:v>
      </x:c>
      <x:c r="C66" s="1" t="str">
        <x:v>nqn33qm</x:v>
      </x:c>
      <x:c r="D66" s="5" t="str">
        <x:v>Live on Hillsborough</x:v>
      </x:c>
      <x:c r="E66" s="5" t="str">
        <x:v>2811 Hillsborough St</x:v>
      </x:c>
      <x:c r="F66" s="1" t="str">
        <x:v>Raleigh</x:v>
      </x:c>
      <x:c r="G66" s="1" t="str">
        <x:v>NC</x:v>
      </x:c>
      <x:c r="H66" s="1" t="str">
        <x:v>27607</x:v>
      </x:c>
      <x:c r="I66" s="1" t="n">
        <x:v>35.788966</x:v>
      </x:c>
      <x:c r="J66" s="1" t="n">
        <x:v>-78.674783</x:v>
      </x:c>
      <x:c r="K66" s="1" t="str">
        <x:v>Main Campus</x:v>
      </x:c>
      <x:c r="L66" s="1" t="str">
        <x:v>0.09</x:v>
      </x:c>
      <x:c r="M66" s="1" t="n">
        <x:v>979</x:v>
      </x:c>
      <x:c r="N66" s="1" t="n">
        <x:v>1435</x:v>
      </x:c>
      <x:c r="O66" s="1" t="str">
        <x:v>$979 - $1,435</x:v>
      </x:c>
      <x:c r="P66" s="1" t="n">
        <x:v>1</x:v>
      </x:c>
      <x:c r="Q66" s="1" t="n">
        <x:v>3</x:v>
      </x:c>
      <x:c r="R66" s="1" t="str">
        <x:v>1 - 3 Beds</x:v>
      </x:c>
      <x:c r="S66" s="1" t="str">
        <x:v>False</x:v>
      </x:c>
      <x:c r="T66" s="1" t="str">
        <x:v>False</x:v>
      </x:c>
      <x:c r="U66" s="1" t="str">
        <x:v>$979 - $1,435</x:v>
      </x:c>
      <x:c r="V66" s="1" t="str"/>
      <x:c r="W66" s="1" t="str">
        <x:v>False</x:v>
      </x:c>
      <x:c r="X66" s="1" t="str">
        <x:v>False</x:v>
      </x:c>
      <x:c r="Y66" s="1" t="str">
        <x:v>11 Month Lease</x:v>
      </x:c>
      <x:c r="Z66" s="1" t="str">
        <x:v>False</x:v>
      </x:c>
      <x:c r="AA66" s="1" t="str">
        <x:v>False</x:v>
      </x:c>
      <x:c r="AB66" s="1" t="n">
        <x:v>46248.309375</x:v>
      </x:c>
      <x:c r="AC66" s="1" t="str">
        <x:v>Apartment Community</x:v>
      </x:c>
      <x:c r="AD66" s="1" t="n">
        <x:v>204</x:v>
      </x:c>
      <x:c r="AE66" s="1" t="str">
        <x:v>True</x:v>
      </x:c>
      <x:c r="AF66" s="1" t="str">
        <x:v>2</x:v>
      </x:c>
      <x:c r="AG66" s="1" t="str">
        <x:v>https://offcampus.dasa.ncsu.edu/housing/property/live-on-hillsborough/6mnn0qr</x:v>
      </x:c>
    </x:row>
    <x:row r="67" ht="15" hidden="0" customHeight="1">
      <x:c r="A67" s="1" t="str">
        <x:v>ocp74dcp6w</x:v>
      </x:c>
      <x:c r="B67" s="1" t="str">
        <x:v>1538869</x:v>
      </x:c>
      <x:c r="C67" s="1" t="str"/>
      <x:c r="D67" s="5" t="str">
        <x:v>Crabtree Woods Townhome West Raleigh</x:v>
      </x:c>
      <x:c r="E67" s="5" t="str">
        <x:v>4705-A Fargo Court</x:v>
      </x:c>
      <x:c r="F67" s="1" t="str">
        <x:v>Raleigh</x:v>
      </x:c>
      <x:c r="G67" s="1" t="str">
        <x:v>NC</x:v>
      </x:c>
      <x:c r="H67" s="1" t="str">
        <x:v>27612</x:v>
      </x:c>
      <x:c r="I67" s="1" t="n">
        <x:v>35.836233</x:v>
      </x:c>
      <x:c r="J67" s="1" t="n">
        <x:v>-78.685876</x:v>
      </x:c>
      <x:c r="K67" s="1" t="str">
        <x:v>Main Campus</x:v>
      </x:c>
      <x:c r="L67" s="1" t="str">
        <x:v>5.41</x:v>
      </x:c>
      <x:c r="M67" s="1" t="n">
        <x:v>1595</x:v>
      </x:c>
      <x:c r="N67" s="1" t="n">
        <x:v>1595</x:v>
      </x:c>
      <x:c r="O67" s="1" t="str">
        <x:v>$1,595</x:v>
      </x:c>
      <x:c r="P67" s="1" t="n">
        <x:v>2</x:v>
      </x:c>
      <x:c r="Q67" s="1" t="n">
        <x:v>2</x:v>
      </x:c>
      <x:c r="R67" s="1" t="str">
        <x:v>2 Beds</x:v>
      </x:c>
      <x:c r="S67" s="1" t="str">
        <x:v>False</x:v>
      </x:c>
      <x:c r="T67" s="1" t="str">
        <x:v>False</x:v>
      </x:c>
      <x:c r="U67" s="1" t="str">
        <x:v>$1,595</x:v>
      </x:c>
      <x:c r="V67" s="1" t="str"/>
      <x:c r="W67" s="1" t="str">
        <x:v>False</x:v>
      </x:c>
      <x:c r="X67" s="1" t="str">
        <x:v>False</x:v>
      </x:c>
      <x:c r="Y67" s="1" t="str">
        <x:v>12 Month Lease</x:v>
      </x:c>
      <x:c r="Z67" s="1" t="str">
        <x:v>False</x:v>
      </x:c>
      <x:c r="AA67" s="1" t="str">
        <x:v>False</x:v>
      </x:c>
      <x:c r="AB67" s="1" t="n">
        <x:v>46248.71585648148</x:v>
      </x:c>
      <x:c r="AC67" s="1" t="str">
        <x:v>Townhome</x:v>
      </x:c>
      <x:c r="AD67" s="1" t="str"/>
      <x:c r="AE67" s="1" t="str">
        <x:v>True</x:v>
      </x:c>
      <x:c r="AF67" s="1" t="str">
        <x:v>5</x:v>
      </x:c>
      <x:c r="AG67" s="1" t="str">
        <x:v>https://offcampus.dasa.ncsu.edu/housing/property/crabtree-woods-townhome-west-raleigh/ocp74dcp6w</x:v>
      </x:c>
    </x:row>
    <x:row r="68" ht="15" hidden="0" customHeight="1">
      <x:c r="A68" s="1" t="str">
        <x:v>nhblm0q</x:v>
      </x:c>
      <x:c r="B68" s="1" t="str">
        <x:v>1922208</x:v>
      </x:c>
      <x:c r="C68" s="1" t="str">
        <x:v>6lb5q0v</x:v>
      </x:c>
      <x:c r="D68" s="5" t="str">
        <x:v>Viceroy Apartments</x:v>
      </x:c>
      <x:c r="E68" s="5" t="str">
        <x:v>1700 Chapel Hill Rd</x:v>
      </x:c>
      <x:c r="F68" s="1" t="str">
        <x:v>Durham</x:v>
      </x:c>
      <x:c r="G68" s="1" t="str">
        <x:v>NC</x:v>
      </x:c>
      <x:c r="H68" s="1" t="str">
        <x:v>27707</x:v>
      </x:c>
      <x:c r="I68" s="1" t="n">
        <x:v>35.991864</x:v>
      </x:c>
      <x:c r="J68" s="1" t="n">
        <x:v>-78.922841</x:v>
      </x:c>
      <x:c r="K68" s="1" t="str">
        <x:v>Main Campus</x:v>
      </x:c>
      <x:c r="L68" s="1" t="str">
        <x:v>22.48</x:v>
      </x:c>
      <x:c r="M68" s="1" t="n">
        <x:v>1099</x:v>
      </x:c>
      <x:c r="N68" s="1" t="n">
        <x:v>1099</x:v>
      </x:c>
      <x:c r="O68" s="1" t="str">
        <x:v>$1,099</x:v>
      </x:c>
      <x:c r="P68" s="1" t="n">
        <x:v>2</x:v>
      </x:c>
      <x:c r="Q68" s="1" t="n">
        <x:v>2</x:v>
      </x:c>
      <x:c r="R68" s="1" t="str">
        <x:v>2 Beds</x:v>
      </x:c>
      <x:c r="S68" s="1" t="str">
        <x:v>False</x:v>
      </x:c>
      <x:c r="T68" s="1" t="str">
        <x:v>False</x:v>
      </x:c>
      <x:c r="U68" s="1" t="str">
        <x:v>$1,099</x:v>
      </x:c>
      <x:c r="V68" s="1" t="str"/>
      <x:c r="W68" s="1" t="str">
        <x:v>False</x:v>
      </x:c>
      <x:c r="X68" s="1" t="str">
        <x:v>False</x:v>
      </x:c>
      <x:c r="Y68" s="1" t="str"/>
      <x:c r="Z68" s="1" t="str">
        <x:v>False</x:v>
      </x:c>
      <x:c r="AA68" s="1" t="str">
        <x:v>False</x:v>
      </x:c>
      <x:c r="AB68" s="1" t="n">
        <x:v>46270.325902777775</x:v>
      </x:c>
      <x:c r="AC68" s="1" t="str">
        <x:v>Apartment Community</x:v>
      </x:c>
      <x:c r="AD68" s="1" t="n">
        <x:v>50</x:v>
      </x:c>
      <x:c r="AE68" s="1" t="str">
        <x:v>True</x:v>
      </x:c>
      <x:c r="AF68" s="1" t="str">
        <x:v>2</x:v>
      </x:c>
      <x:c r="AG68" s="1" t="str">
        <x:v>https://offcampus.dasa.ncsu.edu/housing/property/viceroy-apartments/nhblm0q</x:v>
      </x:c>
    </x:row>
    <x:row r="69" ht="15" hidden="0" customHeight="1">
      <x:c r="A69" s="1" t="str">
        <x:v>ocpkb0kbhb</x:v>
      </x:c>
      <x:c r="B69" s="1" t="str">
        <x:v>2142493</x:v>
      </x:c>
      <x:c r="C69" s="1" t="str"/>
      <x:c r="D69" s="5" t="str">
        <x:v>Great Location - Connected to Centennial Campus</x:v>
      </x:c>
      <x:c r="E69" s="5" t="str">
        <x:v>733 Chappell Drive</x:v>
      </x:c>
      <x:c r="F69" s="1" t="str">
        <x:v>Raleigh</x:v>
      </x:c>
      <x:c r="G69" s="1" t="str">
        <x:v>NC</x:v>
      </x:c>
      <x:c r="H69" s="1" t="str">
        <x:v>27606</x:v>
      </x:c>
      <x:c r="I69" s="1" t="n">
        <x:v>35.770311</x:v>
      </x:c>
      <x:c r="J69" s="1" t="n">
        <x:v>-78.682992</x:v>
      </x:c>
      <x:c r="K69" s="1" t="str">
        <x:v>Main Campus</x:v>
      </x:c>
      <x:c r="L69" s="1" t="str">
        <x:v>0.48</x:v>
      </x:c>
      <x:c r="M69" s="1" t="n">
        <x:v>1240</x:v>
      </x:c>
      <x:c r="N69" s="1" t="n">
        <x:v>1240</x:v>
      </x:c>
      <x:c r="O69" s="1" t="str">
        <x:v>$1,240</x:v>
      </x:c>
      <x:c r="P69" s="1" t="n">
        <x:v>2</x:v>
      </x:c>
      <x:c r="Q69" s="1" t="n">
        <x:v>2</x:v>
      </x:c>
      <x:c r="R69" s="1" t="str">
        <x:v>2 Beds</x:v>
      </x:c>
      <x:c r="S69" s="1" t="str">
        <x:v>False</x:v>
      </x:c>
      <x:c r="T69" s="1" t="str">
        <x:v>False</x:v>
      </x:c>
      <x:c r="U69" s="1" t="str">
        <x:v>$1,240</x:v>
      </x:c>
      <x:c r="V69" s="1" t="str"/>
      <x:c r="W69" s="1" t="str">
        <x:v>False</x:v>
      </x:c>
      <x:c r="X69" s="1" t="str">
        <x:v>False</x:v>
      </x:c>
      <x:c r="Y69" s="1" t="str">
        <x:v>12 Month Lease</x:v>
      </x:c>
      <x:c r="Z69" s="1" t="str">
        <x:v>False</x:v>
      </x:c>
      <x:c r="AA69" s="1" t="str">
        <x:v>False</x:v>
      </x:c>
      <x:c r="AB69" s="1" t="n">
        <x:v>46219.934224537035</x:v>
      </x:c>
      <x:c r="AC69" s="1" t="str">
        <x:v>Duplex</x:v>
      </x:c>
      <x:c r="AD69" s="1" t="str"/>
      <x:c r="AE69" s="1" t="str">
        <x:v>True</x:v>
      </x:c>
      <x:c r="AF69" s="1" t="str">
        <x:v>25</x:v>
      </x:c>
      <x:c r="AG69" s="1" t="str">
        <x:v>https://offcampus.dasa.ncsu.edu/housing/property/great-location-connected-to-centennial-campus/ocpkb0kbhb</x:v>
      </x:c>
    </x:row>
    <x:row r="70" ht="15" hidden="0" customHeight="1">
      <x:c r="A70" s="1" t="str">
        <x:v>jjs8f07</x:v>
      </x:c>
      <x:c r="B70" s="1" t="str">
        <x:v>761543</x:v>
      </x:c>
      <x:c r="C70" s="1" t="str">
        <x:v>2ksye0c</x:v>
      </x:c>
      <x:c r="D70" s="5" t="str">
        <x:v>Village Green Student Housing</x:v>
      </x:c>
      <x:c r="E70" s="5" t="str">
        <x:v>2000 Village Bluff Pl</x:v>
      </x:c>
      <x:c r="F70" s="1" t="str">
        <x:v>Raleigh</x:v>
      </x:c>
      <x:c r="G70" s="1" t="str">
        <x:v>NC</x:v>
      </x:c>
      <x:c r="H70" s="1" t="str">
        <x:v>27603</x:v>
      </x:c>
      <x:c r="I70" s="1" t="n">
        <x:v>35.754039</x:v>
      </x:c>
      <x:c r="J70" s="1" t="n">
        <x:v>-78.667439</x:v>
      </x:c>
      <x:c r="K70" s="1" t="str">
        <x:v>Main Campus</x:v>
      </x:c>
      <x:c r="L70" s="1" t="str">
        <x:v>2.49</x:v>
      </x:c>
      <x:c r="M70" s="1" t="n">
        <x:v>649</x:v>
      </x:c>
      <x:c r="N70" s="1" t="n">
        <x:v>839</x:v>
      </x:c>
      <x:c r="O70" s="1" t="str">
        <x:v>$649 - $839</x:v>
      </x:c>
      <x:c r="P70" s="1" t="n">
        <x:v>3</x:v>
      </x:c>
      <x:c r="Q70" s="1" t="n">
        <x:v>4</x:v>
      </x:c>
      <x:c r="R70" s="1" t="str">
        <x:v>3 - 4 Beds</x:v>
      </x:c>
      <x:c r="S70" s="1" t="str">
        <x:v>True</x:v>
      </x:c>
      <x:c r="T70" s="1" t="str">
        <x:v>False</x:v>
      </x:c>
      <x:c r="U70" s="1" t="str">
        <x:v>$649 - $839 /Bedroom</x:v>
      </x:c>
      <x:c r="V70" s="1" t="str"/>
      <x:c r="W70" s="1" t="str">
        <x:v>False</x:v>
      </x:c>
      <x:c r="X70" s="1" t="str">
        <x:v>False</x:v>
      </x:c>
      <x:c r="Y70" s="1" t="str">
        <x:v>11 Month Lease</x:v>
      </x:c>
      <x:c r="Z70" s="1" t="str">
        <x:v>False</x:v>
      </x:c>
      <x:c r="AA70" s="1" t="str">
        <x:v>False</x:v>
      </x:c>
      <x:c r="AB70" s="1" t="n">
        <x:v>46248.31452546296</x:v>
      </x:c>
      <x:c r="AC70" s="1" t="str">
        <x:v>Apartment Community</x:v>
      </x:c>
      <x:c r="AD70" s="1" t="n">
        <x:v>156</x:v>
      </x:c>
      <x:c r="AE70" s="1" t="str">
        <x:v>True</x:v>
      </x:c>
      <x:c r="AF70" s="1" t="str">
        <x:v>2</x:v>
      </x:c>
      <x:c r="AG70" s="1" t="str">
        <x:v>https://offcampus.dasa.ncsu.edu/housing/property/village-green-student-housing/jjs8f07</x:v>
      </x:c>
    </x:row>
    <x:row r="71" ht="24" hidden="0" customHeight="1">
      <x:c r="A71" s="1" t="str">
        <x:v>ocpjh4j574</x:v>
      </x:c>
      <x:c r="B71" s="1" t="str">
        <x:v>1994966</x:v>
      </x:c>
      <x:c r="C71" s="1" t="str"/>
      <x:c r="D71" s="5" t="str">
        <x:v>4BD/3.5BA townhome near NCSU &amp; Downtown Raleigh available August 2026!</x:v>
      </x:c>
      <x:c r="E71" s="5" t="str">
        <x:v>1806 Sara Lane</x:v>
      </x:c>
      <x:c r="F71" s="1" t="str">
        <x:v>Raleigh</x:v>
      </x:c>
      <x:c r="G71" s="1" t="str">
        <x:v>NC</x:v>
      </x:c>
      <x:c r="H71" s="1" t="str">
        <x:v>27606</x:v>
      </x:c>
      <x:c r="I71" s="1" t="n">
        <x:v>35.776319</x:v>
      </x:c>
      <x:c r="J71" s="1" t="n">
        <x:v>-78.690643</x:v>
      </x:c>
      <x:c r="K71" s="1" t="str">
        <x:v>Main Campus</x:v>
      </x:c>
      <x:c r="L71" s="1" t="str">
        <x:v>0.86</x:v>
      </x:c>
      <x:c r="M71" s="1" t="n">
        <x:v>2200</x:v>
      </x:c>
      <x:c r="N71" s="1" t="n">
        <x:v>2200</x:v>
      </x:c>
      <x:c r="O71" s="1" t="str">
        <x:v>$2,200</x:v>
      </x:c>
      <x:c r="P71" s="1" t="n">
        <x:v>4</x:v>
      </x:c>
      <x:c r="Q71" s="1" t="n">
        <x:v>4</x:v>
      </x:c>
      <x:c r="R71" s="1" t="str">
        <x:v>4 Beds</x:v>
      </x:c>
      <x:c r="S71" s="1" t="str">
        <x:v>False</x:v>
      </x:c>
      <x:c r="T71" s="1" t="str">
        <x:v>False</x:v>
      </x:c>
      <x:c r="U71" s="1" t="str">
        <x:v>$2,200</x:v>
      </x:c>
      <x:c r="V71" s="1" t="str"/>
      <x:c r="W71" s="1" t="str">
        <x:v>False</x:v>
      </x:c>
      <x:c r="X71" s="1" t="str">
        <x:v>False</x:v>
      </x:c>
      <x:c r="Y71" s="1" t="str">
        <x:v>12 Month Lease</x:v>
      </x:c>
      <x:c r="Z71" s="1" t="str">
        <x:v>False</x:v>
      </x:c>
      <x:c r="AA71" s="1" t="str">
        <x:v>False</x:v>
      </x:c>
      <x:c r="AB71" s="1" t="n">
        <x:v>46179.90934027778</x:v>
      </x:c>
      <x:c r="AC71" s="1" t="str">
        <x:v>Townhome</x:v>
      </x:c>
      <x:c r="AD71" s="1" t="str"/>
      <x:c r="AE71" s="1" t="str">
        <x:v>True</x:v>
      </x:c>
      <x:c r="AF71" s="1" t="str">
        <x:v>10</x:v>
      </x:c>
      <x:c r="AG71" s="1" t="str">
        <x:v>https://offcampus.dasa.ncsu.edu/housing/property/4bd-3-5ba-townhome-near-ncsu-and-downtown-raleigh-available-august-2026/ocpjh4j574</x:v>
      </x:c>
    </x:row>
    <x:row r="72" ht="15" hidden="0" customHeight="1">
      <x:c r="A72" s="1" t="str">
        <x:v>8gchf40</x:v>
      </x:c>
      <x:c r="B72" s="1" t="str">
        <x:v>1604721</x:v>
      </x:c>
      <x:c r="C72" s="1" t="str">
        <x:v>vdc6e4d</x:v>
      </x:c>
      <x:c r="D72" s="5" t="str">
        <x:v>The Hillsborough</x:v>
      </x:c>
      <x:c r="E72" s="5" t="str">
        <x:v>2304 Hillsborough St</x:v>
      </x:c>
      <x:c r="F72" s="1" t="str">
        <x:v>Raleigh</x:v>
      </x:c>
      <x:c r="G72" s="1" t="str">
        <x:v>NC</x:v>
      </x:c>
      <x:c r="H72" s="1" t="str">
        <x:v>27607</x:v>
      </x:c>
      <x:c r="I72" s="1" t="n">
        <x:v>35.78758</x:v>
      </x:c>
      <x:c r="J72" s="1" t="n">
        <x:v>-78.66618</x:v>
      </x:c>
      <x:c r="K72" s="1" t="str">
        <x:v>Main Campus</x:v>
      </x:c>
      <x:c r="L72" s="1" t="str">
        <x:v>0.21</x:v>
      </x:c>
      <x:c r="M72" s="1" t="n">
        <x:v>1000</x:v>
      </x:c>
      <x:c r="N72" s="1" t="n">
        <x:v>1350</x:v>
      </x:c>
      <x:c r="O72" s="1" t="str">
        <x:v>$1,000 - $1,350</x:v>
      </x:c>
      <x:c r="P72" s="1" t="n">
        <x:v>2</x:v>
      </x:c>
      <x:c r="Q72" s="1" t="n">
        <x:v>3</x:v>
      </x:c>
      <x:c r="R72" s="1" t="str">
        <x:v>2 - 3 Beds</x:v>
      </x:c>
      <x:c r="S72" s="1" t="str">
        <x:v>True</x:v>
      </x:c>
      <x:c r="T72" s="1" t="str">
        <x:v>False</x:v>
      </x:c>
      <x:c r="U72" s="1" t="str">
        <x:v>$1,000 - $1,350 /Bedroom</x:v>
      </x:c>
      <x:c r="V72" s="1" t="str"/>
      <x:c r="W72" s="1" t="str">
        <x:v>False</x:v>
      </x:c>
      <x:c r="X72" s="1" t="str">
        <x:v>False</x:v>
      </x:c>
      <x:c r="Y72" s="1" t="str"/>
      <x:c r="Z72" s="1" t="str">
        <x:v>False</x:v>
      </x:c>
      <x:c r="AA72" s="1" t="str">
        <x:v>False</x:v>
      </x:c>
      <x:c r="AB72" s="1" t="n">
        <x:v>46241.32612268518</x:v>
      </x:c>
      <x:c r="AC72" s="1" t="str">
        <x:v>Apartment Community</x:v>
      </x:c>
      <x:c r="AD72" s="1" t="n">
        <x:v>12</x:v>
      </x:c>
      <x:c r="AE72" s="1" t="str">
        <x:v>True</x:v>
      </x:c>
      <x:c r="AF72" s="1" t="str">
        <x:v>2</x:v>
      </x:c>
      <x:c r="AG72" s="1" t="str">
        <x:v>https://offcampus.dasa.ncsu.edu/housing/property/the-hillsborough/8gchf40</x:v>
      </x:c>
    </x:row>
    <x:row r="73" ht="24" hidden="0" customHeight="1">
      <x:c r="A73" s="1" t="str">
        <x:v>ocp032vj21</x:v>
      </x:c>
      <x:c r="B73" s="1" t="str">
        <x:v>751464</x:v>
      </x:c>
      <x:c r="C73" s="1" t="str"/>
      <x:c r="D73" s="5" t="str">
        <x:v>5 bedroom 5 full Bath luxury house with 1Gig AT&amp;T Fiber and 1 free parking space per bedroom</x:v>
      </x:c>
      <x:c r="E73" s="5" t="str">
        <x:v>5010 Western Boulevard</x:v>
      </x:c>
      <x:c r="F73" s="1" t="str">
        <x:v>Raleigh</x:v>
      </x:c>
      <x:c r="G73" s="1" t="str">
        <x:v>NC</x:v>
      </x:c>
      <x:c r="H73" s="1" t="str">
        <x:v>27606</x:v>
      </x:c>
      <x:c r="I73" s="1" t="n">
        <x:v>35.786652</x:v>
      </x:c>
      <x:c r="J73" s="1" t="n">
        <x:v>-78.709465</x:v>
      </x:c>
      <x:c r="K73" s="1" t="str">
        <x:v>Main Campus</x:v>
      </x:c>
      <x:c r="L73" s="1" t="str">
        <x:v>1.21</x:v>
      </x:c>
      <x:c r="M73" s="1" t="n">
        <x:v>6000</x:v>
      </x:c>
      <x:c r="N73" s="1" t="n">
        <x:v>6000</x:v>
      </x:c>
      <x:c r="O73" s="1" t="str">
        <x:v>$6,000</x:v>
      </x:c>
      <x:c r="P73" s="1" t="n">
        <x:v>5</x:v>
      </x:c>
      <x:c r="Q73" s="1" t="n">
        <x:v>5</x:v>
      </x:c>
      <x:c r="R73" s="1" t="str">
        <x:v>5 Beds</x:v>
      </x:c>
      <x:c r="S73" s="1" t="str">
        <x:v>False</x:v>
      </x:c>
      <x:c r="T73" s="1" t="str">
        <x:v>False</x:v>
      </x:c>
      <x:c r="U73" s="1" t="str">
        <x:v>$6,000</x:v>
      </x:c>
      <x:c r="V73" s="1" t="str"/>
      <x:c r="W73" s="1" t="str">
        <x:v>False</x:v>
      </x:c>
      <x:c r="X73" s="1" t="str">
        <x:v>False</x:v>
      </x:c>
      <x:c r="Y73" s="1" t="str">
        <x:v>12 Month Lease</x:v>
      </x:c>
      <x:c r="Z73" s="1" t="str">
        <x:v>False</x:v>
      </x:c>
      <x:c r="AA73" s="1" t="str">
        <x:v>False</x:v>
      </x:c>
      <x:c r="AB73" s="1" t="n">
        <x:v>46213.37385416667</x:v>
      </x:c>
      <x:c r="AC73" s="1" t="str">
        <x:v>Single-Family Home</x:v>
      </x:c>
      <x:c r="AD73" s="1" t="str"/>
      <x:c r="AE73" s="1" t="str">
        <x:v>True</x:v>
      </x:c>
      <x:c r="AF73" s="1" t="str">
        <x:v>34</x:v>
      </x:c>
      <x:c r="AG73" s="1" t="str">
        <x:v>https://offcampus.dasa.ncsu.edu/housing/property/5-bedroom-5-full-bath-luxury-house-with-1gig-at-and-t-fiber-and-1-free-parking-space-per-bedroom/ocp032vj21</x:v>
      </x:c>
    </x:row>
    <x:row r="74" ht="15" hidden="0" customHeight="1">
      <x:c r="A74" s="1" t="str">
        <x:v>0pm7tt3</x:v>
      </x:c>
      <x:c r="B74" s="1" t="str">
        <x:v>1870508</x:v>
      </x:c>
      <x:c r="C74" s="1" t="str">
        <x:v>lnmjstg</x:v>
      </x:c>
      <x:c r="D74" s="5" t="str">
        <x:v>Campus West at Tryon</x:v>
      </x:c>
      <x:c r="E74" s="5" t="str">
        <x:v>5521 Avent Ferry Rd</x:v>
      </x:c>
      <x:c r="F74" s="1" t="str">
        <x:v>Raleigh</x:v>
      </x:c>
      <x:c r="G74" s="1" t="str">
        <x:v>NC</x:v>
      </x:c>
      <x:c r="H74" s="1" t="str">
        <x:v>27606</x:v>
      </x:c>
      <x:c r="I74" s="1" t="n">
        <x:v>35.749441</x:v>
      </x:c>
      <x:c r="J74" s="1" t="n">
        <x:v>-78.717104</x:v>
      </x:c>
      <x:c r="K74" s="1" t="str">
        <x:v>Main Campus</x:v>
      </x:c>
      <x:c r="L74" s="1" t="str">
        <x:v>2.8</x:v>
      </x:c>
      <x:c r="M74" s="1" t="n">
        <x:v>699</x:v>
      </x:c>
      <x:c r="N74" s="1" t="n">
        <x:v>699</x:v>
      </x:c>
      <x:c r="O74" s="1" t="str">
        <x:v>$699</x:v>
      </x:c>
      <x:c r="P74" s="1" t="n">
        <x:v>3</x:v>
      </x:c>
      <x:c r="Q74" s="1" t="n">
        <x:v>3</x:v>
      </x:c>
      <x:c r="R74" s="1" t="str">
        <x:v>3 Beds</x:v>
      </x:c>
      <x:c r="S74" s="1" t="str">
        <x:v>True</x:v>
      </x:c>
      <x:c r="T74" s="1" t="str">
        <x:v>False</x:v>
      </x:c>
      <x:c r="U74" s="1" t="str">
        <x:v>$699 /Bedroom</x:v>
      </x:c>
      <x:c r="V74" s="1" t="str"/>
      <x:c r="W74" s="1" t="str">
        <x:v>False</x:v>
      </x:c>
      <x:c r="X74" s="1" t="str">
        <x:v>False</x:v>
      </x:c>
      <x:c r="Y74" s="1" t="str">
        <x:v>11 Month Lease</x:v>
      </x:c>
      <x:c r="Z74" s="1" t="str">
        <x:v>False</x:v>
      </x:c>
      <x:c r="AA74" s="1" t="str">
        <x:v>False</x:v>
      </x:c>
      <x:c r="AB74" s="1" t="n">
        <x:v>46244.324328703704</x:v>
      </x:c>
      <x:c r="AC74" s="1" t="str">
        <x:v>Apartment Community</x:v>
      </x:c>
      <x:c r="AD74" s="1" t="n">
        <x:v>54</x:v>
      </x:c>
      <x:c r="AE74" s="1" t="str">
        <x:v>True</x:v>
      </x:c>
      <x:c r="AF74" s="1" t="str">
        <x:v>2</x:v>
      </x:c>
      <x:c r="AG74" s="1" t="str">
        <x:v>https://offcampus.dasa.ncsu.edu/housing/property/campus-west-at-tryon/0pm7tt3</x:v>
      </x:c>
    </x:row>
    <x:row r="75" ht="15" hidden="0" customHeight="1">
      <x:c r="A75" s="1" t="str">
        <x:v>ocpbhbkvy9</x:v>
      </x:c>
      <x:c r="B75" s="1" t="str">
        <x:v>963221</x:v>
      </x:c>
      <x:c r="C75" s="1" t="str"/>
      <x:c r="D75" s="5" t="str">
        <x:v>Voyager House</x:v>
      </x:c>
      <x:c r="E75" s="5" t="str">
        <x:v>2413 Voyager Circle</x:v>
      </x:c>
      <x:c r="F75" s="1" t="str">
        <x:v>Raleigh</x:v>
      </x:c>
      <x:c r="G75" s="1" t="str">
        <x:v>NC</x:v>
      </x:c>
      <x:c r="H75" s="1" t="str">
        <x:v>27603</x:v>
      </x:c>
      <x:c r="I75" s="1" t="n">
        <x:v>35.75259</x:v>
      </x:c>
      <x:c r="J75" s="1" t="n">
        <x:v>-78.676327</x:v>
      </x:c>
      <x:c r="K75" s="1" t="str">
        <x:v>Main Campus</x:v>
      </x:c>
      <x:c r="L75" s="1" t="str">
        <x:v>3.14</x:v>
      </x:c>
      <x:c r="M75" s="1" t="n">
        <x:v>800</x:v>
      </x:c>
      <x:c r="N75" s="1" t="n">
        <x:v>800</x:v>
      </x:c>
      <x:c r="O75" s="1" t="str">
        <x:v>$800</x:v>
      </x:c>
      <x:c r="P75" s="1" t="n">
        <x:v>1</x:v>
      </x:c>
      <x:c r="Q75" s="1" t="n">
        <x:v>1</x:v>
      </x:c>
      <x:c r="R75" s="1" t="str">
        <x:v>1 Bed</x:v>
      </x:c>
      <x:c r="S75" s="1" t="str">
        <x:v>True</x:v>
      </x:c>
      <x:c r="T75" s="1" t="str">
        <x:v>False</x:v>
      </x:c>
      <x:c r="U75" s="1" t="str">
        <x:v>$800 /Bedroom</x:v>
      </x:c>
      <x:c r="V75" s="1" t="str">
        <x:v>True</x:v>
      </x:c>
      <x:c r="W75" s="1" t="str">
        <x:v>True</x:v>
      </x:c>
      <x:c r="X75" s="1" t="str">
        <x:v>False</x:v>
      </x:c>
      <x:c r="Y75" s="1" t="str">
        <x:v>9 Month Lease</x:v>
      </x:c>
      <x:c r="Z75" s="1" t="str">
        <x:v>False</x:v>
      </x:c>
      <x:c r="AA75" s="1" t="str">
        <x:v>False</x:v>
      </x:c>
      <x:c r="AB75" s="1" t="n">
        <x:v>46173.19900462963</x:v>
      </x:c>
      <x:c r="AC75" s="1" t="str">
        <x:v>Single-Family Home</x:v>
      </x:c>
      <x:c r="AD75" s="1" t="str"/>
      <x:c r="AE75" s="1" t="str">
        <x:v>True</x:v>
      </x:c>
      <x:c r="AF75" s="1" t="str">
        <x:v>11</x:v>
      </x:c>
      <x:c r="AG75" s="1" t="str">
        <x:v>https://offcampus.dasa.ncsu.edu/housing/property/voyager-house/ocpbhbkvy9</x:v>
      </x:c>
    </x:row>
    <x:row r="76" ht="15" hidden="0" customHeight="1">
      <x:c r="A76" s="1" t="str">
        <x:v>e13mz5m</x:v>
      </x:c>
      <x:c r="B76" s="1" t="str">
        <x:v>644145</x:v>
      </x:c>
      <x:c r="C76" s="1" t="str">
        <x:v>y232w5r</x:v>
      </x:c>
      <x:c r="D76" s="5" t="str">
        <x:v>University Suites Student Housing</x:v>
      </x:c>
      <x:c r="E76" s="5" t="str">
        <x:v>2190 Ocean Reef Pl</x:v>
      </x:c>
      <x:c r="F76" s="1" t="str">
        <x:v>Raleigh</x:v>
      </x:c>
      <x:c r="G76" s="1" t="str">
        <x:v>NC</x:v>
      </x:c>
      <x:c r="H76" s="1" t="str">
        <x:v>27603</x:v>
      </x:c>
      <x:c r="I76" s="1" t="n">
        <x:v>35.747754</x:v>
      </x:c>
      <x:c r="J76" s="1" t="n">
        <x:v>-78.693507</x:v>
      </x:c>
      <x:c r="K76" s="1" t="str">
        <x:v>Main Campus</x:v>
      </x:c>
      <x:c r="L76" s="1" t="str">
        <x:v>2.37</x:v>
      </x:c>
      <x:c r="M76" s="1" t="n">
        <x:v>699</x:v>
      </x:c>
      <x:c r="N76" s="1" t="n">
        <x:v>799</x:v>
      </x:c>
      <x:c r="O76" s="1" t="str">
        <x:v>$699 - $799</x:v>
      </x:c>
      <x:c r="P76" s="1" t="n">
        <x:v>3</x:v>
      </x:c>
      <x:c r="Q76" s="1" t="n">
        <x:v>4</x:v>
      </x:c>
      <x:c r="R76" s="1" t="str">
        <x:v>3 - 4 Beds</x:v>
      </x:c>
      <x:c r="S76" s="1" t="str">
        <x:v>True</x:v>
      </x:c>
      <x:c r="T76" s="1" t="str">
        <x:v>False</x:v>
      </x:c>
      <x:c r="U76" s="1" t="str">
        <x:v>$699 - $799 /Bedroom</x:v>
      </x:c>
      <x:c r="V76" s="1" t="str"/>
      <x:c r="W76" s="1" t="str">
        <x:v>False</x:v>
      </x:c>
      <x:c r="X76" s="1" t="str">
        <x:v>False</x:v>
      </x:c>
      <x:c r="Y76" s="1" t="str">
        <x:v>11 Month Lease</x:v>
      </x:c>
      <x:c r="Z76" s="1" t="str">
        <x:v>False</x:v>
      </x:c>
      <x:c r="AA76" s="1" t="str">
        <x:v>False</x:v>
      </x:c>
      <x:c r="AB76" s="1" t="n">
        <x:v>46266.30880787037</x:v>
      </x:c>
      <x:c r="AC76" s="1" t="str">
        <x:v>Apartment Community</x:v>
      </x:c>
      <x:c r="AD76" s="1" t="n">
        <x:v>136</x:v>
      </x:c>
      <x:c r="AE76" s="1" t="str">
        <x:v>True</x:v>
      </x:c>
      <x:c r="AF76" s="1" t="str">
        <x:v>2</x:v>
      </x:c>
      <x:c r="AG76" s="1" t="str">
        <x:v>https://offcampus.dasa.ncsu.edu/housing/property/university-suites-student-housing/e13mz5m</x:v>
      </x:c>
    </x:row>
    <x:row r="77" ht="15" hidden="0" customHeight="1">
      <x:c r="A77" s="1" t="str">
        <x:v>ocpepvxvln</x:v>
      </x:c>
      <x:c r="B77" s="1" t="str">
        <x:v>2295274</x:v>
      </x:c>
      <x:c r="C77" s="1" t="str"/>
      <x:c r="D77" s="5" t="str">
        <x:v>Village Green Student Living</x:v>
      </x:c>
      <x:c r="E77" s="5" t="str">
        <x:v>2000 Village Bluff Place</x:v>
      </x:c>
      <x:c r="F77" s="1" t="str">
        <x:v>Raleigh</x:v>
      </x:c>
      <x:c r="G77" s="1" t="str">
        <x:v>NC</x:v>
      </x:c>
      <x:c r="H77" s="1" t="str">
        <x:v>27603</x:v>
      </x:c>
      <x:c r="I77" s="1" t="n">
        <x:v>35.755208</x:v>
      </x:c>
      <x:c r="J77" s="1" t="n">
        <x:v>-78.669348</x:v>
      </x:c>
      <x:c r="K77" s="1" t="str">
        <x:v>Main Campus</x:v>
      </x:c>
      <x:c r="L77" s="1" t="str">
        <x:v>2.28</x:v>
      </x:c>
      <x:c r="M77" s="1" t="n">
        <x:v>831</x:v>
      </x:c>
      <x:c r="N77" s="1" t="n">
        <x:v>831</x:v>
      </x:c>
      <x:c r="O77" s="1" t="str">
        <x:v>$831</x:v>
      </x:c>
      <x:c r="P77" s="1" t="n">
        <x:v>1</x:v>
      </x:c>
      <x:c r="Q77" s="1" t="n">
        <x:v>1</x:v>
      </x:c>
      <x:c r="R77" s="1" t="str">
        <x:v>1 Bed</x:v>
      </x:c>
      <x:c r="S77" s="1" t="str">
        <x:v>True</x:v>
      </x:c>
      <x:c r="T77" s="1" t="str">
        <x:v>False</x:v>
      </x:c>
      <x:c r="U77" s="1" t="str">
        <x:v>$831 /Bedroom</x:v>
      </x:c>
      <x:c r="V77" s="1" t="str">
        <x:v>True</x:v>
      </x:c>
      <x:c r="W77" s="1" t="str">
        <x:v>True</x:v>
      </x:c>
      <x:c r="X77" s="1" t="str">
        <x:v>True</x:v>
      </x:c>
      <x:c r="Y77" s="1" t="str">
        <x:v>12 Month Lease</x:v>
      </x:c>
      <x:c r="Z77" s="1" t="str">
        <x:v>False</x:v>
      </x:c>
      <x:c r="AA77" s="1" t="str">
        <x:v>False</x:v>
      </x:c>
      <x:c r="AB77" s="1" t="n">
        <x:v>46245.14634259259</x:v>
      </x:c>
      <x:c r="AC77" s="1" t="str">
        <x:v>Apartment Community</x:v>
      </x:c>
      <x:c r="AD77" s="1" t="str"/>
      <x:c r="AE77" s="1" t="str">
        <x:v>True</x:v>
      </x:c>
      <x:c r="AF77" s="1" t="str">
        <x:v>1</x:v>
      </x:c>
      <x:c r="AG77" s="1" t="str">
        <x:v>https://offcampus.dasa.ncsu.edu/housing/property/village-green-student-living/ocpepvxvln</x:v>
      </x:c>
    </x:row>
    <x:row r="78" ht="24" hidden="0" customHeight="1">
      <x:c r="A78" s="1" t="str">
        <x:v>ocpjpg1817</x:v>
      </x:c>
      <x:c r="B78" s="1" t="str">
        <x:v>781955</x:v>
      </x:c>
      <x:c r="C78" s="1" t="str"/>
      <x:c r="D78" s="5" t="str">
        <x:v>Gorman Street Village PRE-LEASING for 2026! 3Bed 3Bath w/ Utilities! Upgraded Units Available!</x:v>
      </x:c>
      <x:c r="E78" s="5" t="str">
        <x:v>1613 Gorman Street</x:v>
      </x:c>
      <x:c r="F78" s="1" t="str">
        <x:v>Raleigh</x:v>
      </x:c>
      <x:c r="G78" s="1" t="str">
        <x:v>NC</x:v>
      </x:c>
      <x:c r="H78" s="1" t="str">
        <x:v>27606</x:v>
      </x:c>
      <x:c r="I78" s="1" t="n">
        <x:v>35.77603</x:v>
      </x:c>
      <x:c r="J78" s="1" t="n">
        <x:v>-78.688002</x:v>
      </x:c>
      <x:c r="K78" s="1" t="str">
        <x:v>Main Campus</x:v>
      </x:c>
      <x:c r="L78" s="1" t="str">
        <x:v>0.23</x:v>
      </x:c>
      <x:c r="M78" s="1" t="n">
        <x:v>2295</x:v>
      </x:c>
      <x:c r="N78" s="1" t="n">
        <x:v>2295</x:v>
      </x:c>
      <x:c r="O78" s="1" t="str">
        <x:v>$2,295</x:v>
      </x:c>
      <x:c r="P78" s="1" t="n">
        <x:v>3</x:v>
      </x:c>
      <x:c r="Q78" s="1" t="n">
        <x:v>3</x:v>
      </x:c>
      <x:c r="R78" s="1" t="str">
        <x:v>3 Beds</x:v>
      </x:c>
      <x:c r="S78" s="1" t="str">
        <x:v>False</x:v>
      </x:c>
      <x:c r="T78" s="1" t="str">
        <x:v>False</x:v>
      </x:c>
      <x:c r="U78" s="1" t="str">
        <x:v>$2,410</x:v>
      </x:c>
      <x:c r="V78" s="1" t="str">
        <x:v>True</x:v>
      </x:c>
      <x:c r="W78" s="1" t="str">
        <x:v>False</x:v>
      </x:c>
      <x:c r="X78" s="1" t="str">
        <x:v>False</x:v>
      </x:c>
      <x:c r="Y78" s="1" t="str">
        <x:v>12 Month Lease</x:v>
      </x:c>
      <x:c r="Z78" s="1" t="str">
        <x:v>False</x:v>
      </x:c>
      <x:c r="AA78" s="1" t="str">
        <x:v>False</x:v>
      </x:c>
      <x:c r="AB78" s="1" t="n">
        <x:v>46177.207083333335</x:v>
      </x:c>
      <x:c r="AC78" s="1" t="str">
        <x:v>Apartment Community</x:v>
      </x:c>
      <x:c r="AD78" s="1" t="str"/>
      <x:c r="AE78" s="1" t="str">
        <x:v>True</x:v>
      </x:c>
      <x:c r="AF78" s="1" t="str">
        <x:v>6</x:v>
      </x:c>
      <x:c r="AG78" s="1" t="str">
        <x:v>https://offcampus.dasa.ncsu.edu/housing/property/gorman-street-village-pre-leasing-for-2026-3bed-3bath-w-utilities-upgraded-units-available/ocpjpg1817</x:v>
      </x:c>
    </x:row>
    <x:row r="79" ht="24" hidden="0" customHeight="1">
      <x:c r="A79" s="1" t="str">
        <x:v>ocpgxr290w</x:v>
      </x:c>
      <x:c r="B79" s="1" t="str">
        <x:v>1768965</x:v>
      </x:c>
      <x:c r="C79" s="1" t="str"/>
      <x:c r="D79" s="5" t="str">
        <x:v>Spacious Forest Park Two-Room Suite + Private Bath - Walk to Campus (Includes Utilities)</x:v>
      </x:c>
      <x:c r="E79" s="5" t="str">
        <x:v>204 E. Park Dr.</x:v>
      </x:c>
      <x:c r="F79" s="1" t="str">
        <x:v>Raleigh</x:v>
      </x:c>
      <x:c r="G79" s="1" t="str">
        <x:v>NC</x:v>
      </x:c>
      <x:c r="H79" s="1" t="str">
        <x:v>27605</x:v>
      </x:c>
      <x:c r="I79" s="1" t="n">
        <x:v>35.78692</x:v>
      </x:c>
      <x:c r="J79" s="1" t="n">
        <x:v>-78.654559</x:v>
      </x:c>
      <x:c r="K79" s="1" t="str">
        <x:v>Main Campus</x:v>
      </x:c>
      <x:c r="L79" s="1" t="str">
        <x:v>0.59</x:v>
      </x:c>
      <x:c r="M79" s="1" t="n">
        <x:v>1225</x:v>
      </x:c>
      <x:c r="N79" s="1" t="n">
        <x:v>1225</x:v>
      </x:c>
      <x:c r="O79" s="1" t="str">
        <x:v>$1,225</x:v>
      </x:c>
      <x:c r="P79" s="1" t="n">
        <x:v>2</x:v>
      </x:c>
      <x:c r="Q79" s="1" t="n">
        <x:v>2</x:v>
      </x:c>
      <x:c r="R79" s="1" t="str">
        <x:v>2 Beds</x:v>
      </x:c>
      <x:c r="S79" s="1" t="str">
        <x:v>False</x:v>
      </x:c>
      <x:c r="T79" s="1" t="str">
        <x:v>False</x:v>
      </x:c>
      <x:c r="U79" s="1" t="str">
        <x:v>$1,225</x:v>
      </x:c>
      <x:c r="V79" s="1" t="str">
        <x:v>True</x:v>
      </x:c>
      <x:c r="W79" s="1" t="str">
        <x:v>False</x:v>
      </x:c>
      <x:c r="X79" s="1" t="str">
        <x:v>False</x:v>
      </x:c>
      <x:c r="Y79" s="1" t="str">
        <x:v>6 Month Lease</x:v>
      </x:c>
      <x:c r="Z79" s="1" t="str">
        <x:v>False</x:v>
      </x:c>
      <x:c r="AA79" s="1" t="str">
        <x:v>False</x:v>
      </x:c>
      <x:c r="AB79" s="1" t="n">
        <x:v>46259.02991898148</x:v>
      </x:c>
      <x:c r="AC79" s="1" t="str">
        <x:v>Single-Family Home</x:v>
      </x:c>
      <x:c r="AD79" s="1" t="str"/>
      <x:c r="AE79" s="1" t="str">
        <x:v>True</x:v>
      </x:c>
      <x:c r="AF79" s="1" t="str">
        <x:v>20</x:v>
      </x:c>
      <x:c r="AG79" s="1" t="str">
        <x:v>https://offcampus.dasa.ncsu.edu/housing/property/spacious-forest-park-two-room-suite-private-bath-walk-to-campus-includes-utilities/ocpgxr290w</x:v>
      </x:c>
    </x:row>
    <x:row r="80" ht="24" hidden="0" customHeight="1">
      <x:c r="A80" s="1" t="str">
        <x:v>ocpb48f058</x:v>
      </x:c>
      <x:c r="B80" s="1" t="str">
        <x:v>850643</x:v>
      </x:c>
      <x:c r="C80" s="1" t="str"/>
      <x:c r="D80" s="5" t="str">
        <x:v>Now Pre-Leasing for August 2026! 1 and 3 Bedrooms with Utilities! Marcom St Apartments!</x:v>
      </x:c>
      <x:c r="E80" s="5" t="str">
        <x:v>1401 Stovall Drive</x:v>
      </x:c>
      <x:c r="F80" s="1" t="str">
        <x:v>Raleigh</x:v>
      </x:c>
      <x:c r="G80" s="1" t="str">
        <x:v>NC</x:v>
      </x:c>
      <x:c r="H80" s="1" t="str">
        <x:v>27606</x:v>
      </x:c>
      <x:c r="I80" s="1" t="n">
        <x:v>35.779168</x:v>
      </x:c>
      <x:c r="J80" s="1" t="n">
        <x:v>-78.689547</x:v>
      </x:c>
      <x:c r="K80" s="1" t="str">
        <x:v>Main Campus</x:v>
      </x:c>
      <x:c r="L80" s="1" t="str">
        <x:v>0.15</x:v>
      </x:c>
      <x:c r="M80" s="1" t="n">
        <x:v>1545</x:v>
      </x:c>
      <x:c r="N80" s="1" t="n">
        <x:v>2045</x:v>
      </x:c>
      <x:c r="O80" s="1" t="str">
        <x:v>$1,545 - $2,045</x:v>
      </x:c>
      <x:c r="P80" s="1" t="n">
        <x:v>2</x:v>
      </x:c>
      <x:c r="Q80" s="1" t="n">
        <x:v>3</x:v>
      </x:c>
      <x:c r="R80" s="1" t="str">
        <x:v>2 - 3 Beds</x:v>
      </x:c>
      <x:c r="S80" s="1" t="str">
        <x:v>False</x:v>
      </x:c>
      <x:c r="T80" s="1" t="str">
        <x:v>False</x:v>
      </x:c>
      <x:c r="U80" s="1" t="str">
        <x:v>$1,620 - $2,160</x:v>
      </x:c>
      <x:c r="V80" s="1" t="str">
        <x:v>True</x:v>
      </x:c>
      <x:c r="W80" s="1" t="str">
        <x:v>False</x:v>
      </x:c>
      <x:c r="X80" s="1" t="str">
        <x:v>False</x:v>
      </x:c>
      <x:c r="Y80" s="1" t="str">
        <x:v>12 Month Lease</x:v>
      </x:c>
      <x:c r="Z80" s="1" t="str">
        <x:v>False</x:v>
      </x:c>
      <x:c r="AA80" s="1" t="str">
        <x:v>False</x:v>
      </x:c>
      <x:c r="AB80" s="1" t="n">
        <x:v>46212.65960648148</x:v>
      </x:c>
      <x:c r="AC80" s="1" t="str">
        <x:v>Apartment Community</x:v>
      </x:c>
      <x:c r="AD80" s="1" t="str"/>
      <x:c r="AE80" s="1" t="str">
        <x:v>True</x:v>
      </x:c>
      <x:c r="AF80" s="1" t="str">
        <x:v>16</x:v>
      </x:c>
      <x:c r="AG80" s="1" t="str">
        <x:v>https://offcampus.dasa.ncsu.edu/housing/property/now-pre-leasing-for-august-2026-1-and-3-bedrooms-with-utilities-marcom-st-apartments/ocpb48f058</x:v>
      </x:c>
    </x:row>
    <x:row r="81" ht="24" hidden="0" customHeight="1">
      <x:c r="A81" s="1" t="str">
        <x:v>ocpsd8dpj6</x:v>
      </x:c>
      <x:c r="B81" s="1" t="str">
        <x:v>1006656</x:v>
      </x:c>
      <x:c r="C81" s="1" t="str"/>
      <x:c r="D81" s="5" t="str">
        <x:v>Spacious En-suite with private patio and garage parking in Crescent Ridge Townhome Community</x:v>
      </x:c>
      <x:c r="E81" s="5" t="str">
        <x:v>4503 Pale Moss Drive</x:v>
      </x:c>
      <x:c r="F81" s="1" t="str">
        <x:v>Raleigh</x:v>
      </x:c>
      <x:c r="G81" s="1" t="str">
        <x:v>NC</x:v>
      </x:c>
      <x:c r="H81" s="1" t="str">
        <x:v>27606</x:v>
      </x:c>
      <x:c r="I81" s="1" t="n">
        <x:v>35.749844</x:v>
      </x:c>
      <x:c r="J81" s="1" t="n">
        <x:v>-78.713718</x:v>
      </x:c>
      <x:c r="K81" s="1" t="str">
        <x:v>Main Campus</x:v>
      </x:c>
      <x:c r="L81" s="1" t="str">
        <x:v>2.93</x:v>
      </x:c>
      <x:c r="M81" s="1" t="n">
        <x:v>900</x:v>
      </x:c>
      <x:c r="N81" s="1" t="n">
        <x:v>900</x:v>
      </x:c>
      <x:c r="O81" s="1" t="str">
        <x:v>$900</x:v>
      </x:c>
      <x:c r="P81" s="1" t="n">
        <x:v>1</x:v>
      </x:c>
      <x:c r="Q81" s="1" t="n">
        <x:v>1</x:v>
      </x:c>
      <x:c r="R81" s="1" t="str">
        <x:v>1 Bed</x:v>
      </x:c>
      <x:c r="S81" s="1" t="str">
        <x:v>True</x:v>
      </x:c>
      <x:c r="T81" s="1" t="str">
        <x:v>False</x:v>
      </x:c>
      <x:c r="U81" s="1" t="str">
        <x:v>$900 /Bedroom</x:v>
      </x:c>
      <x:c r="V81" s="1" t="str">
        <x:v>True</x:v>
      </x:c>
      <x:c r="W81" s="1" t="str">
        <x:v>True</x:v>
      </x:c>
      <x:c r="X81" s="1" t="str">
        <x:v>False</x:v>
      </x:c>
      <x:c r="Y81" s="1" t="str">
        <x:v>12 Month Lease</x:v>
      </x:c>
      <x:c r="Z81" s="1" t="str">
        <x:v>False</x:v>
      </x:c>
      <x:c r="AA81" s="1" t="str">
        <x:v>False</x:v>
      </x:c>
      <x:c r="AB81" s="1" t="n">
        <x:v>46259.831979166665</x:v>
      </x:c>
      <x:c r="AC81" s="1" t="str">
        <x:v>Townhome</x:v>
      </x:c>
      <x:c r="AD81" s="1" t="str"/>
      <x:c r="AE81" s="1" t="str">
        <x:v>True</x:v>
      </x:c>
      <x:c r="AF81" s="1" t="str">
        <x:v>11</x:v>
      </x:c>
      <x:c r="AG81" s="1" t="str">
        <x:v>https://offcampus.dasa.ncsu.edu/housing/property/spacious-en-suite-with-private-patio-and-garage-parking-in-crescent-ridge-townhome-community/ocpsd8dpj6</x:v>
      </x:c>
    </x:row>
    <x:row r="82" ht="15" hidden="0" customHeight="1">
      <x:c r="A82" s="1" t="str">
        <x:v>xcp87fm</x:v>
      </x:c>
      <x:c r="B82" s="1" t="str">
        <x:v>1992324</x:v>
      </x:c>
      <x:c r="C82" s="1" t="str">
        <x:v>f8py4fr</x:v>
      </x:c>
      <x:c r="D82" s="5" t="str">
        <x:v>Tryon Flats Apartments</x:v>
      </x:c>
      <x:c r="E82" s="5" t="str">
        <x:v>3116 Tryon Rd</x:v>
      </x:c>
      <x:c r="F82" s="1" t="str">
        <x:v>Raleigh</x:v>
      </x:c>
      <x:c r="G82" s="1" t="str">
        <x:v>NC</x:v>
      </x:c>
      <x:c r="H82" s="1" t="str">
        <x:v>27603</x:v>
      </x:c>
      <x:c r="I82" s="1" t="n">
        <x:v>35.743632</x:v>
      </x:c>
      <x:c r="J82" s="1" t="n">
        <x:v>-78.686435</x:v>
      </x:c>
      <x:c r="K82" s="1" t="str">
        <x:v>Main Campus</x:v>
      </x:c>
      <x:c r="L82" s="1" t="str">
        <x:v>3.48</x:v>
      </x:c>
      <x:c r="M82" s="1" t="n">
        <x:v>750</x:v>
      </x:c>
      <x:c r="N82" s="1" t="n">
        <x:v>750</x:v>
      </x:c>
      <x:c r="O82" s="1" t="str">
        <x:v>$750</x:v>
      </x:c>
      <x:c r="P82" s="1" t="n">
        <x:v>4</x:v>
      </x:c>
      <x:c r="Q82" s="1" t="n">
        <x:v>4</x:v>
      </x:c>
      <x:c r="R82" s="1" t="str">
        <x:v>4 Beds</x:v>
      </x:c>
      <x:c r="S82" s="1" t="str">
        <x:v>True</x:v>
      </x:c>
      <x:c r="T82" s="1" t="str">
        <x:v>False</x:v>
      </x:c>
      <x:c r="U82" s="1" t="str">
        <x:v>$750 /Bedroom</x:v>
      </x:c>
      <x:c r="V82" s="1" t="str">
        <x:v>True</x:v>
      </x:c>
      <x:c r="W82" s="1" t="str">
        <x:v>False</x:v>
      </x:c>
      <x:c r="X82" s="1" t="str">
        <x:v>False</x:v>
      </x:c>
      <x:c r="Y82" s="1" t="str">
        <x:v>12 Month Lease</x:v>
      </x:c>
      <x:c r="Z82" s="1" t="str">
        <x:v>False</x:v>
      </x:c>
      <x:c r="AA82" s="1" t="str">
        <x:v>False</x:v>
      </x:c>
      <x:c r="AB82" s="1" t="n">
        <x:v>46245.32822916667</x:v>
      </x:c>
      <x:c r="AC82" s="1" t="str">
        <x:v>Apartment Community</x:v>
      </x:c>
      <x:c r="AD82" s="1" t="n">
        <x:v>16</x:v>
      </x:c>
      <x:c r="AE82" s="1" t="str">
        <x:v>True</x:v>
      </x:c>
      <x:c r="AF82" s="1" t="str">
        <x:v>2</x:v>
      </x:c>
      <x:c r="AG82" s="1" t="str">
        <x:v>https://offcampus.dasa.ncsu.edu/housing/property/tryon-flats-apartments/xcp87fm</x:v>
      </x:c>
    </x:row>
    <x:row r="83" ht="15" hidden="0" customHeight="1">
      <x:c r="A83" s="1" t="str">
        <x:v>ocpsq86tm4</x:v>
      </x:c>
      <x:c r="B83" s="1" t="str">
        <x:v>1627638</x:v>
      </x:c>
      <x:c r="C83" s="1" t="str"/>
      <x:c r="D83" s="5" t="str">
        <x:v>4bed 4bath Apartment Near Centennial Campus</x:v>
      </x:c>
      <x:c r="E83" s="5" t="str">
        <x:v>1441 Collegiate Circle</x:v>
      </x:c>
      <x:c r="F83" s="1" t="str">
        <x:v>RALEIGH</x:v>
      </x:c>
      <x:c r="G83" s="1" t="str">
        <x:v>NC</x:v>
      </x:c>
      <x:c r="H83" s="1" t="str">
        <x:v>27606</x:v>
      </x:c>
      <x:c r="I83" s="1" t="n">
        <x:v>35.762747</x:v>
      </x:c>
      <x:c r="J83" s="1" t="n">
        <x:v>-78.70112</x:v>
      </x:c>
      <x:c r="K83" s="1" t="str">
        <x:v>Main Campus</x:v>
      </x:c>
      <x:c r="L83" s="1" t="str">
        <x:v>1.65</x:v>
      </x:c>
      <x:c r="M83" s="1" t="n">
        <x:v>725</x:v>
      </x:c>
      <x:c r="N83" s="1" t="n">
        <x:v>725</x:v>
      </x:c>
      <x:c r="O83" s="1" t="str">
        <x:v>$725</x:v>
      </x:c>
      <x:c r="P83" s="1" t="n">
        <x:v>4</x:v>
      </x:c>
      <x:c r="Q83" s="1" t="n">
        <x:v>4</x:v>
      </x:c>
      <x:c r="R83" s="1" t="str">
        <x:v>4 Beds</x:v>
      </x:c>
      <x:c r="S83" s="1" t="str">
        <x:v>True</x:v>
      </x:c>
      <x:c r="T83" s="1" t="str">
        <x:v>False</x:v>
      </x:c>
      <x:c r="U83" s="1" t="str">
        <x:v>$725 /Bedroom</x:v>
      </x:c>
      <x:c r="V83" s="1" t="str">
        <x:v>True</x:v>
      </x:c>
      <x:c r="W83" s="1" t="str">
        <x:v>True</x:v>
      </x:c>
      <x:c r="X83" s="1" t="str">
        <x:v>False</x:v>
      </x:c>
      <x:c r="Y83" s="1" t="str">
        <x:v>12 Month Lease</x:v>
      </x:c>
      <x:c r="Z83" s="1" t="str">
        <x:v>False</x:v>
      </x:c>
      <x:c r="AA83" s="1" t="str">
        <x:v>False</x:v>
      </x:c>
      <x:c r="AB83" s="1" t="n">
        <x:v>46177.84243055555</x:v>
      </x:c>
      <x:c r="AC83" s="1" t="str">
        <x:v>Residential Condo Unit For Rent</x:v>
      </x:c>
      <x:c r="AD83" s="1" t="str"/>
      <x:c r="AE83" s="1" t="str">
        <x:v>True</x:v>
      </x:c>
      <x:c r="AF83" s="1" t="str">
        <x:v>14</x:v>
      </x:c>
      <x:c r="AG83" s="1" t="str">
        <x:v>https://offcampus.dasa.ncsu.edu/housing/property/4bed-4bath-apartment-near-centennial-campus/ocpsq86tm4</x:v>
      </x:c>
    </x:row>
    <x:row r="84" ht="15" hidden="0" customHeight="1">
      <x:c r="A84" s="1" t="str">
        <x:v>35cz5ed</x:v>
      </x:c>
      <x:c r="B84" s="1" t="str">
        <x:v>2201766</x:v>
      </x:c>
      <x:c r="C84" s="1" t="str">
        <x:v>h6c96e0</x:v>
      </x:c>
      <x:c r="D84" s="5" t="str">
        <x:v>644 Coleman St (Raleigh, NC)</x:v>
      </x:c>
      <x:c r="E84" s="5" t="str">
        <x:v>644 Coleman St</x:v>
      </x:c>
      <x:c r="F84" s="1" t="str">
        <x:v>Raleigh</x:v>
      </x:c>
      <x:c r="G84" s="1" t="str">
        <x:v>NC</x:v>
      </x:c>
      <x:c r="H84" s="1" t="str">
        <x:v>27610</x:v>
      </x:c>
      <x:c r="I84" s="1" t="n">
        <x:v>35.770543</x:v>
      </x:c>
      <x:c r="J84" s="1" t="n">
        <x:v>-78.622703</x:v>
      </x:c>
      <x:c r="K84" s="1" t="str">
        <x:v>Main Campus</x:v>
      </x:c>
      <x:c r="L84" s="1" t="str">
        <x:v>2.96</x:v>
      </x:c>
      <x:c r="M84" s="1" t="n">
        <x:v>2150</x:v>
      </x:c>
      <x:c r="N84" s="1" t="n">
        <x:v>2150</x:v>
      </x:c>
      <x:c r="O84" s="1" t="str">
        <x:v>$2,150</x:v>
      </x:c>
      <x:c r="P84" s="1" t="n">
        <x:v>3</x:v>
      </x:c>
      <x:c r="Q84" s="1" t="n">
        <x:v>3</x:v>
      </x:c>
      <x:c r="R84" s="1" t="str">
        <x:v>3 Beds</x:v>
      </x:c>
      <x:c r="S84" s="1" t="str">
        <x:v>False</x:v>
      </x:c>
      <x:c r="T84" s="1" t="str">
        <x:v>False</x:v>
      </x:c>
      <x:c r="U84" s="1" t="str">
        <x:v>$2,150</x:v>
      </x:c>
      <x:c r="V84" s="1" t="str"/>
      <x:c r="W84" s="1" t="str">
        <x:v>False</x:v>
      </x:c>
      <x:c r="X84" s="1" t="str">
        <x:v>False</x:v>
      </x:c>
      <x:c r="Y84" s="1" t="str"/>
      <x:c r="Z84" s="1" t="str">
        <x:v>False</x:v>
      </x:c>
      <x:c r="AA84" s="1" t="str">
        <x:v>False</x:v>
      </x:c>
      <x:c r="AB84" s="1" t="n">
        <x:v>46269.50015046296</x:v>
      </x:c>
      <x:c r="AC84" s="1" t="str">
        <x:v>Apartment Unit For Rent</x:v>
      </x:c>
      <x:c r="AD84" s="1" t="n">
        <x:v>1</x:v>
      </x:c>
      <x:c r="AE84" s="1" t="str">
        <x:v>True</x:v>
      </x:c>
      <x:c r="AF84" s="1" t="str">
        <x:v>2</x:v>
      </x:c>
      <x:c r="AG84" s="1" t="str">
        <x:v>https://offcampus.dasa.ncsu.edu/housing/property/644-coleman-st-raleigh-nc/35cz5ed</x:v>
      </x:c>
    </x:row>
    <x:row r="85" ht="15" hidden="0" customHeight="1">
      <x:c r="A85" s="1" t="str">
        <x:v>ocp2gxtxqc</x:v>
      </x:c>
      <x:c r="B85" s="1" t="str">
        <x:v>2063730</x:v>
      </x:c>
      <x:c r="C85" s="1" t="str"/>
      <x:c r="D85" s="5" t="str">
        <x:v>The Station</x:v>
      </x:c>
      <x:c r="E85" s="5" t="str">
        <x:v>1310 Oglethorpe Avenue</x:v>
      </x:c>
      <x:c r="F85" s="1" t="str">
        <x:v>Raleigh</x:v>
      </x:c>
      <x:c r="G85" s="1" t="str">
        <x:v>NC</x:v>
      </x:c>
      <x:c r="H85" s="1" t="str">
        <x:v>27607</x:v>
      </x:c>
      <x:c r="I85" s="1" t="n">
        <x:v>35.798893</x:v>
      </x:c>
      <x:c r="J85" s="1" t="n">
        <x:v>-78.711756</x:v>
      </x:c>
      <x:c r="K85" s="1" t="str">
        <x:v>Main Campus</x:v>
      </x:c>
      <x:c r="L85" s="1" t="str">
        <x:v>2.0</x:v>
      </x:c>
      <x:c r="M85" s="1" t="n">
        <x:v>969</x:v>
      </x:c>
      <x:c r="N85" s="1" t="n">
        <x:v>969</x:v>
      </x:c>
      <x:c r="O85" s="1" t="str">
        <x:v>$969</x:v>
      </x:c>
      <x:c r="P85" s="1" t="n">
        <x:v>1</x:v>
      </x:c>
      <x:c r="Q85" s="1" t="n">
        <x:v>1</x:v>
      </x:c>
      <x:c r="R85" s="1" t="str">
        <x:v>1 Bed</x:v>
      </x:c>
      <x:c r="S85" s="1" t="str">
        <x:v>True</x:v>
      </x:c>
      <x:c r="T85" s="1" t="str">
        <x:v>False</x:v>
      </x:c>
      <x:c r="U85" s="1" t="str">
        <x:v>$969 /Bedroom</x:v>
      </x:c>
      <x:c r="V85" s="1" t="str">
        <x:v>True</x:v>
      </x:c>
      <x:c r="W85" s="1" t="str">
        <x:v>True</x:v>
      </x:c>
      <x:c r="X85" s="1" t="str">
        <x:v>False</x:v>
      </x:c>
      <x:c r="Y85" s="1" t="str">
        <x:v>7 Month Lease</x:v>
      </x:c>
      <x:c r="Z85" s="1" t="str">
        <x:v>False</x:v>
      </x:c>
      <x:c r="AA85" s="1" t="str">
        <x:v>False</x:v>
      </x:c>
      <x:c r="AB85" s="1" t="n">
        <x:v>46258.85884259259</x:v>
      </x:c>
      <x:c r="AC85" s="1" t="str">
        <x:v>Apartment Community</x:v>
      </x:c>
      <x:c r="AD85" s="1" t="str"/>
      <x:c r="AE85" s="1" t="str">
        <x:v>True</x:v>
      </x:c>
      <x:c r="AF85" s="1" t="str">
        <x:v>1</x:v>
      </x:c>
      <x:c r="AG85" s="1" t="str">
        <x:v>https://offcampus.dasa.ncsu.edu/housing/property/the-station/ocp2gxtxqc</x:v>
      </x:c>
    </x:row>
    <x:row r="86" ht="15" hidden="0" customHeight="1">
      <x:c r="A86" s="1" t="str">
        <x:v>pxc3rhs</x:v>
      </x:c>
      <x:c r="B86" s="1" t="str">
        <x:v>1138012</x:v>
      </x:c>
      <x:c r="C86" s="1" t="str">
        <x:v>5ycnvhn</x:v>
      </x:c>
      <x:c r="D86" s="5" t="str">
        <x:v>Room in Condo on Crab Orchard Dr</x:v>
      </x:c>
      <x:c r="E86" s="5" t="str">
        <x:v>1331 Crab Orchard Dr</x:v>
      </x:c>
      <x:c r="F86" s="1" t="str">
        <x:v>Raleigh</x:v>
      </x:c>
      <x:c r="G86" s="1" t="str">
        <x:v>NC</x:v>
      </x:c>
      <x:c r="H86" s="1" t="str">
        <x:v>27606</x:v>
      </x:c>
      <x:c r="I86" s="1" t="n">
        <x:v>35.76253</x:v>
      </x:c>
      <x:c r="J86" s="1" t="n">
        <x:v>-78.70263</x:v>
      </x:c>
      <x:c r="K86" s="1" t="str">
        <x:v>Main Campus</x:v>
      </x:c>
      <x:c r="L86" s="1" t="str">
        <x:v>1.75</x:v>
      </x:c>
      <x:c r="M86" s="1" t="n">
        <x:v>675</x:v>
      </x:c>
      <x:c r="N86" s="1" t="n">
        <x:v>675</x:v>
      </x:c>
      <x:c r="O86" s="1" t="str">
        <x:v>$675</x:v>
      </x:c>
      <x:c r="P86" s="1" t="n">
        <x:v>1</x:v>
      </x:c>
      <x:c r="Q86" s="1" t="n">
        <x:v>1</x:v>
      </x:c>
      <x:c r="R86" s="1" t="str">
        <x:v>1 Bed</x:v>
      </x:c>
      <x:c r="S86" s="1" t="str">
        <x:v>False</x:v>
      </x:c>
      <x:c r="T86" s="1" t="str">
        <x:v>False</x:v>
      </x:c>
      <x:c r="U86" s="1" t="str">
        <x:v>$675</x:v>
      </x:c>
      <x:c r="V86" s="1" t="str"/>
      <x:c r="W86" s="1" t="str">
        <x:v>False</x:v>
      </x:c>
      <x:c r="X86" s="1" t="str">
        <x:v>False</x:v>
      </x:c>
      <x:c r="Y86" s="1" t="str"/>
      <x:c r="Z86" s="1" t="str">
        <x:v>False</x:v>
      </x:c>
      <x:c r="AA86" s="1" t="str">
        <x:v>False</x:v>
      </x:c>
      <x:c r="AB86" s="1" t="n">
        <x:v>46184.592094907406</x:v>
      </x:c>
      <x:c r="AC86" s="1" t="str">
        <x:v>Duplex</x:v>
      </x:c>
      <x:c r="AD86" s="1" t="n">
        <x:v>1</x:v>
      </x:c>
      <x:c r="AE86" s="1" t="str">
        <x:v>True</x:v>
      </x:c>
      <x:c r="AF86" s="1" t="str">
        <x:v>2</x:v>
      </x:c>
      <x:c r="AG86" s="1" t="str">
        <x:v>https://offcampus.dasa.ncsu.edu/housing/property/room-in-condo-on-crab-orchard-dr/pxc3rhs</x:v>
      </x:c>
    </x:row>
    <x:row r="87" ht="15" hidden="0" customHeight="1">
      <x:c r="A87" s="1" t="str">
        <x:v>ocppbmmgnt</x:v>
      </x:c>
      <x:c r="B87" s="1" t="str">
        <x:v>750953</x:v>
      </x:c>
      <x:c r="C87" s="1" t="str"/>
      <x:c r="D87" s="5" t="str">
        <x:v>5 bedroom townhome available near NC State</x:v>
      </x:c>
      <x:c r="E87" s="5" t="str">
        <x:v>2820 Barrymore Street Apt 102</x:v>
      </x:c>
      <x:c r="F87" s="1" t="str">
        <x:v>Raleigh</x:v>
      </x:c>
      <x:c r="G87" s="1" t="str">
        <x:v>NC</x:v>
      </x:c>
      <x:c r="H87" s="1" t="str">
        <x:v>27603</x:v>
      </x:c>
      <x:c r="I87" s="1" t="n">
        <x:v>35.745216</x:v>
      </x:c>
      <x:c r="J87" s="1" t="n">
        <x:v>-78.684625</x:v>
      </x:c>
      <x:c r="K87" s="1" t="str">
        <x:v>Main Campus</x:v>
      </x:c>
      <x:c r="L87" s="1" t="str">
        <x:v>3.05</x:v>
      </x:c>
      <x:c r="M87" s="1" t="n">
        <x:v>650</x:v>
      </x:c>
      <x:c r="N87" s="1" t="n">
        <x:v>650</x:v>
      </x:c>
      <x:c r="O87" s="1" t="str">
        <x:v>$650</x:v>
      </x:c>
      <x:c r="P87" s="1" t="n">
        <x:v>2</x:v>
      </x:c>
      <x:c r="Q87" s="1" t="n">
        <x:v>2</x:v>
      </x:c>
      <x:c r="R87" s="1" t="str">
        <x:v>2 Beds</x:v>
      </x:c>
      <x:c r="S87" s="1" t="str">
        <x:v>True</x:v>
      </x:c>
      <x:c r="T87" s="1" t="str">
        <x:v>False</x:v>
      </x:c>
      <x:c r="U87" s="1" t="str">
        <x:v>$650 /Bedroom</x:v>
      </x:c>
      <x:c r="V87" s="1" t="str">
        <x:v>True</x:v>
      </x:c>
      <x:c r="W87" s="1" t="str">
        <x:v>True</x:v>
      </x:c>
      <x:c r="X87" s="1" t="str">
        <x:v>False</x:v>
      </x:c>
      <x:c r="Y87" s="1" t="str">
        <x:v>12 Month Lease</x:v>
      </x:c>
      <x:c r="Z87" s="1" t="str">
        <x:v>False</x:v>
      </x:c>
      <x:c r="AA87" s="1" t="str">
        <x:v>False</x:v>
      </x:c>
      <x:c r="AB87" s="1" t="n">
        <x:v>46068.57130787037</x:v>
      </x:c>
      <x:c r="AC87" s="1" t="str">
        <x:v>Townhome</x:v>
      </x:c>
      <x:c r="AD87" s="1" t="str"/>
      <x:c r="AE87" s="1" t="str">
        <x:v>True</x:v>
      </x:c>
      <x:c r="AF87" s="1" t="str">
        <x:v>13</x:v>
      </x:c>
      <x:c r="AG87" s="1" t="str">
        <x:v>https://offcampus.dasa.ncsu.edu/housing/property/5-bedroom-townhome-available-near-nc-state/ocppbmmgnt</x:v>
      </x:c>
    </x:row>
    <x:row r="88" ht="15" hidden="0" customHeight="1">
      <x:c r="A88" s="1" t="str">
        <x:v>tqbb2mb</x:v>
      </x:c>
      <x:c r="B88" s="1" t="str">
        <x:v>1137998</x:v>
      </x:c>
      <x:c r="C88" s="1" t="str">
        <x:v>9mbw1m6</x:v>
      </x:c>
      <x:c r="D88" s="5" t="str">
        <x:v>Room in House on Okelly St</x:v>
      </x:c>
      <x:c r="E88" s="5" t="str">
        <x:v>2923 Okelly St</x:v>
      </x:c>
      <x:c r="F88" s="1" t="str">
        <x:v>Raleigh</x:v>
      </x:c>
      <x:c r="G88" s="1" t="str">
        <x:v>NC</x:v>
      </x:c>
      <x:c r="H88" s="1" t="str">
        <x:v>27607</x:v>
      </x:c>
      <x:c r="I88" s="1" t="n">
        <x:v>35.789836</x:v>
      </x:c>
      <x:c r="J88" s="1" t="n">
        <x:v>-78.689938</x:v>
      </x:c>
      <x:c r="K88" s="1" t="str">
        <x:v>Main Campus</x:v>
      </x:c>
      <x:c r="L88" s="1" t="str">
        <x:v>0.26</x:v>
      </x:c>
      <x:c r="M88" s="1" t="n">
        <x:v>725</x:v>
      </x:c>
      <x:c r="N88" s="1" t="n">
        <x:v>725</x:v>
      </x:c>
      <x:c r="O88" s="1" t="str">
        <x:v>$725</x:v>
      </x:c>
      <x:c r="P88" s="1" t="n">
        <x:v>1</x:v>
      </x:c>
      <x:c r="Q88" s="1" t="n">
        <x:v>1</x:v>
      </x:c>
      <x:c r="R88" s="1" t="str">
        <x:v>1 Bed</x:v>
      </x:c>
      <x:c r="S88" s="1" t="str">
        <x:v>False</x:v>
      </x:c>
      <x:c r="T88" s="1" t="str">
        <x:v>False</x:v>
      </x:c>
      <x:c r="U88" s="1" t="str">
        <x:v>$725</x:v>
      </x:c>
      <x:c r="V88" s="1" t="str"/>
      <x:c r="W88" s="1" t="str">
        <x:v>False</x:v>
      </x:c>
      <x:c r="X88" s="1" t="str">
        <x:v>False</x:v>
      </x:c>
      <x:c r="Y88" s="1" t="str"/>
      <x:c r="Z88" s="1" t="str">
        <x:v>False</x:v>
      </x:c>
      <x:c r="AA88" s="1" t="str">
        <x:v>False</x:v>
      </x:c>
      <x:c r="AB88" s="1" t="n">
        <x:v>46239.48886574074</x:v>
      </x:c>
      <x:c r="AC88" s="1" t="str">
        <x:v>Single-Family Home</x:v>
      </x:c>
      <x:c r="AD88" s="1" t="n">
        <x:v>1</x:v>
      </x:c>
      <x:c r="AE88" s="1" t="str">
        <x:v>True</x:v>
      </x:c>
      <x:c r="AF88" s="1" t="str">
        <x:v>2</x:v>
      </x:c>
      <x:c r="AG88" s="1" t="str">
        <x:v>https://offcampus.dasa.ncsu.edu/housing/property/room-in-house-on-okelly-st/tqbb2mb</x:v>
      </x:c>
    </x:row>
    <x:row r="89" ht="15" hidden="0" customHeight="1">
      <x:c r="A89" s="1" t="str">
        <x:v>ocp176ghy4</x:v>
      </x:c>
      <x:c r="B89" s="1" t="str">
        <x:v>2325172</x:v>
      </x:c>
      <x:c r="C89" s="1" t="str"/>
      <x:c r="D89" s="5" t="str">
        <x:v>Campus Crossings Raleigh</x:v>
      </x:c>
      <x:c r="E89" s="5" t="str">
        <x:v>3101 Versatile Road</x:v>
      </x:c>
      <x:c r="F89" s="1" t="str">
        <x:v>Raleigh</x:v>
      </x:c>
      <x:c r="G89" s="1" t="str">
        <x:v>NC</x:v>
      </x:c>
      <x:c r="H89" s="1" t="str">
        <x:v>27603</x:v>
      </x:c>
      <x:c r="I89" s="1" t="n">
        <x:v>35.745552</x:v>
      </x:c>
      <x:c r="J89" s="1" t="n">
        <x:v>-78.68826</x:v>
      </x:c>
      <x:c r="K89" s="1" t="str">
        <x:v>Main Campus</x:v>
      </x:c>
      <x:c r="L89" s="1" t="str">
        <x:v>200.0</x:v>
      </x:c>
      <x:c r="M89" s="1" t="n">
        <x:v>865</x:v>
      </x:c>
      <x:c r="N89" s="1" t="n">
        <x:v>865</x:v>
      </x:c>
      <x:c r="O89" s="1" t="str">
        <x:v>$865</x:v>
      </x:c>
      <x:c r="P89" s="1" t="n">
        <x:v>1</x:v>
      </x:c>
      <x:c r="Q89" s="1" t="n">
        <x:v>1</x:v>
      </x:c>
      <x:c r="R89" s="1" t="str">
        <x:v>1 Bed</x:v>
      </x:c>
      <x:c r="S89" s="1" t="str">
        <x:v>True</x:v>
      </x:c>
      <x:c r="T89" s="1" t="str">
        <x:v>False</x:v>
      </x:c>
      <x:c r="U89" s="1" t="str">
        <x:v>$865 /Bedroom</x:v>
      </x:c>
      <x:c r="V89" s="1" t="str">
        <x:v>True</x:v>
      </x:c>
      <x:c r="W89" s="1" t="str">
        <x:v>True</x:v>
      </x:c>
      <x:c r="X89" s="1" t="str">
        <x:v>False</x:v>
      </x:c>
      <x:c r="Y89" s="1" t="str">
        <x:v>11 Month Lease</x:v>
      </x:c>
      <x:c r="Z89" s="1" t="str">
        <x:v>False</x:v>
      </x:c>
      <x:c r="AA89" s="1" t="str">
        <x:v>False</x:v>
      </x:c>
      <x:c r="AB89" s="1" t="n">
        <x:v>46244.10306712963</x:v>
      </x:c>
      <x:c r="AC89" s="1" t="str">
        <x:v>Apartment Community</x:v>
      </x:c>
      <x:c r="AD89" s="1" t="str"/>
      <x:c r="AE89" s="1" t="str">
        <x:v>True</x:v>
      </x:c>
      <x:c r="AF89" s="1" t="str">
        <x:v>4</x:v>
      </x:c>
      <x:c r="AG89" s="1" t="str">
        <x:v>https://offcampus.dasa.ncsu.edu/housing/property/campus-crossings-raleigh/ocp176ghy4</x:v>
      </x:c>
    </x:row>
    <x:row r="90" ht="15" hidden="0" customHeight="1">
      <x:c r="A90" s="1" t="str">
        <x:v>qcvpeqz</x:v>
      </x:c>
      <x:c r="B90" s="1" t="str">
        <x:v>2319992</x:v>
      </x:c>
      <x:c r="C90" s="1" t="str">
        <x:v>48v0fql</x:v>
      </x:c>
      <x:c r="D90" s="5" t="str">
        <x:v>1431 Collegiate Cir (Raleigh, NC)</x:v>
      </x:c>
      <x:c r="E90" s="5" t="str">
        <x:v>1431 Collegiate Cir</x:v>
      </x:c>
      <x:c r="F90" s="1" t="str">
        <x:v>Raleigh</x:v>
      </x:c>
      <x:c r="G90" s="1" t="str">
        <x:v>NC</x:v>
      </x:c>
      <x:c r="H90" s="1" t="str">
        <x:v>27606</x:v>
      </x:c>
      <x:c r="I90" s="1" t="n">
        <x:v>35.76218</x:v>
      </x:c>
      <x:c r="J90" s="1" t="n">
        <x:v>-78.69981</x:v>
      </x:c>
      <x:c r="K90" s="1" t="str">
        <x:v>Main Campus</x:v>
      </x:c>
      <x:c r="L90" s="1" t="str">
        <x:v>1.75</x:v>
      </x:c>
      <x:c r="M90" s="1" t="n">
        <x:v>750</x:v>
      </x:c>
      <x:c r="N90" s="1" t="n">
        <x:v>750</x:v>
      </x:c>
      <x:c r="O90" s="1" t="str">
        <x:v>$750</x:v>
      </x:c>
      <x:c r="P90" s="1" t="n">
        <x:v>1</x:v>
      </x:c>
      <x:c r="Q90" s="1" t="n">
        <x:v>1</x:v>
      </x:c>
      <x:c r="R90" s="1" t="str">
        <x:v>1 Bed</x:v>
      </x:c>
      <x:c r="S90" s="1" t="str">
        <x:v>False</x:v>
      </x:c>
      <x:c r="T90" s="1" t="str">
        <x:v>False</x:v>
      </x:c>
      <x:c r="U90" s="1" t="str">
        <x:v>$750</x:v>
      </x:c>
      <x:c r="V90" s="1" t="str"/>
      <x:c r="W90" s="1" t="str">
        <x:v>False</x:v>
      </x:c>
      <x:c r="X90" s="1" t="str">
        <x:v>False</x:v>
      </x:c>
      <x:c r="Y90" s="1" t="str"/>
      <x:c r="Z90" s="1" t="str">
        <x:v>False</x:v>
      </x:c>
      <x:c r="AA90" s="1" t="str">
        <x:v>False</x:v>
      </x:c>
      <x:c r="AB90" s="1" t="n">
        <x:v>46241.75256944444</x:v>
      </x:c>
      <x:c r="AC90" s="1" t="str">
        <x:v>Duplex</x:v>
      </x:c>
      <x:c r="AD90" s="1" t="n">
        <x:v>1</x:v>
      </x:c>
      <x:c r="AE90" s="1" t="str">
        <x:v>True</x:v>
      </x:c>
      <x:c r="AF90" s="1" t="str">
        <x:v>2</x:v>
      </x:c>
      <x:c r="AG90" s="1" t="str">
        <x:v>https://offcampus.dasa.ncsu.edu/housing/property/1431-collegiate-cir-raleigh-nc/qcvpeqz</x:v>
      </x:c>
    </x:row>
    <x:row r="91" ht="15" hidden="0" customHeight="1">
      <x:c r="A91" s="1" t="str">
        <x:v>ocpqe84m5z</x:v>
      </x:c>
      <x:c r="B91" s="1" t="str">
        <x:v>956250</x:v>
      </x:c>
      <x:c r="C91" s="1" t="str"/>
      <x:c r="D91" s="5" t="str">
        <x:v>University Commons, close to Wolfline Stops</x:v>
      </x:c>
      <x:c r="E91" s="5" t="str">
        <x:v>1501 Graduate Lane #201</x:v>
      </x:c>
      <x:c r="F91" s="1" t="str">
        <x:v>Raleigh</x:v>
      </x:c>
      <x:c r="G91" s="1" t="str">
        <x:v>NC</x:v>
      </x:c>
      <x:c r="H91" s="1" t="str">
        <x:v>27606</x:v>
      </x:c>
      <x:c r="I91" s="1" t="n">
        <x:v>35.77348</x:v>
      </x:c>
      <x:c r="J91" s="1" t="n">
        <x:v>-78.690657</x:v>
      </x:c>
      <x:c r="K91" s="1" t="str">
        <x:v>Main Campus</x:v>
      </x:c>
      <x:c r="L91" s="1" t="str">
        <x:v>0.48</x:v>
      </x:c>
      <x:c r="M91" s="1" t="n">
        <x:v>2500</x:v>
      </x:c>
      <x:c r="N91" s="1" t="n">
        <x:v>2500</x:v>
      </x:c>
      <x:c r="O91" s="1" t="str">
        <x:v>$2,500</x:v>
      </x:c>
      <x:c r="P91" s="1" t="n">
        <x:v>4</x:v>
      </x:c>
      <x:c r="Q91" s="1" t="n">
        <x:v>4</x:v>
      </x:c>
      <x:c r="R91" s="1" t="str">
        <x:v>4 Beds</x:v>
      </x:c>
      <x:c r="S91" s="1" t="str">
        <x:v>False</x:v>
      </x:c>
      <x:c r="T91" s="1" t="str">
        <x:v>False</x:v>
      </x:c>
      <x:c r="U91" s="1" t="str">
        <x:v>$2,500</x:v>
      </x:c>
      <x:c r="V91" s="1" t="str">
        <x:v>True</x:v>
      </x:c>
      <x:c r="W91" s="1" t="str">
        <x:v>False</x:v>
      </x:c>
      <x:c r="X91" s="1" t="str">
        <x:v>False</x:v>
      </x:c>
      <x:c r="Y91" s="1" t="str">
        <x:v>12 Month Lease</x:v>
      </x:c>
      <x:c r="Z91" s="1" t="str">
        <x:v>False</x:v>
      </x:c>
      <x:c r="AA91" s="1" t="str">
        <x:v>False</x:v>
      </x:c>
      <x:c r="AB91" s="1" t="n">
        <x:v>46199.494837962964</x:v>
      </x:c>
      <x:c r="AC91" s="1" t="str">
        <x:v>Apartment Community</x:v>
      </x:c>
      <x:c r="AD91" s="1" t="str"/>
      <x:c r="AE91" s="1" t="str">
        <x:v>True</x:v>
      </x:c>
      <x:c r="AF91" s="1" t="str">
        <x:v>11</x:v>
      </x:c>
      <x:c r="AG91" s="1" t="str">
        <x:v>https://offcampus.dasa.ncsu.edu/housing/property/university-commons-close-to-wolfline-stops/ocpqe84m5z</x:v>
      </x:c>
    </x:row>
    <x:row r="92" ht="15" hidden="0" customHeight="1">
      <x:c r="A92" s="1" t="str">
        <x:v>c1v4mzd</x:v>
      </x:c>
      <x:c r="B92" s="1" t="str">
        <x:v>1138018</x:v>
      </x:c>
      <x:c r="C92" s="1" t="str">
        <x:v>r2vkqz0</x:v>
      </x:c>
      <x:c r="D92" s="5" t="str">
        <x:v>Room in House on Henslowe Dr</x:v>
      </x:c>
      <x:c r="E92" s="5" t="str">
        <x:v>2824 Henslowe Dr</x:v>
      </x:c>
      <x:c r="F92" s="1" t="str">
        <x:v>Raleigh</x:v>
      </x:c>
      <x:c r="G92" s="1" t="str">
        <x:v>NC</x:v>
      </x:c>
      <x:c r="H92" s="1" t="str">
        <x:v>27603</x:v>
      </x:c>
      <x:c r="I92" s="1" t="n">
        <x:v>35.750496</x:v>
      </x:c>
      <x:c r="J92" s="1" t="n">
        <x:v>-78.672966</x:v>
      </x:c>
      <x:c r="K92" s="1" t="str">
        <x:v>Main Campus</x:v>
      </x:c>
      <x:c r="L92" s="1" t="str">
        <x:v>2.77</x:v>
      </x:c>
      <x:c r="M92" s="1" t="n">
        <x:v>650</x:v>
      </x:c>
      <x:c r="N92" s="1" t="n">
        <x:v>650</x:v>
      </x:c>
      <x:c r="O92" s="1" t="str">
        <x:v>$650</x:v>
      </x:c>
      <x:c r="P92" s="1" t="n">
        <x:v>1</x:v>
      </x:c>
      <x:c r="Q92" s="1" t="n">
        <x:v>1</x:v>
      </x:c>
      <x:c r="R92" s="1" t="str">
        <x:v>1 Bed</x:v>
      </x:c>
      <x:c r="S92" s="1" t="str">
        <x:v>False</x:v>
      </x:c>
      <x:c r="T92" s="1" t="str">
        <x:v>False</x:v>
      </x:c>
      <x:c r="U92" s="1" t="str">
        <x:v>$650</x:v>
      </x:c>
      <x:c r="V92" s="1" t="str"/>
      <x:c r="W92" s="1" t="str">
        <x:v>False</x:v>
      </x:c>
      <x:c r="X92" s="1" t="str">
        <x:v>False</x:v>
      </x:c>
      <x:c r="Y92" s="1" t="str"/>
      <x:c r="Z92" s="1" t="str">
        <x:v>False</x:v>
      </x:c>
      <x:c r="AA92" s="1" t="str">
        <x:v>False</x:v>
      </x:c>
      <x:c r="AB92" s="1" t="n">
        <x:v>46144.516331018516</x:v>
      </x:c>
      <x:c r="AC92" s="1" t="str">
        <x:v>Single-Family Home</x:v>
      </x:c>
      <x:c r="AD92" s="1" t="n">
        <x:v>1</x:v>
      </x:c>
      <x:c r="AE92" s="1" t="str">
        <x:v>True</x:v>
      </x:c>
      <x:c r="AF92" s="1" t="str">
        <x:v>2</x:v>
      </x:c>
      <x:c r="AG92" s="1" t="str">
        <x:v>https://offcampus.dasa.ncsu.edu/housing/property/room-in-house-on-henslowe-dr/c1v4mzd</x:v>
      </x:c>
    </x:row>
    <x:row r="93" ht="15" hidden="0" customHeight="1">
      <x:c r="A93" s="1" t="str">
        <x:v>ocpx51p4tm</x:v>
      </x:c>
      <x:c r="B93" s="1" t="str">
        <x:v>2003220</x:v>
      </x:c>
      <x:c r="C93" s="1" t="str"/>
      <x:c r="D93" s="5" t="str">
        <x:v>Condo near NCSU</x:v>
      </x:c>
      <x:c r="E93" s="5" t="str">
        <x:v>1220 University Court Apt #202</x:v>
      </x:c>
      <x:c r="F93" s="1" t="str">
        <x:v>Raleigh</x:v>
      </x:c>
      <x:c r="G93" s="1" t="str">
        <x:v>NC</x:v>
      </x:c>
      <x:c r="H93" s="1" t="str">
        <x:v>27606</x:v>
      </x:c>
      <x:c r="I93" s="1" t="n">
        <x:v>35.763552</x:v>
      </x:c>
      <x:c r="J93" s="1" t="n">
        <x:v>-78.702984</x:v>
      </x:c>
      <x:c r="K93" s="1" t="str">
        <x:v>Main Campus</x:v>
      </x:c>
      <x:c r="L93" s="1" t="str">
        <x:v>1.77</x:v>
      </x:c>
      <x:c r="M93" s="1" t="n">
        <x:v>800</x:v>
      </x:c>
      <x:c r="N93" s="1" t="n">
        <x:v>800</x:v>
      </x:c>
      <x:c r="O93" s="1" t="str">
        <x:v>$800</x:v>
      </x:c>
      <x:c r="P93" s="1" t="n">
        <x:v>4</x:v>
      </x:c>
      <x:c r="Q93" s="1" t="n">
        <x:v>4</x:v>
      </x:c>
      <x:c r="R93" s="1" t="str">
        <x:v>4 Beds</x:v>
      </x:c>
      <x:c r="S93" s="1" t="str">
        <x:v>True</x:v>
      </x:c>
      <x:c r="T93" s="1" t="str">
        <x:v>False</x:v>
      </x:c>
      <x:c r="U93" s="1" t="str">
        <x:v>$800 /Bedroom</x:v>
      </x:c>
      <x:c r="V93" s="1" t="str">
        <x:v>True</x:v>
      </x:c>
      <x:c r="W93" s="1" t="str">
        <x:v>True</x:v>
      </x:c>
      <x:c r="X93" s="1" t="str">
        <x:v>False</x:v>
      </x:c>
      <x:c r="Y93" s="1" t="str">
        <x:v>12 Month Lease</x:v>
      </x:c>
      <x:c r="Z93" s="1" t="str">
        <x:v>False</x:v>
      </x:c>
      <x:c r="AA93" s="1" t="str">
        <x:v>False</x:v>
      </x:c>
      <x:c r="AB93" s="1" t="n">
        <x:v>46095.874131944445</x:v>
      </x:c>
      <x:c r="AC93" s="1" t="str">
        <x:v>Residential Condo Unit For Rent</x:v>
      </x:c>
      <x:c r="AD93" s="1" t="str"/>
      <x:c r="AE93" s="1" t="str">
        <x:v>True</x:v>
      </x:c>
      <x:c r="AF93" s="1" t="str">
        <x:v>13</x:v>
      </x:c>
      <x:c r="AG93" s="1" t="str">
        <x:v>https://offcampus.dasa.ncsu.edu/housing/property/condo-near-ncsu/ocpx51p4tm</x:v>
      </x:c>
    </x:row>
    <x:row r="94" ht="15" hidden="0" customHeight="1">
      <x:c r="A94" s="1" t="str">
        <x:v>x5wd0zn</x:v>
      </x:c>
      <x:c r="B94" s="1" t="str">
        <x:v>1586021</x:v>
      </x:c>
      <x:c r="C94" s="1" t="str">
        <x:v>f6wt3zs</x:v>
      </x:c>
      <x:c r="D94" s="5" t="str">
        <x:v>Room in House on Pineland Cir</x:v>
      </x:c>
      <x:c r="E94" s="5" t="str">
        <x:v>129 Pineland Cir</x:v>
      </x:c>
      <x:c r="F94" s="1" t="str">
        <x:v>Raleigh</x:v>
      </x:c>
      <x:c r="G94" s="1" t="str">
        <x:v>NC</x:v>
      </x:c>
      <x:c r="H94" s="1" t="str">
        <x:v>27606</x:v>
      </x:c>
      <x:c r="I94" s="1" t="n">
        <x:v>35.788639</x:v>
      </x:c>
      <x:c r="J94" s="1" t="n">
        <x:v>-78.709617</x:v>
      </x:c>
      <x:c r="K94" s="1" t="str">
        <x:v>Main Campus</x:v>
      </x:c>
      <x:c r="L94" s="1" t="str">
        <x:v>1.44</x:v>
      </x:c>
      <x:c r="M94" s="1" t="n">
        <x:v>700</x:v>
      </x:c>
      <x:c r="N94" s="1" t="n">
        <x:v>700</x:v>
      </x:c>
      <x:c r="O94" s="1" t="str">
        <x:v>$700</x:v>
      </x:c>
      <x:c r="P94" s="1" t="n">
        <x:v>1</x:v>
      </x:c>
      <x:c r="Q94" s="1" t="n">
        <x:v>1</x:v>
      </x:c>
      <x:c r="R94" s="1" t="str">
        <x:v>1 Bed</x:v>
      </x:c>
      <x:c r="S94" s="1" t="str">
        <x:v>False</x:v>
      </x:c>
      <x:c r="T94" s="1" t="str">
        <x:v>False</x:v>
      </x:c>
      <x:c r="U94" s="1" t="str">
        <x:v>$700</x:v>
      </x:c>
      <x:c r="V94" s="1" t="str"/>
      <x:c r="W94" s="1" t="str">
        <x:v>False</x:v>
      </x:c>
      <x:c r="X94" s="1" t="str">
        <x:v>False</x:v>
      </x:c>
      <x:c r="Y94" s="1" t="str"/>
      <x:c r="Z94" s="1" t="str">
        <x:v>False</x:v>
      </x:c>
      <x:c r="AA94" s="1" t="str">
        <x:v>False</x:v>
      </x:c>
      <x:c r="AB94" s="1" t="n">
        <x:v>46237.475266203706</x:v>
      </x:c>
      <x:c r="AC94" s="1" t="str">
        <x:v>Single-Family Home</x:v>
      </x:c>
      <x:c r="AD94" s="1" t="n">
        <x:v>1</x:v>
      </x:c>
      <x:c r="AE94" s="1" t="str">
        <x:v>True</x:v>
      </x:c>
      <x:c r="AF94" s="1" t="str">
        <x:v>2</x:v>
      </x:c>
      <x:c r="AG94" s="1" t="str">
        <x:v>https://offcampus.dasa.ncsu.edu/housing/property/room-in-house-on-pineland-cir/x5wd0zn</x:v>
      </x:c>
    </x:row>
    <x:row r="95" ht="15" hidden="0" customHeight="1">
      <x:c r="A95" s="1" t="str">
        <x:v>ocphdtdgk2</x:v>
      </x:c>
      <x:c r="B95" s="1" t="str">
        <x:v>951728</x:v>
      </x:c>
      <x:c r="C95" s="1" t="str"/>
      <x:c r="D95" s="5" t="str">
        <x:v>105 Friendly Drive! Furnished Room Rentals with Utilities!</x:v>
      </x:c>
      <x:c r="E95" s="5" t="str">
        <x:v>105 Friendly Drive</x:v>
      </x:c>
      <x:c r="F95" s="1" t="str">
        <x:v>Raleigh</x:v>
      </x:c>
      <x:c r="G95" s="1" t="str">
        <x:v>NC</x:v>
      </x:c>
      <x:c r="H95" s="1" t="str">
        <x:v>27607</x:v>
      </x:c>
      <x:c r="I95" s="1" t="n">
        <x:v>35.789041</x:v>
      </x:c>
      <x:c r="J95" s="1" t="n">
        <x:v>-78.675884</x:v>
      </x:c>
      <x:c r="K95" s="1" t="str">
        <x:v>Main Campus</x:v>
      </x:c>
      <x:c r="L95" s="1" t="str">
        <x:v>0.05</x:v>
      </x:c>
      <x:c r="M95" s="1" t="n">
        <x:v>775</x:v>
      </x:c>
      <x:c r="N95" s="1" t="n">
        <x:v>1050</x:v>
      </x:c>
      <x:c r="O95" s="1" t="str">
        <x:v>$775 - $1,050</x:v>
      </x:c>
      <x:c r="P95" s="1" t="n">
        <x:v>2</x:v>
      </x:c>
      <x:c r="Q95" s="1" t="n">
        <x:v>4</x:v>
      </x:c>
      <x:c r="R95" s="1" t="str">
        <x:v>2 - 4 Beds</x:v>
      </x:c>
      <x:c r="S95" s="1" t="str">
        <x:v>True</x:v>
      </x:c>
      <x:c r="T95" s="1" t="str">
        <x:v>False</x:v>
      </x:c>
      <x:c r="U95" s="1" t="str">
        <x:v>$778 - $1,055 /Bedroom</x:v>
      </x:c>
      <x:c r="V95" s="1" t="str">
        <x:v>True</x:v>
      </x:c>
      <x:c r="W95" s="1" t="str">
        <x:v>True</x:v>
      </x:c>
      <x:c r="X95" s="1" t="str">
        <x:v>False</x:v>
      </x:c>
      <x:c r="Y95" s="1" t="str">
        <x:v>12 Month Lease</x:v>
      </x:c>
      <x:c r="Z95" s="1" t="str">
        <x:v>False</x:v>
      </x:c>
      <x:c r="AA95" s="1" t="str">
        <x:v>False</x:v>
      </x:c>
      <x:c r="AB95" s="1" t="n">
        <x:v>46212.62949074074</x:v>
      </x:c>
      <x:c r="AC95" s="1" t="str">
        <x:v>Apartment Community</x:v>
      </x:c>
      <x:c r="AD95" s="1" t="str"/>
      <x:c r="AE95" s="1" t="str">
        <x:v>True</x:v>
      </x:c>
      <x:c r="AF95" s="1" t="str">
        <x:v>8</x:v>
      </x:c>
      <x:c r="AG95" s="1" t="str">
        <x:v>https://offcampus.dasa.ncsu.edu/housing/property/105-friendly-drive-furnished-room-rentals-with-utilities/ocphdtdgk2</x:v>
      </x:c>
    </x:row>
    <x:row r="96" ht="15" hidden="0" customHeight="1">
      <x:c r="A96" s="1" t="str">
        <x:v>51px18q</x:v>
      </x:c>
      <x:c r="B96" s="1" t="str">
        <x:v>2372539</x:v>
      </x:c>
      <x:c r="C96" s="1" t="str">
        <x:v>p2pc28v</x:v>
      </x:c>
      <x:c r="D96" s="5" t="str">
        <x:v>1101 Gunnison Pl (Raleigh, NC)</x:v>
      </x:c>
      <x:c r="E96" s="5" t="str">
        <x:v>1101 Gunnison Pl</x:v>
      </x:c>
      <x:c r="F96" s="1" t="str">
        <x:v>Raleigh</x:v>
      </x:c>
      <x:c r="G96" s="1" t="str">
        <x:v>NC</x:v>
      </x:c>
      <x:c r="H96" s="1" t="str">
        <x:v>27609</x:v>
      </x:c>
      <x:c r="I96" s="1" t="n">
        <x:v>35.847296</x:v>
      </x:c>
      <x:c r="J96" s="1" t="n">
        <x:v>-78.653331</x:v>
      </x:c>
      <x:c r="K96" s="1" t="str">
        <x:v>Main Campus</x:v>
      </x:c>
      <x:c r="L96" s="1" t="str">
        <x:v>6.57</x:v>
      </x:c>
      <x:c r="M96" s="1" t="n">
        <x:v>3200</x:v>
      </x:c>
      <x:c r="N96" s="1" t="n">
        <x:v>3200</x:v>
      </x:c>
      <x:c r="O96" s="1" t="str">
        <x:v>$3,200</x:v>
      </x:c>
      <x:c r="P96" s="1" t="n">
        <x:v>3</x:v>
      </x:c>
      <x:c r="Q96" s="1" t="n">
        <x:v>3</x:v>
      </x:c>
      <x:c r="R96" s="1" t="str">
        <x:v>3 Beds</x:v>
      </x:c>
      <x:c r="S96" s="1" t="str">
        <x:v>False</x:v>
      </x:c>
      <x:c r="T96" s="1" t="str">
        <x:v>False</x:v>
      </x:c>
      <x:c r="U96" s="1" t="str">
        <x:v>$3,200</x:v>
      </x:c>
      <x:c r="V96" s="1" t="str"/>
      <x:c r="W96" s="1" t="str">
        <x:v>False</x:v>
      </x:c>
      <x:c r="X96" s="1" t="str">
        <x:v>False</x:v>
      </x:c>
      <x:c r="Y96" s="1" t="str"/>
      <x:c r="Z96" s="1" t="str">
        <x:v>False</x:v>
      </x:c>
      <x:c r="AA96" s="1" t="str">
        <x:v>False</x:v>
      </x:c>
      <x:c r="AB96" s="1" t="n">
        <x:v>46253.57439814815</x:v>
      </x:c>
      <x:c r="AC96" s="1" t="str">
        <x:v>Single-Family Home</x:v>
      </x:c>
      <x:c r="AD96" s="1" t="n">
        <x:v>1</x:v>
      </x:c>
      <x:c r="AE96" s="1" t="str">
        <x:v>True</x:v>
      </x:c>
      <x:c r="AF96" s="1" t="str">
        <x:v>2</x:v>
      </x:c>
      <x:c r="AG96" s="1" t="str">
        <x:v>https://offcampus.dasa.ncsu.edu/housing/property/1101-gunnison-pl-raleigh-nc/51px18q</x:v>
      </x:c>
    </x:row>
    <x:row r="97" ht="15" hidden="0" customHeight="1">
      <x:c r="A97" s="1" t="str">
        <x:v>ocpjxe9lb5</x:v>
      </x:c>
      <x:c r="B97" s="1" t="str">
        <x:v>2289806</x:v>
      </x:c>
      <x:c r="C97" s="1" t="str"/>
      <x:c r="D97" s="5" t="str">
        <x:v>Private House room listing</x:v>
      </x:c>
      <x:c r="E97" s="5" t="str">
        <x:v>6508 Keystone Drive</x:v>
      </x:c>
      <x:c r="F97" s="1" t="str">
        <x:v>Raleigh</x:v>
      </x:c>
      <x:c r="G97" s="1" t="str">
        <x:v>NC</x:v>
      </x:c>
      <x:c r="H97" s="1" t="str">
        <x:v>27612</x:v>
      </x:c>
      <x:c r="I97" s="1" t="n">
        <x:v>35.869337</x:v>
      </x:c>
      <x:c r="J97" s="1" t="n">
        <x:v>-78.656268</x:v>
      </x:c>
      <x:c r="K97" s="1" t="str">
        <x:v>Main Campus</x:v>
      </x:c>
      <x:c r="L97" s="1" t="str">
        <x:v>8.04</x:v>
      </x:c>
      <x:c r="M97" s="1" t="n">
        <x:v>1000</x:v>
      </x:c>
      <x:c r="N97" s="1" t="n">
        <x:v>1000</x:v>
      </x:c>
      <x:c r="O97" s="1" t="str">
        <x:v>$1,000</x:v>
      </x:c>
      <x:c r="P97" s="1" t="n">
        <x:v>1</x:v>
      </x:c>
      <x:c r="Q97" s="1" t="n">
        <x:v>1</x:v>
      </x:c>
      <x:c r="R97" s="1" t="str">
        <x:v>1 Bed</x:v>
      </x:c>
      <x:c r="S97" s="1" t="str">
        <x:v>True</x:v>
      </x:c>
      <x:c r="T97" s="1" t="str">
        <x:v>False</x:v>
      </x:c>
      <x:c r="U97" s="1" t="str">
        <x:v>$1,000 /Bedroom</x:v>
      </x:c>
      <x:c r="V97" s="1" t="str">
        <x:v>True</x:v>
      </x:c>
      <x:c r="W97" s="1" t="str">
        <x:v>True</x:v>
      </x:c>
      <x:c r="X97" s="1" t="str">
        <x:v>False</x:v>
      </x:c>
      <x:c r="Y97" s="1" t="str">
        <x:v>6 Month Lease</x:v>
      </x:c>
      <x:c r="Z97" s="1" t="str">
        <x:v>False</x:v>
      </x:c>
      <x:c r="AA97" s="1" t="str">
        <x:v>False</x:v>
      </x:c>
      <x:c r="AB97" s="1" t="n">
        <x:v>46226.80983796297</x:v>
      </x:c>
      <x:c r="AC97" s="1" t="str">
        <x:v>Single-Family Home</x:v>
      </x:c>
      <x:c r="AD97" s="1" t="str"/>
      <x:c r="AE97" s="1" t="str">
        <x:v>True</x:v>
      </x:c>
      <x:c r="AF97" s="1" t="str">
        <x:v>1</x:v>
      </x:c>
      <x:c r="AG97" s="1" t="str">
        <x:v>https://offcampus.dasa.ncsu.edu/housing/property/private-house-room-listing/ocpjxe9lb5</x:v>
      </x:c>
    </x:row>
    <x:row r="98" ht="15" hidden="0" customHeight="1">
      <x:c r="A98" s="1" t="str">
        <x:v>6lbm6br</x:v>
      </x:c>
      <x:c r="B98" s="1" t="str">
        <x:v>2044985</x:v>
      </x:c>
      <x:c r="C98" s="1" t="str">
        <x:v>nhb25bm</x:v>
      </x:c>
      <x:c r="D98" s="5" t="str">
        <x:v>2810 Crestscene Trail (Raleigh, NC)</x:v>
      </x:c>
      <x:c r="E98" s="5" t="str">
        <x:v>2810 Crestscene Trail</x:v>
      </x:c>
      <x:c r="F98" s="1" t="str">
        <x:v>Raleigh</x:v>
      </x:c>
      <x:c r="G98" s="1" t="str">
        <x:v>NC</x:v>
      </x:c>
      <x:c r="H98" s="1" t="str">
        <x:v>27603</x:v>
      </x:c>
      <x:c r="I98" s="1" t="n">
        <x:v>35.751168</x:v>
      </x:c>
      <x:c r="J98" s="1" t="n">
        <x:v>-78.684513</x:v>
      </x:c>
      <x:c r="K98" s="1" t="str">
        <x:v>Main Campus</x:v>
      </x:c>
      <x:c r="L98" s="1" t="str">
        <x:v>2.74</x:v>
      </x:c>
      <x:c r="M98" s="1" t="n">
        <x:v>2500</x:v>
      </x:c>
      <x:c r="N98" s="1" t="n">
        <x:v>2500</x:v>
      </x:c>
      <x:c r="O98" s="1" t="str">
        <x:v>$2,500</x:v>
      </x:c>
      <x:c r="P98" s="1" t="n">
        <x:v>3</x:v>
      </x:c>
      <x:c r="Q98" s="1" t="n">
        <x:v>3</x:v>
      </x:c>
      <x:c r="R98" s="1" t="str">
        <x:v>3 Beds</x:v>
      </x:c>
      <x:c r="S98" s="1" t="str">
        <x:v>False</x:v>
      </x:c>
      <x:c r="T98" s="1" t="str">
        <x:v>False</x:v>
      </x:c>
      <x:c r="U98" s="1" t="str">
        <x:v>$2,500</x:v>
      </x:c>
      <x:c r="V98" s="1" t="str"/>
      <x:c r="W98" s="1" t="str">
        <x:v>False</x:v>
      </x:c>
      <x:c r="X98" s="1" t="str">
        <x:v>False</x:v>
      </x:c>
      <x:c r="Y98" s="1" t="str"/>
      <x:c r="Z98" s="1" t="str">
        <x:v>False</x:v>
      </x:c>
      <x:c r="AA98" s="1" t="str">
        <x:v>False</x:v>
      </x:c>
      <x:c r="AB98" s="1" t="n">
        <x:v>46268.54806712963</x:v>
      </x:c>
      <x:c r="AC98" s="1" t="str">
        <x:v>Townhome</x:v>
      </x:c>
      <x:c r="AD98" s="1" t="n">
        <x:v>1</x:v>
      </x:c>
      <x:c r="AE98" s="1" t="str">
        <x:v>True</x:v>
      </x:c>
      <x:c r="AF98" s="1" t="str">
        <x:v>2</x:v>
      </x:c>
      <x:c r="AG98" s="1" t="str">
        <x:v>https://offcampus.dasa.ncsu.edu/housing/property/2810-crestscene-trail-raleigh-nc/6lbm6br</x:v>
      </x:c>
    </x:row>
    <x:row r="99" ht="15" hidden="0" customHeight="1">
      <x:c r="A99" s="1" t="str">
        <x:v>ocp4lh373j</x:v>
      </x:c>
      <x:c r="B99" s="1" t="str">
        <x:v>2370853</x:v>
      </x:c>
      <x:c r="C99" s="1" t="str"/>
      <x:c r="D99" s="5" t="str">
        <x:v>Hub Raleigh – 4x2 Lease Takeover, Available Now</x:v>
      </x:c>
      <x:c r="E99" s="5" t="str">
        <x:v>111 Cox Avenue</x:v>
      </x:c>
      <x:c r="F99" s="1" t="str">
        <x:v>Raleigh</x:v>
      </x:c>
      <x:c r="G99" s="1" t="str">
        <x:v>NC</x:v>
      </x:c>
      <x:c r="H99" s="1" t="str">
        <x:v>27605</x:v>
      </x:c>
      <x:c r="I99" s="1" t="n">
        <x:v>35.785129</x:v>
      </x:c>
      <x:c r="J99" s="1" t="n">
        <x:v>-78.66049</x:v>
      </x:c>
      <x:c r="K99" s="1" t="str">
        <x:v>Main Campus</x:v>
      </x:c>
      <x:c r="L99" s="1" t="str">
        <x:v>0.16</x:v>
      </x:c>
      <x:c r="M99" s="1" t="n">
        <x:v>1199</x:v>
      </x:c>
      <x:c r="N99" s="1" t="n">
        <x:v>1199</x:v>
      </x:c>
      <x:c r="O99" s="1" t="str">
        <x:v>$1,199</x:v>
      </x:c>
      <x:c r="P99" s="1" t="n">
        <x:v>1</x:v>
      </x:c>
      <x:c r="Q99" s="1" t="n">
        <x:v>1</x:v>
      </x:c>
      <x:c r="R99" s="1" t="str">
        <x:v>1 Bed</x:v>
      </x:c>
      <x:c r="S99" s="1" t="str">
        <x:v>True</x:v>
      </x:c>
      <x:c r="T99" s="1" t="str">
        <x:v>False</x:v>
      </x:c>
      <x:c r="U99" s="1" t="str">
        <x:v>$1,199 /Bedroom</x:v>
      </x:c>
      <x:c r="V99" s="1" t="str">
        <x:v>True</x:v>
      </x:c>
      <x:c r="W99" s="1" t="str">
        <x:v>True</x:v>
      </x:c>
      <x:c r="X99" s="1" t="str">
        <x:v>True</x:v>
      </x:c>
      <x:c r="Y99" s="1" t="str">
        <x:v>5 Month Lease</x:v>
      </x:c>
      <x:c r="Z99" s="1" t="str">
        <x:v>False</x:v>
      </x:c>
      <x:c r="AA99" s="1" t="str">
        <x:v>False</x:v>
      </x:c>
      <x:c r="AB99" s="1" t="n">
        <x:v>46253.87122685185</x:v>
      </x:c>
      <x:c r="AC99" s="1" t="str">
        <x:v>Apartment Community</x:v>
      </x:c>
      <x:c r="AD99" s="1" t="str"/>
      <x:c r="AE99" s="1" t="str">
        <x:v>True</x:v>
      </x:c>
      <x:c r="AF99" s="1" t="str">
        <x:v>4</x:v>
      </x:c>
      <x:c r="AG99" s="1" t="str">
        <x:v>https://offcampus.dasa.ncsu.edu/housing/property/hub-raleigh-4x2-lease-takeover-available-now/ocp4lh373j</x:v>
      </x:c>
    </x:row>
    <x:row r="100" ht="15" hidden="0" customHeight="1">
      <x:c r="A100" s="1" t="str">
        <x:v>dnbdmqk</x:v>
      </x:c>
      <x:c r="B100" s="1" t="str">
        <x:v>1150921</x:v>
      </x:c>
      <x:c r="C100" s="1" t="str">
        <x:v>zpbtqqy</x:v>
      </x:c>
      <x:c r="D100" s="5" t="str">
        <x:v>2626 Wolf Cub Ct (Raleigh, NC)</x:v>
      </x:c>
      <x:c r="E100" s="5" t="str">
        <x:v>2626 Wolf Cub Ct</x:v>
      </x:c>
      <x:c r="F100" s="1" t="str">
        <x:v>Raleigh</x:v>
      </x:c>
      <x:c r="G100" s="1" t="str">
        <x:v>NC</x:v>
      </x:c>
      <x:c r="H100" s="1" t="str">
        <x:v>27603</x:v>
      </x:c>
      <x:c r="I100" s="1" t="n">
        <x:v>35.74314</x:v>
      </x:c>
      <x:c r="J100" s="1" t="n">
        <x:v>-78.682772</x:v>
      </x:c>
      <x:c r="K100" s="1" t="str">
        <x:v>Main Campus</x:v>
      </x:c>
      <x:c r="L100" s="1" t="str">
        <x:v>3.17</x:v>
      </x:c>
      <x:c r="M100" s="1" t="n">
        <x:v>1895</x:v>
      </x:c>
      <x:c r="N100" s="1" t="n">
        <x:v>1895</x:v>
      </x:c>
      <x:c r="O100" s="1" t="str">
        <x:v>$1,895</x:v>
      </x:c>
      <x:c r="P100" s="1" t="n">
        <x:v>3</x:v>
      </x:c>
      <x:c r="Q100" s="1" t="n">
        <x:v>3</x:v>
      </x:c>
      <x:c r="R100" s="1" t="str">
        <x:v>3 Beds</x:v>
      </x:c>
      <x:c r="S100" s="1" t="str">
        <x:v>False</x:v>
      </x:c>
      <x:c r="T100" s="1" t="str">
        <x:v>False</x:v>
      </x:c>
      <x:c r="U100" s="1" t="str">
        <x:v>$1,895</x:v>
      </x:c>
      <x:c r="V100" s="1" t="str"/>
      <x:c r="W100" s="1" t="str">
        <x:v>False</x:v>
      </x:c>
      <x:c r="X100" s="1" t="str">
        <x:v>False</x:v>
      </x:c>
      <x:c r="Y100" s="1" t="str"/>
      <x:c r="Z100" s="1" t="str">
        <x:v>False</x:v>
      </x:c>
      <x:c r="AA100" s="1" t="str">
        <x:v>False</x:v>
      </x:c>
      <x:c r="AB100" s="1" t="n">
        <x:v>46252.68650462963</x:v>
      </x:c>
      <x:c r="AC100" s="1" t="str">
        <x:v>Townhome</x:v>
      </x:c>
      <x:c r="AD100" s="1" t="n">
        <x:v>1</x:v>
      </x:c>
      <x:c r="AE100" s="1" t="str">
        <x:v>True</x:v>
      </x:c>
      <x:c r="AF100" s="1" t="str">
        <x:v>2</x:v>
      </x:c>
      <x:c r="AG100" s="1" t="str">
        <x:v>https://offcampus.dasa.ncsu.edu/housing/property/2626-wolf-cub-ct-raleigh-nc/dnbdmqk</x:v>
      </x:c>
    </x:row>
    <x:row r="101" ht="15" hidden="0" customHeight="1">
      <x:c r="A101" s="1" t="str">
        <x:v>ocp5cx5drn</x:v>
      </x:c>
      <x:c r="B101" s="1" t="str">
        <x:v>2381109</x:v>
      </x:c>
      <x:c r="C101" s="1" t="str"/>
      <x:c r="D101" s="5" t="str">
        <x:v>Valentine Commons</x:v>
      </x:c>
      <x:c r="E101" s="5" t="str">
        <x:v>3009 ME Valentine Drive</x:v>
      </x:c>
      <x:c r="F101" s="1" t="str">
        <x:v>Raleigh</x:v>
      </x:c>
      <x:c r="G101" s="1" t="str">
        <x:v>NC</x:v>
      </x:c>
      <x:c r="H101" s="1" t="str">
        <x:v>27607</x:v>
      </x:c>
      <x:c r="I101" s="1" t="n">
        <x:v>35.788043</x:v>
      </x:c>
      <x:c r="J101" s="1" t="n">
        <x:v>-78.677424</x:v>
      </x:c>
      <x:c r="K101" s="1" t="str">
        <x:v>Main Campus</x:v>
      </x:c>
      <x:c r="L101" s="1" t="str">
        <x:v>200.0</x:v>
      </x:c>
      <x:c r="M101" s="1" t="n">
        <x:v>1000</x:v>
      </x:c>
      <x:c r="N101" s="1" t="n">
        <x:v>1300</x:v>
      </x:c>
      <x:c r="O101" s="1" t="str">
        <x:v>$1,000 - $1,300</x:v>
      </x:c>
      <x:c r="P101" s="1" t="n">
        <x:v>4</x:v>
      </x:c>
      <x:c r="Q101" s="1" t="n">
        <x:v>4</x:v>
      </x:c>
      <x:c r="R101" s="1" t="str">
        <x:v>4 Beds</x:v>
      </x:c>
      <x:c r="S101" s="1" t="str">
        <x:v>True</x:v>
      </x:c>
      <x:c r="T101" s="1" t="str">
        <x:v>False</x:v>
      </x:c>
      <x:c r="U101" s="1" t="str">
        <x:v>$1,023 - $1,322 /Bedroom</x:v>
      </x:c>
      <x:c r="V101" s="1" t="str">
        <x:v>True</x:v>
      </x:c>
      <x:c r="W101" s="1" t="str">
        <x:v>True</x:v>
      </x:c>
      <x:c r="X101" s="1" t="str">
        <x:v>False</x:v>
      </x:c>
      <x:c r="Y101" s="1" t="str">
        <x:v>12 Month Lease</x:v>
      </x:c>
      <x:c r="Z101" s="1" t="str">
        <x:v>False</x:v>
      </x:c>
      <x:c r="AA101" s="1" t="str">
        <x:v>False</x:v>
      </x:c>
      <x:c r="AB101" s="1" t="n">
        <x:v>46257.863217592596</x:v>
      </x:c>
      <x:c r="AC101" s="1" t="str">
        <x:v>Apartment Community</x:v>
      </x:c>
      <x:c r="AD101" s="1" t="str"/>
      <x:c r="AE101" s="1" t="str">
        <x:v>True</x:v>
      </x:c>
      <x:c r="AF101" s="1" t="str">
        <x:v>11</x:v>
      </x:c>
      <x:c r="AG101" s="1" t="str">
        <x:v>https://offcampus.dasa.ncsu.edu/housing/property/valentine-commons/ocp5cx5drn</x:v>
      </x:c>
    </x:row>
    <x:row r="102" ht="15" hidden="0" customHeight="1">
      <x:c r="A102" s="1" t="str">
        <x:v>teq7kh8</x:v>
      </x:c>
      <x:c r="B102" s="1" t="str">
        <x:v>2319996</x:v>
      </x:c>
      <x:c r="C102" s="1" t="str">
        <x:v>9fqjjh4</x:v>
      </x:c>
      <x:c r="D102" s="5" t="str">
        <x:v>1233 S Blount St (Raleigh, NC)</x:v>
      </x:c>
      <x:c r="E102" s="5" t="str">
        <x:v>1233 S Blount St</x:v>
      </x:c>
      <x:c r="F102" s="1" t="str">
        <x:v>Raleigh</x:v>
      </x:c>
      <x:c r="G102" s="1" t="str">
        <x:v>NC</x:v>
      </x:c>
      <x:c r="H102" s="1" t="str">
        <x:v>27601</x:v>
      </x:c>
      <x:c r="I102" s="1" t="n">
        <x:v>35.765117</x:v>
      </x:c>
      <x:c r="J102" s="1" t="n">
        <x:v>-78.637201</x:v>
      </x:c>
      <x:c r="K102" s="1" t="str">
        <x:v>Main Campus</x:v>
      </x:c>
      <x:c r="L102" s="1" t="str">
        <x:v>2.25</x:v>
      </x:c>
      <x:c r="M102" s="1" t="n">
        <x:v>3800</x:v>
      </x:c>
      <x:c r="N102" s="1" t="n">
        <x:v>3800</x:v>
      </x:c>
      <x:c r="O102" s="1" t="str">
        <x:v>$3,800</x:v>
      </x:c>
      <x:c r="P102" s="1" t="n">
        <x:v>3</x:v>
      </x:c>
      <x:c r="Q102" s="1" t="n">
        <x:v>3</x:v>
      </x:c>
      <x:c r="R102" s="1" t="str">
        <x:v>3 Beds</x:v>
      </x:c>
      <x:c r="S102" s="1" t="str">
        <x:v>False</x:v>
      </x:c>
      <x:c r="T102" s="1" t="str">
        <x:v>False</x:v>
      </x:c>
      <x:c r="U102" s="1" t="str">
        <x:v>$3,800</x:v>
      </x:c>
      <x:c r="V102" s="1" t="str"/>
      <x:c r="W102" s="1" t="str">
        <x:v>False</x:v>
      </x:c>
      <x:c r="X102" s="1" t="str">
        <x:v>False</x:v>
      </x:c>
      <x:c r="Y102" s="1" t="str"/>
      <x:c r="Z102" s="1" t="str">
        <x:v>False</x:v>
      </x:c>
      <x:c r="AA102" s="1" t="str">
        <x:v>False</x:v>
      </x:c>
      <x:c r="AB102" s="1" t="n">
        <x:v>46241.752754629626</x:v>
      </x:c>
      <x:c r="AC102" s="1" t="str">
        <x:v>Duplex</x:v>
      </x:c>
      <x:c r="AD102" s="1" t="n">
        <x:v>1</x:v>
      </x:c>
      <x:c r="AE102" s="1" t="str">
        <x:v>True</x:v>
      </x:c>
      <x:c r="AF102" s="1" t="str">
        <x:v>2</x:v>
      </x:c>
      <x:c r="AG102" s="1" t="str">
        <x:v>https://offcampus.dasa.ncsu.edu/housing/property/1233-s-blount-st-raleigh-nc/teq7kh8</x:v>
      </x:c>
    </x:row>
    <x:row r="103" ht="15" hidden="0" customHeight="1">
      <x:c r="A103" s="1" t="str">
        <x:v>ocpsgy1zk5</x:v>
      </x:c>
      <x:c r="B103" s="1" t="str">
        <x:v>2168502</x:v>
      </x:c>
      <x:c r="C103" s="1" t="str"/>
      <x:c r="D103" s="5" t="str">
        <x:v>Family Neighborhood with Greenway Access</x:v>
      </x:c>
      <x:c r="E103" s="5" t="str">
        <x:v>1424 Crabtree Boulevard</x:v>
      </x:c>
      <x:c r="F103" s="1" t="str">
        <x:v>Raleigh</x:v>
      </x:c>
      <x:c r="G103" s="1" t="str">
        <x:v>NC</x:v>
      </x:c>
      <x:c r="H103" s="1" t="str">
        <x:v>27610</x:v>
      </x:c>
      <x:c r="I103" s="1" t="n">
        <x:v>35.799947</x:v>
      </x:c>
      <x:c r="J103" s="1" t="n">
        <x:v>-78.600953</x:v>
      </x:c>
      <x:c r="K103" s="1" t="str">
        <x:v>Main Campus</x:v>
      </x:c>
      <x:c r="L103" s="1" t="str">
        <x:v>5.14</x:v>
      </x:c>
      <x:c r="M103" s="1" t="n">
        <x:v>3000</x:v>
      </x:c>
      <x:c r="N103" s="1" t="n">
        <x:v>3500</x:v>
      </x:c>
      <x:c r="O103" s="1" t="str">
        <x:v>$3,000 - $3,500</x:v>
      </x:c>
      <x:c r="P103" s="1" t="n">
        <x:v>3</x:v>
      </x:c>
      <x:c r="Q103" s="1" t="n">
        <x:v>3</x:v>
      </x:c>
      <x:c r="R103" s="1" t="str">
        <x:v>3 Beds</x:v>
      </x:c>
      <x:c r="S103" s="1" t="str">
        <x:v>False</x:v>
      </x:c>
      <x:c r="T103" s="1" t="str">
        <x:v>False</x:v>
      </x:c>
      <x:c r="U103" s="1" t="str">
        <x:v>$3,100 - $3,640</x:v>
      </x:c>
      <x:c r="V103" s="1" t="str">
        <x:v>True</x:v>
      </x:c>
      <x:c r="W103" s="1" t="str">
        <x:v>False</x:v>
      </x:c>
      <x:c r="X103" s="1" t="str">
        <x:v>False</x:v>
      </x:c>
      <x:c r="Y103" s="1" t="str">
        <x:v>12 Month Lease</x:v>
      </x:c>
      <x:c r="Z103" s="1" t="str">
        <x:v>False</x:v>
      </x:c>
      <x:c r="AA103" s="1" t="str">
        <x:v>False</x:v>
      </x:c>
      <x:c r="AB103" s="1" t="n">
        <x:v>46179.11717592592</x:v>
      </x:c>
      <x:c r="AC103" s="1" t="str">
        <x:v>Single-Family Home</x:v>
      </x:c>
      <x:c r="AD103" s="1" t="str"/>
      <x:c r="AE103" s="1" t="str">
        <x:v>True</x:v>
      </x:c>
      <x:c r="AF103" s="1" t="str">
        <x:v>22</x:v>
      </x:c>
      <x:c r="AG103" s="1" t="str">
        <x:v>https://offcampus.dasa.ncsu.edu/housing/property/family-neighborhood-with-greenway-access/ocpsgy1zk5</x:v>
      </x:c>
    </x:row>
    <x:row r="104" ht="15" hidden="0" customHeight="1">
      <x:c r="A104" s="1" t="str">
        <x:v>se736e5</x:v>
      </x:c>
      <x:c r="B104" s="1" t="str">
        <x:v>660524</x:v>
      </x:c>
      <x:c r="C104" s="1" t="str">
        <x:v>bf7n5e9</x:v>
      </x:c>
      <x:c r="D104" s="5" t="str">
        <x:v>College Inn</x:v>
      </x:c>
      <x:c r="E104" s="5" t="str">
        <x:v>2717 Western Blvd</x:v>
      </x:c>
      <x:c r="F104" s="1" t="str">
        <x:v>Raleigh</x:v>
      </x:c>
      <x:c r="G104" s="1" t="str">
        <x:v>NC</x:v>
      </x:c>
      <x:c r="H104" s="1" t="str">
        <x:v>27606</x:v>
      </x:c>
      <x:c r="I104" s="1" t="n">
        <x:v>35.780547</x:v>
      </x:c>
      <x:c r="J104" s="1" t="n">
        <x:v>-78.677473</x:v>
      </x:c>
      <x:c r="K104" s="1" t="str">
        <x:v>Main Campus</x:v>
      </x:c>
      <x:c r="L104" s="1" t="str">
        <x:v>0.12</x:v>
      </x:c>
      <x:c r="M104" s="1" t="n">
        <x:v>859</x:v>
      </x:c>
      <x:c r="N104" s="1" t="n">
        <x:v>1275</x:v>
      </x:c>
      <x:c r="O104" s="1" t="str">
        <x:v>$859 - $1,275</x:v>
      </x:c>
      <x:c r="P104" s="1" t="n">
        <x:v>2</x:v>
      </x:c>
      <x:c r="Q104" s="1" t="n">
        <x:v>4</x:v>
      </x:c>
      <x:c r="R104" s="1" t="str">
        <x:v>2 - 4 Beds</x:v>
      </x:c>
      <x:c r="S104" s="1" t="str">
        <x:v>True</x:v>
      </x:c>
      <x:c r="T104" s="1" t="str">
        <x:v>False</x:v>
      </x:c>
      <x:c r="U104" s="1" t="str">
        <x:v>$859 - $1,275 /Bedroom</x:v>
      </x:c>
      <x:c r="V104" s="1" t="str"/>
      <x:c r="W104" s="1" t="str">
        <x:v>False</x:v>
      </x:c>
      <x:c r="X104" s="1" t="str">
        <x:v>False</x:v>
      </x:c>
      <x:c r="Y104" s="1" t="str">
        <x:v>11 Month Lease</x:v>
      </x:c>
      <x:c r="Z104" s="1" t="str">
        <x:v>False</x:v>
      </x:c>
      <x:c r="AA104" s="1" t="str">
        <x:v>False</x:v>
      </x:c>
      <x:c r="AB104" s="1" t="n">
        <x:v>46246.307280092595</x:v>
      </x:c>
      <x:c r="AC104" s="1" t="str">
        <x:v>Apartment Community</x:v>
      </x:c>
      <x:c r="AD104" s="1" t="n">
        <x:v>121</x:v>
      </x:c>
      <x:c r="AE104" s="1" t="str">
        <x:v>True</x:v>
      </x:c>
      <x:c r="AF104" s="1" t="str">
        <x:v>2</x:v>
      </x:c>
      <x:c r="AG104" s="1" t="str">
        <x:v>https://offcampus.dasa.ncsu.edu/housing/property/college-inn/se736e5</x:v>
      </x:c>
    </x:row>
    <x:row r="105" ht="24" hidden="0" customHeight="1">
      <x:c r="A105" s="1" t="str">
        <x:v>ocp0gch9g2</x:v>
      </x:c>
      <x:c r="B105" s="1" t="str">
        <x:v>2268782</x:v>
      </x:c>
      <x:c r="C105" s="1" t="str"/>
      <x:c r="D105" s="5" t="str">
        <x:v>Quiet Furnished Room in Cary – Private Bath, Storage, Driveway Access, Near Bus 3</x:v>
      </x:c>
      <x:c r="E105" s="5" t="str">
        <x:v>359 Roberts Ridge Drive</x:v>
      </x:c>
      <x:c r="F105" s="1" t="str">
        <x:v>Cary</x:v>
      </x:c>
      <x:c r="G105" s="1" t="str">
        <x:v>NC</x:v>
      </x:c>
      <x:c r="H105" s="1" t="str">
        <x:v>27513</x:v>
      </x:c>
      <x:c r="I105" s="1" t="n">
        <x:v>35.80786</x:v>
      </x:c>
      <x:c r="J105" s="1" t="n">
        <x:v>-78.784612</x:v>
      </x:c>
      <x:c r="K105" s="1" t="str">
        <x:v>Main Campus</x:v>
      </x:c>
      <x:c r="L105" s="1" t="str">
        <x:v>6.37</x:v>
      </x:c>
      <x:c r="M105" s="1" t="n">
        <x:v>950</x:v>
      </x:c>
      <x:c r="N105" s="1" t="n">
        <x:v>950</x:v>
      </x:c>
      <x:c r="O105" s="1" t="str">
        <x:v>$950</x:v>
      </x:c>
      <x:c r="P105" s="1" t="n">
        <x:v>1</x:v>
      </x:c>
      <x:c r="Q105" s="1" t="n">
        <x:v>1</x:v>
      </x:c>
      <x:c r="R105" s="1" t="str">
        <x:v>1 Bed</x:v>
      </x:c>
      <x:c r="S105" s="1" t="str">
        <x:v>True</x:v>
      </x:c>
      <x:c r="T105" s="1" t="str">
        <x:v>False</x:v>
      </x:c>
      <x:c r="U105" s="1" t="str">
        <x:v>$950 /Bedroom</x:v>
      </x:c>
      <x:c r="V105" s="1" t="str">
        <x:v>True</x:v>
      </x:c>
      <x:c r="W105" s="1" t="str">
        <x:v>True</x:v>
      </x:c>
      <x:c r="X105" s="1" t="str">
        <x:v>False</x:v>
      </x:c>
      <x:c r="Y105" s="1" t="str">
        <x:v>1 Month Lease</x:v>
      </x:c>
      <x:c r="Z105" s="1" t="str">
        <x:v>False</x:v>
      </x:c>
      <x:c r="AA105" s="1" t="str">
        <x:v>False</x:v>
      </x:c>
      <x:c r="AB105" s="1" t="n">
        <x:v>46216.89758101852</x:v>
      </x:c>
      <x:c r="AC105" s="1" t="str">
        <x:v>Townhome</x:v>
      </x:c>
      <x:c r="AD105" s="1" t="str"/>
      <x:c r="AE105" s="1" t="str">
        <x:v>True</x:v>
      </x:c>
      <x:c r="AF105" s="1" t="str">
        <x:v>2</x:v>
      </x:c>
      <x:c r="AG105" s="1" t="str">
        <x:v>https://offcampus.dasa.ncsu.edu/housing/property/quiet-furnished-room-in-cary-private-bath-storage-driveway-access-near-bus-3/ocp0gch9g2</x:v>
      </x:c>
    </x:row>
    <x:row r="106" ht="15" hidden="0" customHeight="1">
      <x:c r="A106" s="1" t="str">
        <x:v>r2tht53</x:v>
      </x:c>
      <x:c r="B106" s="1" t="str">
        <x:v>1705127</x:v>
      </x:c>
      <x:c r="C106" s="1" t="str">
        <x:v>c1t6s5g</x:v>
      </x:c>
      <x:c r="D106" s="5" t="str">
        <x:v>Room in House on Tall Rock Ct</x:v>
      </x:c>
      <x:c r="E106" s="5" t="str">
        <x:v>105 Tall Rock Ct</x:v>
      </x:c>
      <x:c r="F106" s="1" t="str">
        <x:v>Raleigh</x:v>
      </x:c>
      <x:c r="G106" s="1" t="str">
        <x:v>NC</x:v>
      </x:c>
      <x:c r="H106" s="1" t="str">
        <x:v>27610</x:v>
      </x:c>
      <x:c r="I106" s="1" t="n">
        <x:v>35.782077</x:v>
      </x:c>
      <x:c r="J106" s="1" t="n">
        <x:v>-78.597471</x:v>
      </x:c>
      <x:c r="K106" s="1" t="str">
        <x:v>Main Campus</x:v>
      </x:c>
      <x:c r="L106" s="1" t="str">
        <x:v>6.92</x:v>
      </x:c>
      <x:c r="M106" s="1" t="n">
        <x:v>900</x:v>
      </x:c>
      <x:c r="N106" s="1" t="n">
        <x:v>900</x:v>
      </x:c>
      <x:c r="O106" s="1" t="str">
        <x:v>$900</x:v>
      </x:c>
      <x:c r="P106" s="1" t="n">
        <x:v>1</x:v>
      </x:c>
      <x:c r="Q106" s="1" t="n">
        <x:v>1</x:v>
      </x:c>
      <x:c r="R106" s="1" t="str">
        <x:v>1 Bed</x:v>
      </x:c>
      <x:c r="S106" s="1" t="str">
        <x:v>False</x:v>
      </x:c>
      <x:c r="T106" s="1" t="str">
        <x:v>False</x:v>
      </x:c>
      <x:c r="U106" s="1" t="str">
        <x:v>$900</x:v>
      </x:c>
      <x:c r="V106" s="1" t="str"/>
      <x:c r="W106" s="1" t="str">
        <x:v>False</x:v>
      </x:c>
      <x:c r="X106" s="1" t="str">
        <x:v>False</x:v>
      </x:c>
      <x:c r="Y106" s="1" t="str"/>
      <x:c r="Z106" s="1" t="str">
        <x:v>False</x:v>
      </x:c>
      <x:c r="AA106" s="1" t="str">
        <x:v>False</x:v>
      </x:c>
      <x:c r="AB106" s="1" t="n">
        <x:v>46248.66296296296</x:v>
      </x:c>
      <x:c r="AC106" s="1" t="str">
        <x:v>Single-Family Home</x:v>
      </x:c>
      <x:c r="AD106" s="1" t="n">
        <x:v>1</x:v>
      </x:c>
      <x:c r="AE106" s="1" t="str">
        <x:v>True</x:v>
      </x:c>
      <x:c r="AF106" s="1" t="str">
        <x:v>2</x:v>
      </x:c>
      <x:c r="AG106" s="1" t="str">
        <x:v>https://offcampus.dasa.ncsu.edu/housing/property/room-in-house-on-tall-rock-ct/r2tht53</x:v>
      </x:c>
    </x:row>
    <x:row r="107" ht="15" hidden="0" customHeight="1">
      <x:c r="A107" s="1" t="str">
        <x:v>ocp1ddchy6</x:v>
      </x:c>
      <x:c r="B107" s="1" t="str">
        <x:v>1976712</x:v>
      </x:c>
      <x:c r="C107" s="1" t="str"/>
      <x:c r="D107" s="5" t="str">
        <x:v>Village Green</x:v>
      </x:c>
      <x:c r="E107" s="5" t="str">
        <x:v>2000 Village Bluff Place</x:v>
      </x:c>
      <x:c r="F107" s="1" t="str">
        <x:v>Raleigh</x:v>
      </x:c>
      <x:c r="G107" s="1" t="str">
        <x:v>NC</x:v>
      </x:c>
      <x:c r="H107" s="1" t="str">
        <x:v>27603</x:v>
      </x:c>
      <x:c r="I107" s="1" t="n">
        <x:v>35.75371</x:v>
      </x:c>
      <x:c r="J107" s="1" t="n">
        <x:v>-78.66687</x:v>
      </x:c>
      <x:c r="K107" s="1" t="str">
        <x:v>Main Campus</x:v>
      </x:c>
      <x:c r="L107" s="1" t="str">
        <x:v>2.28</x:v>
      </x:c>
      <x:c r="M107" s="1" t="n">
        <x:v>930</x:v>
      </x:c>
      <x:c r="N107" s="1" t="n">
        <x:v>930</x:v>
      </x:c>
      <x:c r="O107" s="1" t="str">
        <x:v>$930</x:v>
      </x:c>
      <x:c r="P107" s="1" t="n">
        <x:v>1</x:v>
      </x:c>
      <x:c r="Q107" s="1" t="n">
        <x:v>1</x:v>
      </x:c>
      <x:c r="R107" s="1" t="str">
        <x:v>1 Bed</x:v>
      </x:c>
      <x:c r="S107" s="1" t="str">
        <x:v>True</x:v>
      </x:c>
      <x:c r="T107" s="1" t="str">
        <x:v>False</x:v>
      </x:c>
      <x:c r="U107" s="1" t="str">
        <x:v>$930 /Bedroom</x:v>
      </x:c>
      <x:c r="V107" s="1" t="str">
        <x:v>True</x:v>
      </x:c>
      <x:c r="W107" s="1" t="str">
        <x:v>True</x:v>
      </x:c>
      <x:c r="X107" s="1" t="str">
        <x:v>True</x:v>
      </x:c>
      <x:c r="Y107" s="1" t="str">
        <x:v>7 Month Lease</x:v>
      </x:c>
      <x:c r="Z107" s="1" t="str">
        <x:v>False</x:v>
      </x:c>
      <x:c r="AA107" s="1" t="str">
        <x:v>False</x:v>
      </x:c>
      <x:c r="AB107" s="1" t="n">
        <x:v>46253.046064814815</x:v>
      </x:c>
      <x:c r="AC107" s="1" t="str">
        <x:v>Apartment Community</x:v>
      </x:c>
      <x:c r="AD107" s="1" t="str"/>
      <x:c r="AE107" s="1" t="str">
        <x:v>True</x:v>
      </x:c>
      <x:c r="AF107" s="1" t="str">
        <x:v>15</x:v>
      </x:c>
      <x:c r="AG107" s="1" t="str">
        <x:v>https://offcampus.dasa.ncsu.edu/housing/property/village-green/ocp1ddchy6</x:v>
      </x:c>
    </x:row>
    <x:row r="108" ht="15" hidden="0" customHeight="1">
      <x:c r="A108" s="1" t="str">
        <x:v>r66ecw0</x:v>
      </x:c>
      <x:c r="B108" s="1" t="str">
        <x:v>1138019</x:v>
      </x:c>
      <x:c r="C108" s="1" t="str">
        <x:v>c56v8wd</x:v>
      </x:c>
      <x:c r="D108" s="5" t="str">
        <x:v>Room in Duplex on Bragg St</x:v>
      </x:c>
      <x:c r="E108" s="5" t="str">
        <x:v>909 Bragg St</x:v>
      </x:c>
      <x:c r="F108" s="1" t="str">
        <x:v>Raleigh</x:v>
      </x:c>
      <x:c r="G108" s="1" t="str">
        <x:v>NC</x:v>
      </x:c>
      <x:c r="H108" s="1" t="str">
        <x:v>27610</x:v>
      </x:c>
      <x:c r="I108" s="1" t="n">
        <x:v>35.765736</x:v>
      </x:c>
      <x:c r="J108" s="1" t="n">
        <x:v>-78.623853</x:v>
      </x:c>
      <x:c r="K108" s="1" t="str">
        <x:v>Main Campus</x:v>
      </x:c>
      <x:c r="L108" s="1" t="str">
        <x:v>3.1</x:v>
      </x:c>
      <x:c r="M108" s="1" t="n">
        <x:v>640</x:v>
      </x:c>
      <x:c r="N108" s="1" t="n">
        <x:v>640</x:v>
      </x:c>
      <x:c r="O108" s="1" t="str">
        <x:v>$640</x:v>
      </x:c>
      <x:c r="P108" s="1" t="n">
        <x:v>1</x:v>
      </x:c>
      <x:c r="Q108" s="1" t="n">
        <x:v>1</x:v>
      </x:c>
      <x:c r="R108" s="1" t="str">
        <x:v>1 Bed</x:v>
      </x:c>
      <x:c r="S108" s="1" t="str">
        <x:v>False</x:v>
      </x:c>
      <x:c r="T108" s="1" t="str">
        <x:v>False</x:v>
      </x:c>
      <x:c r="U108" s="1" t="str">
        <x:v>$640</x:v>
      </x:c>
      <x:c r="V108" s="1" t="str"/>
      <x:c r="W108" s="1" t="str">
        <x:v>False</x:v>
      </x:c>
      <x:c r="X108" s="1" t="str">
        <x:v>False</x:v>
      </x:c>
      <x:c r="Y108" s="1" t="str"/>
      <x:c r="Z108" s="1" t="str">
        <x:v>False</x:v>
      </x:c>
      <x:c r="AA108" s="1" t="str">
        <x:v>False</x:v>
      </x:c>
      <x:c r="AB108" s="1" t="n">
        <x:v>46234.48930555556</x:v>
      </x:c>
      <x:c r="AC108" s="1" t="str">
        <x:v>Townhome</x:v>
      </x:c>
      <x:c r="AD108" s="1" t="n">
        <x:v>1</x:v>
      </x:c>
      <x:c r="AE108" s="1" t="str">
        <x:v>True</x:v>
      </x:c>
      <x:c r="AF108" s="1" t="str">
        <x:v>2</x:v>
      </x:c>
      <x:c r="AG108" s="1" t="str">
        <x:v>https://offcampus.dasa.ncsu.edu/housing/property/room-in-duplex-on-bragg-st/r66ecw0</x:v>
      </x:c>
    </x:row>
    <x:row r="109" ht="15" hidden="0" customHeight="1">
      <x:c r="A109" s="1" t="str">
        <x:v>ocpmf8tflk</x:v>
      </x:c>
      <x:c r="B109" s="1" t="str">
        <x:v>2240283</x:v>
      </x:c>
      <x:c r="C109" s="1" t="str"/>
      <x:c r="D109" s="5" t="str">
        <x:v>St. Albans Lofts in North Hills</x:v>
      </x:c>
      <x:c r="E109" s="5" t="str">
        <x:v>600 Saint Albans Drive</x:v>
      </x:c>
      <x:c r="F109" s="1" t="str">
        <x:v>Raleigh</x:v>
      </x:c>
      <x:c r="G109" s="1" t="str">
        <x:v>NC</x:v>
      </x:c>
      <x:c r="H109" s="1" t="str">
        <x:v>27609</x:v>
      </x:c>
      <x:c r="I109" s="1" t="n">
        <x:v>35.833976</x:v>
      </x:c>
      <x:c r="J109" s="1" t="n">
        <x:v>-78.627217</x:v>
      </x:c>
      <x:c r="K109" s="1" t="str">
        <x:v>Main Campus</x:v>
      </x:c>
      <x:c r="L109" s="1" t="str">
        <x:v>5.4</x:v>
      </x:c>
      <x:c r="M109" s="1" t="n">
        <x:v>1330</x:v>
      </x:c>
      <x:c r="N109" s="1" t="n">
        <x:v>1330</x:v>
      </x:c>
      <x:c r="O109" s="1" t="str">
        <x:v>$1,330</x:v>
      </x:c>
      <x:c r="P109" s="1" t="n">
        <x:v>0</x:v>
      </x:c>
      <x:c r="Q109" s="1" t="n">
        <x:v>0</x:v>
      </x:c>
      <x:c r="R109" s="1" t="str">
        <x:v>Studio</x:v>
      </x:c>
      <x:c r="S109" s="1" t="str">
        <x:v>False</x:v>
      </x:c>
      <x:c r="T109" s="1" t="str">
        <x:v>False</x:v>
      </x:c>
      <x:c r="U109" s="1" t="str">
        <x:v>$1,445</x:v>
      </x:c>
      <x:c r="V109" s="1" t="str">
        <x:v>True</x:v>
      </x:c>
      <x:c r="W109" s="1" t="str">
        <x:v>False</x:v>
      </x:c>
      <x:c r="X109" s="1" t="str">
        <x:v>True</x:v>
      </x:c>
      <x:c r="Y109" s="1" t="str">
        <x:v>5 Month Lease</x:v>
      </x:c>
      <x:c r="Z109" s="1" t="str">
        <x:v>False</x:v>
      </x:c>
      <x:c r="AA109" s="1" t="str">
        <x:v>False</x:v>
      </x:c>
      <x:c r="AB109" s="1" t="n">
        <x:v>46254.67797453704</x:v>
      </x:c>
      <x:c r="AC109" s="1" t="str">
        <x:v>Apartment Community</x:v>
      </x:c>
      <x:c r="AD109" s="1" t="str"/>
      <x:c r="AE109" s="1" t="str">
        <x:v>True</x:v>
      </x:c>
      <x:c r="AF109" s="1" t="str">
        <x:v>9</x:v>
      </x:c>
      <x:c r="AG109" s="1" t="str">
        <x:v>https://offcampus.dasa.ncsu.edu/housing/property/st-albans-lofts-in-north-hills/ocpmf8tflk</x:v>
      </x:c>
    </x:row>
    <x:row r="110" ht="15" hidden="0" customHeight="1">
      <x:c r="A110" s="1" t="str">
        <x:v>kf77vv8</x:v>
      </x:c>
      <x:c r="B110" s="1" t="str">
        <x:v>1138013</x:v>
      </x:c>
      <x:c r="C110" s="1" t="str">
        <x:v>1e7jrv4</x:v>
      </x:c>
      <x:c r="D110" s="5" t="str">
        <x:v>Room in Condo on Collegiate Cir</x:v>
      </x:c>
      <x:c r="E110" s="5" t="str">
        <x:v>1430 Collegiate Cir</x:v>
      </x:c>
      <x:c r="F110" s="1" t="str">
        <x:v>Raleigh</x:v>
      </x:c>
      <x:c r="G110" s="1" t="str">
        <x:v>NC</x:v>
      </x:c>
      <x:c r="H110" s="1" t="str">
        <x:v>27606</x:v>
      </x:c>
      <x:c r="I110" s="1" t="n">
        <x:v>35.761733</x:v>
      </x:c>
      <x:c r="J110" s="1" t="n">
        <x:v>-78.700809</x:v>
      </x:c>
      <x:c r="K110" s="1" t="str">
        <x:v>Main Campus</x:v>
      </x:c>
      <x:c r="L110" s="1" t="str">
        <x:v>1.74</x:v>
      </x:c>
      <x:c r="M110" s="1" t="n">
        <x:v>675</x:v>
      </x:c>
      <x:c r="N110" s="1" t="n">
        <x:v>675</x:v>
      </x:c>
      <x:c r="O110" s="1" t="str">
        <x:v>$675</x:v>
      </x:c>
      <x:c r="P110" s="1" t="n">
        <x:v>1</x:v>
      </x:c>
      <x:c r="Q110" s="1" t="n">
        <x:v>1</x:v>
      </x:c>
      <x:c r="R110" s="1" t="str">
        <x:v>1 Bed</x:v>
      </x:c>
      <x:c r="S110" s="1" t="str">
        <x:v>False</x:v>
      </x:c>
      <x:c r="T110" s="1" t="str">
        <x:v>False</x:v>
      </x:c>
      <x:c r="U110" s="1" t="str">
        <x:v>$675</x:v>
      </x:c>
      <x:c r="V110" s="1" t="str"/>
      <x:c r="W110" s="1" t="str">
        <x:v>False</x:v>
      </x:c>
      <x:c r="X110" s="1" t="str">
        <x:v>False</x:v>
      </x:c>
      <x:c r="Y110" s="1" t="str"/>
      <x:c r="Z110" s="1" t="str">
        <x:v>False</x:v>
      </x:c>
      <x:c r="AA110" s="1" t="str">
        <x:v>False</x:v>
      </x:c>
      <x:c r="AB110" s="1" t="n">
        <x:v>46249.57898148148</x:v>
      </x:c>
      <x:c r="AC110" s="1" t="str">
        <x:v>Duplex</x:v>
      </x:c>
      <x:c r="AD110" s="1" t="n">
        <x:v>1</x:v>
      </x:c>
      <x:c r="AE110" s="1" t="str">
        <x:v>True</x:v>
      </x:c>
      <x:c r="AF110" s="1" t="str">
        <x:v>2</x:v>
      </x:c>
      <x:c r="AG110" s="1" t="str">
        <x:v>https://offcampus.dasa.ncsu.edu/housing/property/room-in-condo-on-collegiate-cir/kf77vv8</x:v>
      </x:c>
    </x:row>
    <x:row r="111" ht="15" hidden="0" customHeight="1">
      <x:c r="A111" s="1" t="str">
        <x:v>ocphycq162</x:v>
      </x:c>
      <x:c r="B111" s="1" t="str">
        <x:v>2098190</x:v>
      </x:c>
      <x:c r="C111" s="1" t="str"/>
      <x:c r="D111" s="5" t="str">
        <x:v>Cozy house 10 min walk to campus</x:v>
      </x:c>
      <x:c r="E111" s="5" t="str"/>
      <x:c r="F111" s="1" t="str">
        <x:v>Raleigh</x:v>
      </x:c>
      <x:c r="G111" s="1" t="str">
        <x:v>NC</x:v>
      </x:c>
      <x:c r="H111" s="1" t="str">
        <x:v>27607</x:v>
      </x:c>
      <x:c r="I111" s="1" t="n">
        <x:v>35.792829</x:v>
      </x:c>
      <x:c r="J111" s="1" t="n">
        <x:v>-78.666357</x:v>
      </x:c>
      <x:c r="K111" s="1" t="str">
        <x:v>Main Campus</x:v>
      </x:c>
      <x:c r="L111" s="1" t="str">
        <x:v>0.64</x:v>
      </x:c>
      <x:c r="M111" s="1" t="n">
        <x:v>1500</x:v>
      </x:c>
      <x:c r="N111" s="1" t="n">
        <x:v>1500</x:v>
      </x:c>
      <x:c r="O111" s="1" t="str">
        <x:v>$1,500</x:v>
      </x:c>
      <x:c r="P111" s="1" t="n">
        <x:v>1</x:v>
      </x:c>
      <x:c r="Q111" s="1" t="n">
        <x:v>1</x:v>
      </x:c>
      <x:c r="R111" s="1" t="str">
        <x:v>1 Bed</x:v>
      </x:c>
      <x:c r="S111" s="1" t="str">
        <x:v>True</x:v>
      </x:c>
      <x:c r="T111" s="1" t="str">
        <x:v>False</x:v>
      </x:c>
      <x:c r="U111" s="1" t="str">
        <x:v>$1,500 /Bedroom</x:v>
      </x:c>
      <x:c r="V111" s="1" t="str">
        <x:v>True</x:v>
      </x:c>
      <x:c r="W111" s="1" t="str">
        <x:v>True</x:v>
      </x:c>
      <x:c r="X111" s="1" t="str">
        <x:v>False</x:v>
      </x:c>
      <x:c r="Y111" s="1" t="str">
        <x:v>12 Month Lease</x:v>
      </x:c>
      <x:c r="Z111" s="1" t="str">
        <x:v>True</x:v>
      </x:c>
      <x:c r="AA111" s="1" t="str">
        <x:v>False</x:v>
      </x:c>
      <x:c r="AB111" s="1" t="n">
        <x:v>46266.563414351855</x:v>
      </x:c>
      <x:c r="AC111" s="1" t="str">
        <x:v>Single-Family Home</x:v>
      </x:c>
      <x:c r="AD111" s="1" t="str"/>
      <x:c r="AE111" s="1" t="str">
        <x:v>True</x:v>
      </x:c>
      <x:c r="AF111" s="1" t="str">
        <x:v>4</x:v>
      </x:c>
      <x:c r="AG111" s="1" t="str">
        <x:v>https://offcampus.dasa.ncsu.edu/housing/property/cozy-house-10-min-walk-to-campus/ocphycq162</x:v>
      </x:c>
    </x:row>
    <x:row r="112" ht="15" hidden="0" customHeight="1">
      <x:c r="A112" s="1" t="str">
        <x:v>hz5leg1</x:v>
      </x:c>
      <x:c r="B112" s="1" t="str">
        <x:v>1502073</x:v>
      </x:c>
      <x:c r="C112" s="1" t="str">
        <x:v>3w55fge</x:v>
      </x:c>
      <x:c r="D112" s="5" t="str">
        <x:v>Room in Townhome on Ivory Run Way</x:v>
      </x:c>
      <x:c r="E112" s="5" t="str">
        <x:v>2610 Ivory Run Way</x:v>
      </x:c>
      <x:c r="F112" s="1" t="str">
        <x:v>Raleigh</x:v>
      </x:c>
      <x:c r="G112" s="1" t="str">
        <x:v>NC</x:v>
      </x:c>
      <x:c r="H112" s="1" t="str">
        <x:v>27603</x:v>
      </x:c>
      <x:c r="I112" s="1" t="n">
        <x:v>35.744672</x:v>
      </x:c>
      <x:c r="J112" s="1" t="n">
        <x:v>-78.68458</x:v>
      </x:c>
      <x:c r="K112" s="1" t="str">
        <x:v>Main Campus</x:v>
      </x:c>
      <x:c r="L112" s="1" t="str">
        <x:v>3.06</x:v>
      </x:c>
      <x:c r="M112" s="1" t="n">
        <x:v>690</x:v>
      </x:c>
      <x:c r="N112" s="1" t="n">
        <x:v>690</x:v>
      </x:c>
      <x:c r="O112" s="1" t="str">
        <x:v>$690</x:v>
      </x:c>
      <x:c r="P112" s="1" t="n">
        <x:v>1</x:v>
      </x:c>
      <x:c r="Q112" s="1" t="n">
        <x:v>1</x:v>
      </x:c>
      <x:c r="R112" s="1" t="str">
        <x:v>1 Bed</x:v>
      </x:c>
      <x:c r="S112" s="1" t="str">
        <x:v>False</x:v>
      </x:c>
      <x:c r="T112" s="1" t="str">
        <x:v>False</x:v>
      </x:c>
      <x:c r="U112" s="1" t="str">
        <x:v>$690</x:v>
      </x:c>
      <x:c r="V112" s="1" t="str"/>
      <x:c r="W112" s="1" t="str">
        <x:v>False</x:v>
      </x:c>
      <x:c r="X112" s="1" t="str">
        <x:v>False</x:v>
      </x:c>
      <x:c r="Y112" s="1" t="str"/>
      <x:c r="Z112" s="1" t="str">
        <x:v>False</x:v>
      </x:c>
      <x:c r="AA112" s="1" t="str">
        <x:v>False</x:v>
      </x:c>
      <x:c r="AB112" s="1" t="n">
        <x:v>46252.736608796295</x:v>
      </x:c>
      <x:c r="AC112" s="1" t="str">
        <x:v>Townhome</x:v>
      </x:c>
      <x:c r="AD112" s="1" t="n">
        <x:v>1</x:v>
      </x:c>
      <x:c r="AE112" s="1" t="str">
        <x:v>True</x:v>
      </x:c>
      <x:c r="AF112" s="1" t="str">
        <x:v>2</x:v>
      </x:c>
      <x:c r="AG112" s="1" t="str">
        <x:v>https://offcampus.dasa.ncsu.edu/housing/property/room-in-townhome-on-ivory-run-way/hz5leg1</x:v>
      </x:c>
    </x:row>
    <x:row r="113" ht="15" hidden="0" customHeight="1">
      <x:c r="A113" s="1" t="str">
        <x:v>ocpszqbd35</x:v>
      </x:c>
      <x:c r="B113" s="1" t="str">
        <x:v>2399399</x:v>
      </x:c>
      <x:c r="C113" s="1" t="str"/>
      <x:c r="D113" s="5" t="str">
        <x:v>Signature 1505 4X4 Apartment</x:v>
      </x:c>
      <x:c r="E113" s="5" t="str">
        <x:v>1505 Hillsborough Street</x:v>
      </x:c>
      <x:c r="F113" s="1" t="str">
        <x:v>Raleigh</x:v>
      </x:c>
      <x:c r="G113" s="1" t="str">
        <x:v>NC</x:v>
      </x:c>
      <x:c r="H113" s="1" t="str">
        <x:v>27605</x:v>
      </x:c>
      <x:c r="I113" s="1" t="n">
        <x:v>35.783773</x:v>
      </x:c>
      <x:c r="J113" s="1" t="n">
        <x:v>-78.658911</x:v>
      </x:c>
      <x:c r="K113" s="1" t="str">
        <x:v>Main Campus</x:v>
      </x:c>
      <x:c r="L113" s="1" t="str">
        <x:v>0.34</x:v>
      </x:c>
      <x:c r="M113" s="1" t="n">
        <x:v>1230</x:v>
      </x:c>
      <x:c r="N113" s="1" t="n">
        <x:v>1230</x:v>
      </x:c>
      <x:c r="O113" s="1" t="str">
        <x:v>$1,230</x:v>
      </x:c>
      <x:c r="P113" s="1" t="n">
        <x:v>1</x:v>
      </x:c>
      <x:c r="Q113" s="1" t="n">
        <x:v>1</x:v>
      </x:c>
      <x:c r="R113" s="1" t="str">
        <x:v>1 Bed</x:v>
      </x:c>
      <x:c r="S113" s="1" t="str">
        <x:v>True</x:v>
      </x:c>
      <x:c r="T113" s="1" t="str">
        <x:v>False</x:v>
      </x:c>
      <x:c r="U113" s="1" t="str">
        <x:v>$1,255 /Bedroom</x:v>
      </x:c>
      <x:c r="V113" s="1" t="str">
        <x:v>True</x:v>
      </x:c>
      <x:c r="W113" s="1" t="str">
        <x:v>True</x:v>
      </x:c>
      <x:c r="X113" s="1" t="str">
        <x:v>True</x:v>
      </x:c>
      <x:c r="Y113" s="1" t="str">
        <x:v>7 Month Lease</x:v>
      </x:c>
      <x:c r="Z113" s="1" t="str">
        <x:v>False</x:v>
      </x:c>
      <x:c r="AA113" s="1" t="str">
        <x:v>False</x:v>
      </x:c>
      <x:c r="AB113" s="1" t="n">
        <x:v>46265.768796296295</x:v>
      </x:c>
      <x:c r="AC113" s="1" t="str">
        <x:v>Apartment Community</x:v>
      </x:c>
      <x:c r="AD113" s="1" t="str"/>
      <x:c r="AE113" s="1" t="str">
        <x:v>True</x:v>
      </x:c>
      <x:c r="AF113" s="1" t="str">
        <x:v>6</x:v>
      </x:c>
      <x:c r="AG113" s="1" t="str">
        <x:v>https://offcampus.dasa.ncsu.edu/housing/property/signature-1505-4x4-apartment/ocpszqbd35</x:v>
      </x:c>
    </x:row>
    <x:row r="114" ht="24" hidden="0" customHeight="1">
      <x:c r="A114" s="1" t="str">
        <x:v>ocpsq5c5s4</x:v>
      </x:c>
      <x:c r="B114" s="1" t="str">
        <x:v>951520</x:v>
      </x:c>
      <x:c r="C114" s="1" t="str"/>
      <x:c r="D114" s="5" t="str">
        <x:v>Lupton Flats- 2 Bedroom 1 Bathroom Flat Available Now! Pre Leasing for August 2026!</x:v>
      </x:c>
      <x:c r="E114" s="5" t="str">
        <x:v>3818 Lupton Circle</x:v>
      </x:c>
      <x:c r="F114" s="1" t="str">
        <x:v>Raleigh</x:v>
      </x:c>
      <x:c r="G114" s="1" t="str">
        <x:v>NC</x:v>
      </x:c>
      <x:c r="H114" s="1" t="str">
        <x:v>27606</x:v>
      </x:c>
      <x:c r="I114" s="1" t="n">
        <x:v>35.776319</x:v>
      </x:c>
      <x:c r="J114" s="1" t="n">
        <x:v>-78.689472</x:v>
      </x:c>
      <x:c r="K114" s="1" t="str">
        <x:v>Main Campus</x:v>
      </x:c>
      <x:c r="L114" s="1" t="str">
        <x:v>0.26</x:v>
      </x:c>
      <x:c r="M114" s="1" t="n">
        <x:v>1295</x:v>
      </x:c>
      <x:c r="N114" s="1" t="n">
        <x:v>1295</x:v>
      </x:c>
      <x:c r="O114" s="1" t="str">
        <x:v>$1,295</x:v>
      </x:c>
      <x:c r="P114" s="1" t="n">
        <x:v>2</x:v>
      </x:c>
      <x:c r="Q114" s="1" t="n">
        <x:v>2</x:v>
      </x:c>
      <x:c r="R114" s="1" t="str">
        <x:v>2 Beds</x:v>
      </x:c>
      <x:c r="S114" s="1" t="str">
        <x:v>False</x:v>
      </x:c>
      <x:c r="T114" s="1" t="str">
        <x:v>False</x:v>
      </x:c>
      <x:c r="U114" s="1" t="str">
        <x:v>$1,295</x:v>
      </x:c>
      <x:c r="V114" s="1" t="str"/>
      <x:c r="W114" s="1" t="str">
        <x:v>False</x:v>
      </x:c>
      <x:c r="X114" s="1" t="str">
        <x:v>False</x:v>
      </x:c>
      <x:c r="Y114" s="1" t="str">
        <x:v>12 Month Lease</x:v>
      </x:c>
      <x:c r="Z114" s="1" t="str">
        <x:v>False</x:v>
      </x:c>
      <x:c r="AA114" s="1" t="str">
        <x:v>False</x:v>
      </x:c>
      <x:c r="AB114" s="1" t="n">
        <x:v>46212.71103009259</x:v>
      </x:c>
      <x:c r="AC114" s="1" t="str">
        <x:v>Apartment Community</x:v>
      </x:c>
      <x:c r="AD114" s="1" t="str"/>
      <x:c r="AE114" s="1" t="str">
        <x:v>True</x:v>
      </x:c>
      <x:c r="AF114" s="1" t="str">
        <x:v>17</x:v>
      </x:c>
      <x:c r="AG114" s="1" t="str">
        <x:v>https://offcampus.dasa.ncsu.edu/housing/property/lupton-flats-2-bedroom-1-bathroom-flat-available-now-pre-leasing-for-august-2026/ocpsq5c5s4</x:v>
      </x:c>
    </x:row>
    <x:row r="115" ht="15" hidden="0" customHeight="1">
      <x:c r="A115" s="1" t="str">
        <x:v>ocpbnn75s8</x:v>
      </x:c>
      <x:c r="B115" s="1" t="str">
        <x:v>1790476</x:v>
      </x:c>
      <x:c r="C115" s="1" t="str"/>
      <x:c r="D115" s="5" t="str">
        <x:v>912 Chaney Rd. #100</x:v>
      </x:c>
      <x:c r="E115" s="5" t="str">
        <x:v>912 Chaney Road #100</x:v>
      </x:c>
      <x:c r="F115" s="1" t="str">
        <x:v>Raleigh</x:v>
      </x:c>
      <x:c r="G115" s="1" t="str">
        <x:v>NC</x:v>
      </x:c>
      <x:c r="H115" s="1" t="str">
        <x:v>27606</x:v>
      </x:c>
      <x:c r="I115" s="1" t="n">
        <x:v>35.786705</x:v>
      </x:c>
      <x:c r="J115" s="1" t="n">
        <x:v>-78.69549</x:v>
      </x:c>
      <x:c r="K115" s="1" t="str">
        <x:v>Main Campus</x:v>
      </x:c>
      <x:c r="L115" s="1" t="str">
        <x:v>0.48</x:v>
      </x:c>
      <x:c r="M115" s="1" t="n">
        <x:v>2600</x:v>
      </x:c>
      <x:c r="N115" s="1" t="n">
        <x:v>2600</x:v>
      </x:c>
      <x:c r="O115" s="1" t="str">
        <x:v>$2,600</x:v>
      </x:c>
      <x:c r="P115" s="1" t="n">
        <x:v>4</x:v>
      </x:c>
      <x:c r="Q115" s="1" t="n">
        <x:v>4</x:v>
      </x:c>
      <x:c r="R115" s="1" t="str">
        <x:v>4 Beds</x:v>
      </x:c>
      <x:c r="S115" s="1" t="str">
        <x:v>False</x:v>
      </x:c>
      <x:c r="T115" s="1" t="str">
        <x:v>False</x:v>
      </x:c>
      <x:c r="U115" s="1" t="str">
        <x:v>$2,650</x:v>
      </x:c>
      <x:c r="V115" s="1" t="str">
        <x:v>True</x:v>
      </x:c>
      <x:c r="W115" s="1" t="str">
        <x:v>False</x:v>
      </x:c>
      <x:c r="X115" s="1" t="str">
        <x:v>False</x:v>
      </x:c>
      <x:c r="Y115" s="1" t="str">
        <x:v>12 Month Lease</x:v>
      </x:c>
      <x:c r="Z115" s="1" t="str">
        <x:v>False</x:v>
      </x:c>
      <x:c r="AA115" s="1" t="str">
        <x:v>False</x:v>
      </x:c>
      <x:c r="AB115" s="1" t="n">
        <x:v>46010.7171875</x:v>
      </x:c>
      <x:c r="AC115" s="1" t="str">
        <x:v>Duplex</x:v>
      </x:c>
      <x:c r="AD115" s="1" t="str"/>
      <x:c r="AE115" s="1" t="str">
        <x:v>True</x:v>
      </x:c>
      <x:c r="AF115" s="1" t="str">
        <x:v>8</x:v>
      </x:c>
      <x:c r="AG115" s="1" t="str">
        <x:v>https://offcampus.dasa.ncsu.edu/housing/property/912-chaney-rd-100/ocpbnn75s8</x:v>
      </x:c>
    </x:row>
    <x:row r="116" ht="15" hidden="0" customHeight="1">
      <x:c r="A116" s="1" t="str">
        <x:v>jkg82q6</x:v>
      </x:c>
      <x:c r="B116" s="1" t="str">
        <x:v>1206858</x:v>
      </x:c>
      <x:c r="C116" s="1" t="str">
        <x:v>2jgy1qb</x:v>
      </x:c>
      <x:c r="D116" s="5" t="str">
        <x:v>Room in House on Joyner Pl</x:v>
      </x:c>
      <x:c r="E116" s="5" t="str">
        <x:v>4600 Joyner Pl</x:v>
      </x:c>
      <x:c r="F116" s="1" t="str">
        <x:v>Raleigh</x:v>
      </x:c>
      <x:c r="G116" s="1" t="str">
        <x:v>NC</x:v>
      </x:c>
      <x:c r="H116" s="1" t="str">
        <x:v>27612</x:v>
      </x:c>
      <x:c r="I116" s="1" t="n">
        <x:v>35.844878</x:v>
      </x:c>
      <x:c r="J116" s="1" t="n">
        <x:v>-78.681951</x:v>
      </x:c>
      <x:c r="K116" s="1" t="str">
        <x:v>Main Campus</x:v>
      </x:c>
      <x:c r="L116" s="1" t="str">
        <x:v>5.58</x:v>
      </x:c>
      <x:c r="M116" s="1" t="n">
        <x:v>700</x:v>
      </x:c>
      <x:c r="N116" s="1" t="n">
        <x:v>700</x:v>
      </x:c>
      <x:c r="O116" s="1" t="str">
        <x:v>$700</x:v>
      </x:c>
      <x:c r="P116" s="1" t="n">
        <x:v>1</x:v>
      </x:c>
      <x:c r="Q116" s="1" t="n">
        <x:v>1</x:v>
      </x:c>
      <x:c r="R116" s="1" t="str">
        <x:v>1 Bed</x:v>
      </x:c>
      <x:c r="S116" s="1" t="str">
        <x:v>False</x:v>
      </x:c>
      <x:c r="T116" s="1" t="str">
        <x:v>False</x:v>
      </x:c>
      <x:c r="U116" s="1" t="str">
        <x:v>$700</x:v>
      </x:c>
      <x:c r="V116" s="1" t="str"/>
      <x:c r="W116" s="1" t="str">
        <x:v>False</x:v>
      </x:c>
      <x:c r="X116" s="1" t="str">
        <x:v>False</x:v>
      </x:c>
      <x:c r="Y116" s="1" t="str"/>
      <x:c r="Z116" s="1" t="str">
        <x:v>False</x:v>
      </x:c>
      <x:c r="AA116" s="1" t="str">
        <x:v>False</x:v>
      </x:c>
      <x:c r="AB116" s="1" t="n">
        <x:v>46239.488912037035</x:v>
      </x:c>
      <x:c r="AC116" s="1" t="str">
        <x:v>Single-Family Home</x:v>
      </x:c>
      <x:c r="AD116" s="1" t="n">
        <x:v>1</x:v>
      </x:c>
      <x:c r="AE116" s="1" t="str">
        <x:v>True</x:v>
      </x:c>
      <x:c r="AF116" s="1" t="str">
        <x:v>2</x:v>
      </x:c>
      <x:c r="AG116" s="1" t="str">
        <x:v>https://offcampus.dasa.ncsu.edu/housing/property/room-in-house-on-joyner-pl/jkg82q6</x:v>
      </x:c>
    </x:row>
    <x:row r="117" ht="24" hidden="0" customHeight="1">
      <x:c r="A117" s="1" t="str">
        <x:v>ocp2bnnl9c</x:v>
      </x:c>
      <x:c r="B117" s="1" t="str">
        <x:v>2312147</x:v>
      </x:c>
      <x:c r="C117" s="1" t="str"/>
      <x:c r="D117" s="5" t="str">
        <x:v>Townhome at Hampton Place, Morrisville, 20 to 25 minutes from NCSU.</x:v>
      </x:c>
      <x:c r="E117" s="5" t="str">
        <x:v>1204 Grenshaw Drive</x:v>
      </x:c>
      <x:c r="F117" s="1" t="str">
        <x:v>Morrisville</x:v>
      </x:c>
      <x:c r="G117" s="1" t="str">
        <x:v>NC</x:v>
      </x:c>
      <x:c r="H117" s="1" t="str">
        <x:v>27560</x:v>
      </x:c>
      <x:c r="I117" s="1" t="n">
        <x:v>35.831552</x:v>
      </x:c>
      <x:c r="J117" s="1" t="n">
        <x:v>-78.830401</x:v>
      </x:c>
      <x:c r="K117" s="1" t="str">
        <x:v>Main Campus</x:v>
      </x:c>
      <x:c r="L117" s="1" t="str">
        <x:v>12.66</x:v>
      </x:c>
      <x:c r="M117" s="1" t="n">
        <x:v>733</x:v>
      </x:c>
      <x:c r="N117" s="1" t="n">
        <x:v>733</x:v>
      </x:c>
      <x:c r="O117" s="1" t="str">
        <x:v>$733</x:v>
      </x:c>
      <x:c r="P117" s="1" t="n">
        <x:v>1</x:v>
      </x:c>
      <x:c r="Q117" s="1" t="n">
        <x:v>1</x:v>
      </x:c>
      <x:c r="R117" s="1" t="str">
        <x:v>1 Bed</x:v>
      </x:c>
      <x:c r="S117" s="1" t="str">
        <x:v>True</x:v>
      </x:c>
      <x:c r="T117" s="1" t="str">
        <x:v>False</x:v>
      </x:c>
      <x:c r="U117" s="1" t="str">
        <x:v>$833 - $853 /Bedroom</x:v>
      </x:c>
      <x:c r="V117" s="1" t="str">
        <x:v>True</x:v>
      </x:c>
      <x:c r="W117" s="1" t="str">
        <x:v>True</x:v>
      </x:c>
      <x:c r="X117" s="1" t="str">
        <x:v>False</x:v>
      </x:c>
      <x:c r="Y117" s="1" t="str">
        <x:v>9 Month Lease</x:v>
      </x:c>
      <x:c r="Z117" s="1" t="str">
        <x:v>False</x:v>
      </x:c>
      <x:c r="AA117" s="1" t="str">
        <x:v>False</x:v>
      </x:c>
      <x:c r="AB117" s="1" t="n">
        <x:v>46244.79800925926</x:v>
      </x:c>
      <x:c r="AC117" s="1" t="str">
        <x:v>Townhome</x:v>
      </x:c>
      <x:c r="AD117" s="1" t="str"/>
      <x:c r="AE117" s="1" t="str">
        <x:v>True</x:v>
      </x:c>
      <x:c r="AF117" s="1" t="str">
        <x:v>1</x:v>
      </x:c>
      <x:c r="AG117" s="1" t="str">
        <x:v>https://offcampus.dasa.ncsu.edu/housing/property/townhome-at-hampton-place-morrisville-20-to-25-minutes-from-ncsu/ocp2bnnl9c</x:v>
      </x:c>
    </x:row>
    <x:row r="118" ht="15" hidden="0" customHeight="1">
      <x:c r="A118" s="1" t="str">
        <x:v>gc0phpz</x:v>
      </x:c>
      <x:c r="B118" s="1" t="str">
        <x:v>2405454</x:v>
      </x:c>
      <x:c r="C118" s="1" t="str">
        <x:v>w800lpl</x:v>
      </x:c>
      <x:c r="D118" s="5" t="str">
        <x:v>591 E Cabarrus St (Raleigh, NC)</x:v>
      </x:c>
      <x:c r="E118" s="5" t="str">
        <x:v>591 E Cabarrus St</x:v>
      </x:c>
      <x:c r="F118" s="1" t="str">
        <x:v>Raleigh</x:v>
      </x:c>
      <x:c r="G118" s="1" t="str">
        <x:v>NC</x:v>
      </x:c>
      <x:c r="H118" s="1" t="str">
        <x:v>27601</x:v>
      </x:c>
      <x:c r="I118" s="1" t="n">
        <x:v>35.77414</x:v>
      </x:c>
      <x:c r="J118" s="1" t="n">
        <x:v>-78.62852</x:v>
      </x:c>
      <x:c r="K118" s="1" t="str">
        <x:v>Main Campus</x:v>
      </x:c>
      <x:c r="L118" s="1" t="str">
        <x:v>2.34</x:v>
      </x:c>
      <x:c r="M118" s="1" t="n">
        <x:v>2600</x:v>
      </x:c>
      <x:c r="N118" s="1" t="n">
        <x:v>2600</x:v>
      </x:c>
      <x:c r="O118" s="1" t="str">
        <x:v>$2,600</x:v>
      </x:c>
      <x:c r="P118" s="1" t="n">
        <x:v>3</x:v>
      </x:c>
      <x:c r="Q118" s="1" t="n">
        <x:v>3</x:v>
      </x:c>
      <x:c r="R118" s="1" t="str">
        <x:v>3 Beds</x:v>
      </x:c>
      <x:c r="S118" s="1" t="str">
        <x:v>False</x:v>
      </x:c>
      <x:c r="T118" s="1" t="str">
        <x:v>False</x:v>
      </x:c>
      <x:c r="U118" s="1" t="str">
        <x:v>$2,600</x:v>
      </x:c>
      <x:c r="V118" s="1" t="str"/>
      <x:c r="W118" s="1" t="str">
        <x:v>False</x:v>
      </x:c>
      <x:c r="X118" s="1" t="str">
        <x:v>False</x:v>
      </x:c>
      <x:c r="Y118" s="1" t="str"/>
      <x:c r="Z118" s="1" t="str">
        <x:v>False</x:v>
      </x:c>
      <x:c r="AA118" s="1" t="str">
        <x:v>False</x:v>
      </x:c>
      <x:c r="AB118" s="1" t="n">
        <x:v>46268.54777777778</x:v>
      </x:c>
      <x:c r="AC118" s="1" t="str">
        <x:v>Single-Family Home</x:v>
      </x:c>
      <x:c r="AD118" s="1" t="n">
        <x:v>1</x:v>
      </x:c>
      <x:c r="AE118" s="1" t="str">
        <x:v>True</x:v>
      </x:c>
      <x:c r="AF118" s="1" t="str">
        <x:v>2</x:v>
      </x:c>
      <x:c r="AG118" s="1" t="str">
        <x:v>https://offcampus.dasa.ncsu.edu/housing/property/591-e-cabarrus-st-raleigh-nc/gc0phpz</x:v>
      </x:c>
    </x:row>
    <x:row r="119" ht="15" hidden="0" customHeight="1">
      <x:c r="A119" s="1" t="str">
        <x:v>ocp0gblz91</x:v>
      </x:c>
      <x:c r="B119" s="1" t="str">
        <x:v>1903110</x:v>
      </x:c>
      <x:c r="C119" s="1" t="str"/>
      <x:c r="D119" s="5" t="str">
        <x:v>Great value in beautiful SW Raleigh</x:v>
      </x:c>
      <x:c r="E119" s="5" t="str"/>
      <x:c r="F119" s="1" t="str">
        <x:v>Raleigh</x:v>
      </x:c>
      <x:c r="G119" s="1" t="str">
        <x:v>NC</x:v>
      </x:c>
      <x:c r="H119" s="1" t="str">
        <x:v>27606</x:v>
      </x:c>
      <x:c r="I119" s="1" t="n">
        <x:v>35.747295</x:v>
      </x:c>
      <x:c r="J119" s="1" t="n">
        <x:v>-78.729736</x:v>
      </x:c>
      <x:c r="K119" s="1" t="str">
        <x:v>Main Campus</x:v>
      </x:c>
      <x:c r="L119" s="1" t="str">
        <x:v>3.84</x:v>
      </x:c>
      <x:c r="M119" s="1" t="n">
        <x:v>850</x:v>
      </x:c>
      <x:c r="N119" s="1" t="n">
        <x:v>850</x:v>
      </x:c>
      <x:c r="O119" s="1" t="str">
        <x:v>$850</x:v>
      </x:c>
      <x:c r="P119" s="1" t="n">
        <x:v>1</x:v>
      </x:c>
      <x:c r="Q119" s="1" t="n">
        <x:v>1</x:v>
      </x:c>
      <x:c r="R119" s="1" t="str">
        <x:v>1 Bed</x:v>
      </x:c>
      <x:c r="S119" s="1" t="str">
        <x:v>True</x:v>
      </x:c>
      <x:c r="T119" s="1" t="str">
        <x:v>False</x:v>
      </x:c>
      <x:c r="U119" s="1" t="str">
        <x:v>$850 /Bedroom</x:v>
      </x:c>
      <x:c r="V119" s="1" t="str">
        <x:v>True</x:v>
      </x:c>
      <x:c r="W119" s="1" t="str">
        <x:v>True</x:v>
      </x:c>
      <x:c r="X119" s="1" t="str">
        <x:v>False</x:v>
      </x:c>
      <x:c r="Y119" s="1" t="str">
        <x:v>1 Month Lease</x:v>
      </x:c>
      <x:c r="Z119" s="1" t="str">
        <x:v>True</x:v>
      </x:c>
      <x:c r="AA119" s="1" t="str">
        <x:v>False</x:v>
      </x:c>
      <x:c r="AB119" s="1" t="n">
        <x:v>46043.82895833333</x:v>
      </x:c>
      <x:c r="AC119" s="1" t="str">
        <x:v>Townhome</x:v>
      </x:c>
      <x:c r="AD119" s="1" t="str"/>
      <x:c r="AE119" s="1" t="str">
        <x:v>True</x:v>
      </x:c>
      <x:c r="AF119" s="1" t="str">
        <x:v>5</x:v>
      </x:c>
      <x:c r="AG119" s="1" t="str">
        <x:v>https://offcampus.dasa.ncsu.edu/housing/property/great-value-in-beautiful-sw-raleigh/ocp0gblz91</x:v>
      </x:c>
    </x:row>
    <x:row r="120" ht="15" hidden="0" customHeight="1">
      <x:c r="A120" s="1" t="str">
        <x:v>ocplp7c98d</x:v>
      </x:c>
      <x:c r="B120" s="1" t="str">
        <x:v>969717</x:v>
      </x:c>
      <x:c r="C120" s="1" t="str"/>
      <x:c r="D120" s="5" t="str">
        <x:v>Collegeview Apartments</x:v>
      </x:c>
      <x:c r="E120" s="5" t="str">
        <x:v>1615 Collegeview Avenue</x:v>
      </x:c>
      <x:c r="F120" s="1" t="str">
        <x:v>Raleigh</x:v>
      </x:c>
      <x:c r="G120" s="1" t="str">
        <x:v>NC</x:v>
      </x:c>
      <x:c r="H120" s="1" t="str">
        <x:v>27606</x:v>
      </x:c>
      <x:c r="I120" s="1" t="n">
        <x:v>35.775174</x:v>
      </x:c>
      <x:c r="J120" s="1" t="n">
        <x:v>-78.68629</x:v>
      </x:c>
      <x:c r="K120" s="1" t="str">
        <x:v>Main Campus</x:v>
      </x:c>
      <x:c r="L120" s="1" t="str">
        <x:v>0.34</x:v>
      </x:c>
      <x:c r="M120" s="1" t="n">
        <x:v>1445</x:v>
      </x:c>
      <x:c r="N120" s="1" t="n">
        <x:v>1545</x:v>
      </x:c>
      <x:c r="O120" s="1" t="str">
        <x:v>$1,445 - $1,545</x:v>
      </x:c>
      <x:c r="P120" s="1" t="n">
        <x:v>2</x:v>
      </x:c>
      <x:c r="Q120" s="1" t="n">
        <x:v>2</x:v>
      </x:c>
      <x:c r="R120" s="1" t="str">
        <x:v>2 Beds</x:v>
      </x:c>
      <x:c r="S120" s="1" t="str">
        <x:v>False</x:v>
      </x:c>
      <x:c r="T120" s="1" t="str">
        <x:v>False</x:v>
      </x:c>
      <x:c r="U120" s="1" t="str">
        <x:v>$1,445 - $1,545</x:v>
      </x:c>
      <x:c r="V120" s="1" t="str"/>
      <x:c r="W120" s="1" t="str">
        <x:v>False</x:v>
      </x:c>
      <x:c r="X120" s="1" t="str">
        <x:v>False</x:v>
      </x:c>
      <x:c r="Y120" s="1" t="str">
        <x:v>12 Month Lease</x:v>
      </x:c>
      <x:c r="Z120" s="1" t="str">
        <x:v>False</x:v>
      </x:c>
      <x:c r="AA120" s="1" t="str">
        <x:v>False</x:v>
      </x:c>
      <x:c r="AB120" s="1" t="n">
        <x:v>46212.69231481481</x:v>
      </x:c>
      <x:c r="AC120" s="1" t="str">
        <x:v>Apartment Community</x:v>
      </x:c>
      <x:c r="AD120" s="1" t="str"/>
      <x:c r="AE120" s="1" t="str">
        <x:v>True</x:v>
      </x:c>
      <x:c r="AF120" s="1" t="str">
        <x:v>6</x:v>
      </x:c>
      <x:c r="AG120" s="1" t="str">
        <x:v>https://offcampus.dasa.ncsu.edu/housing/property/collegeview-apartments/ocplp7c98d</x:v>
      </x:c>
    </x:row>
    <x:row r="121" ht="24" hidden="0" customHeight="1">
      <x:c r="A121" s="1" t="str">
        <x:v>ocpteqgjg8</x:v>
      </x:c>
      <x:c r="B121" s="1" t="str">
        <x:v>2042940</x:v>
      </x:c>
      <x:c r="C121" s="1" t="str"/>
      <x:c r="D121" s="5" t="str">
        <x:v>Huge modern studio suite- private entrance and beth- near NCSU</x:v>
      </x:c>
      <x:c r="E121" s="5" t="str">
        <x:v>1201 Granada Drive</x:v>
      </x:c>
      <x:c r="F121" s="1" t="str">
        <x:v>Raleigh</x:v>
      </x:c>
      <x:c r="G121" s="1" t="str">
        <x:v>NC</x:v>
      </x:c>
      <x:c r="H121" s="1" t="str">
        <x:v>27612</x:v>
      </x:c>
      <x:c r="I121" s="1" t="n">
        <x:v>35.822478</x:v>
      </x:c>
      <x:c r="J121" s="1" t="n">
        <x:v>-78.680244</x:v>
      </x:c>
      <x:c r="K121" s="1" t="str">
        <x:v>Main Campus</x:v>
      </x:c>
      <x:c r="L121" s="1" t="str">
        <x:v>2.75</x:v>
      </x:c>
      <x:c r="M121" s="1" t="n">
        <x:v>1150</x:v>
      </x:c>
      <x:c r="N121" s="1" t="n">
        <x:v>1150</x:v>
      </x:c>
      <x:c r="O121" s="1" t="str">
        <x:v>$1,150</x:v>
      </x:c>
      <x:c r="P121" s="1" t="n">
        <x:v>1</x:v>
      </x:c>
      <x:c r="Q121" s="1" t="n">
        <x:v>1</x:v>
      </x:c>
      <x:c r="R121" s="1" t="str">
        <x:v>1 Bed</x:v>
      </x:c>
      <x:c r="S121" s="1" t="str">
        <x:v>False</x:v>
      </x:c>
      <x:c r="T121" s="1" t="str">
        <x:v>False</x:v>
      </x:c>
      <x:c r="U121" s="1" t="str">
        <x:v>$1,150</x:v>
      </x:c>
      <x:c r="V121" s="1" t="str">
        <x:v>True</x:v>
      </x:c>
      <x:c r="W121" s="1" t="str">
        <x:v>False</x:v>
      </x:c>
      <x:c r="X121" s="1" t="str">
        <x:v>False</x:v>
      </x:c>
      <x:c r="Y121" s="1" t="str">
        <x:v>1 Month Lease</x:v>
      </x:c>
      <x:c r="Z121" s="1" t="str">
        <x:v>False</x:v>
      </x:c>
      <x:c r="AA121" s="1" t="str">
        <x:v>False</x:v>
      </x:c>
      <x:c r="AB121" s="1" t="n">
        <x:v>46273.57962962963</x:v>
      </x:c>
      <x:c r="AC121" s="1" t="str">
        <x:v>Single-Family Home</x:v>
      </x:c>
      <x:c r="AD121" s="1" t="str"/>
      <x:c r="AE121" s="1" t="str">
        <x:v>True</x:v>
      </x:c>
      <x:c r="AF121" s="1" t="str">
        <x:v>5</x:v>
      </x:c>
      <x:c r="AG121" s="1" t="str">
        <x:v>https://offcampus.dasa.ncsu.edu/housing/property/huge-modern-studio-suite-private-entrance-and-beth-near-ncsu/ocpteqgjg8</x:v>
      </x:c>
    </x:row>
    <x:row r="122" ht="15" hidden="0" customHeight="1">
      <x:c r="A122" s="1" t="str">
        <x:v>33f756e</x:v>
      </x:c>
      <x:c r="B122" s="1" t="str">
        <x:v>662317</x:v>
      </x:c>
      <x:c r="C122" s="1" t="str">
        <x:v>h0fj661</x:v>
      </x:c>
      <x:c r="D122" s="5" t="str">
        <x:v>University Village at 2505</x:v>
      </x:c>
      <x:c r="E122" s="5" t="str">
        <x:v>2505 Red Lodge Pl</x:v>
      </x:c>
      <x:c r="F122" s="1" t="str">
        <x:v>Raleigh</x:v>
      </x:c>
      <x:c r="G122" s="1" t="str">
        <x:v>NC</x:v>
      </x:c>
      <x:c r="H122" s="1" t="str">
        <x:v>27603</x:v>
      </x:c>
      <x:c r="I122" s="1" t="n">
        <x:v>35.747318</x:v>
      </x:c>
      <x:c r="J122" s="1" t="n">
        <x:v>-78.677292</x:v>
      </x:c>
      <x:c r="K122" s="1" t="str">
        <x:v>Main Campus</x:v>
      </x:c>
      <x:c r="L122" s="1" t="str">
        <x:v>3.21</x:v>
      </x:c>
      <x:c r="M122" s="1" t="n">
        <x:v>799</x:v>
      </x:c>
      <x:c r="N122" s="1" t="n">
        <x:v>799</x:v>
      </x:c>
      <x:c r="O122" s="1" t="str">
        <x:v>$799</x:v>
      </x:c>
      <x:c r="P122" s="1" t="n">
        <x:v>4</x:v>
      </x:c>
      <x:c r="Q122" s="1" t="n">
        <x:v>4</x:v>
      </x:c>
      <x:c r="R122" s="1" t="str">
        <x:v>4 Beds</x:v>
      </x:c>
      <x:c r="S122" s="1" t="str">
        <x:v>True</x:v>
      </x:c>
      <x:c r="T122" s="1" t="str">
        <x:v>False</x:v>
      </x:c>
      <x:c r="U122" s="1" t="str">
        <x:v>$799 /Bedroom</x:v>
      </x:c>
      <x:c r="V122" s="1" t="str"/>
      <x:c r="W122" s="1" t="str">
        <x:v>False</x:v>
      </x:c>
      <x:c r="X122" s="1" t="str">
        <x:v>False</x:v>
      </x:c>
      <x:c r="Y122" s="1" t="str">
        <x:v>11 Month Lease</x:v>
      </x:c>
      <x:c r="Z122" s="1" t="str">
        <x:v>False</x:v>
      </x:c>
      <x:c r="AA122" s="1" t="str">
        <x:v>False</x:v>
      </x:c>
      <x:c r="AB122" s="1" t="n">
        <x:v>46246.30782407407</x:v>
      </x:c>
      <x:c r="AC122" s="1" t="str">
        <x:v>Apartment Community</x:v>
      </x:c>
      <x:c r="AD122" s="1" t="n">
        <x:v>72</x:v>
      </x:c>
      <x:c r="AE122" s="1" t="str">
        <x:v>True</x:v>
      </x:c>
      <x:c r="AF122" s="1" t="str">
        <x:v>2</x:v>
      </x:c>
      <x:c r="AG122" s="1" t="str">
        <x:v>https://offcampus.dasa.ncsu.edu/housing/property/university-village-at-2505/33f756e</x:v>
      </x:c>
    </x:row>
    <x:row r="123" ht="15" hidden="0" customHeight="1">
      <x:c r="A123" s="1" t="str">
        <x:v>ocphe602k0</x:v>
      </x:c>
      <x:c r="B123" s="1" t="str">
        <x:v>2020864</x:v>
      </x:c>
      <x:c r="C123" s="1" t="str"/>
      <x:c r="D123" s="5" t="str">
        <x:v>Apartment close to campus</x:v>
      </x:c>
      <x:c r="E123" s="5" t="str">
        <x:v>2031 Wolfmill Drive 202</x:v>
      </x:c>
      <x:c r="F123" s="1" t="str">
        <x:v>Raleigh</x:v>
      </x:c>
      <x:c r="G123" s="1" t="str">
        <x:v>NC</x:v>
      </x:c>
      <x:c r="H123" s="1" t="str">
        <x:v>27603</x:v>
      </x:c>
      <x:c r="I123" s="1" t="n">
        <x:v>35.748959</x:v>
      </x:c>
      <x:c r="J123" s="1" t="n">
        <x:v>-78.69618</x:v>
      </x:c>
      <x:c r="K123" s="1" t="str">
        <x:v>Main Campus</x:v>
      </x:c>
      <x:c r="L123" s="1" t="str">
        <x:v>2.24</x:v>
      </x:c>
      <x:c r="M123" s="1" t="n">
        <x:v>1800</x:v>
      </x:c>
      <x:c r="N123" s="1" t="n">
        <x:v>1800</x:v>
      </x:c>
      <x:c r="O123" s="1" t="str">
        <x:v>$1,800</x:v>
      </x:c>
      <x:c r="P123" s="1" t="n">
        <x:v>3</x:v>
      </x:c>
      <x:c r="Q123" s="1" t="n">
        <x:v>3</x:v>
      </x:c>
      <x:c r="R123" s="1" t="str">
        <x:v>3 Beds</x:v>
      </x:c>
      <x:c r="S123" s="1" t="str">
        <x:v>False</x:v>
      </x:c>
      <x:c r="T123" s="1" t="str">
        <x:v>False</x:v>
      </x:c>
      <x:c r="U123" s="1" t="str">
        <x:v>$1,800</x:v>
      </x:c>
      <x:c r="V123" s="1" t="str">
        <x:v>True</x:v>
      </x:c>
      <x:c r="W123" s="1" t="str">
        <x:v>True</x:v>
      </x:c>
      <x:c r="X123" s="1" t="str">
        <x:v>False</x:v>
      </x:c>
      <x:c r="Y123" s="1" t="str">
        <x:v>12 Month Lease</x:v>
      </x:c>
      <x:c r="Z123" s="1" t="str">
        <x:v>False</x:v>
      </x:c>
      <x:c r="AA123" s="1" t="str">
        <x:v>False</x:v>
      </x:c>
      <x:c r="AB123" s="1" t="n">
        <x:v>46179.966203703705</x:v>
      </x:c>
      <x:c r="AC123" s="1" t="str">
        <x:v>Apartment Community</x:v>
      </x:c>
      <x:c r="AD123" s="1" t="str"/>
      <x:c r="AE123" s="1" t="str">
        <x:v>True</x:v>
      </x:c>
      <x:c r="AF123" s="1" t="str">
        <x:v>14</x:v>
      </x:c>
      <x:c r="AG123" s="1" t="str">
        <x:v>https://offcampus.dasa.ncsu.edu/housing/property/apartment-close-to-campus/ocphe602k0</x:v>
      </x:c>
    </x:row>
    <x:row r="124" ht="15" hidden="0" customHeight="1">
      <x:c r="A124" s="1" t="str">
        <x:v>zfenc9w</x:v>
      </x:c>
      <x:c r="B124" s="1" t="str">
        <x:v>1137996</x:v>
      </x:c>
      <x:c r="C124" s="1" t="str">
        <x:v>dee389h</x:v>
      </x:c>
      <x:c r="D124" s="5" t="str">
        <x:v>Room in Condo on Wolfmill Dr</x:v>
      </x:c>
      <x:c r="E124" s="5" t="str">
        <x:v>2010 Wolfmill Dr</x:v>
      </x:c>
      <x:c r="F124" s="1" t="str">
        <x:v>Raleigh</x:v>
      </x:c>
      <x:c r="G124" s="1" t="str">
        <x:v>NC</x:v>
      </x:c>
      <x:c r="H124" s="1" t="str">
        <x:v>27603</x:v>
      </x:c>
      <x:c r="I124" s="1" t="n">
        <x:v>35.749406</x:v>
      </x:c>
      <x:c r="J124" s="1" t="n">
        <x:v>-78.696527</x:v>
      </x:c>
      <x:c r="K124" s="1" t="str">
        <x:v>Main Campus</x:v>
      </x:c>
      <x:c r="L124" s="1" t="str">
        <x:v>2.23</x:v>
      </x:c>
      <x:c r="M124" s="1" t="n">
        <x:v>720</x:v>
      </x:c>
      <x:c r="N124" s="1" t="n">
        <x:v>720</x:v>
      </x:c>
      <x:c r="O124" s="1" t="str">
        <x:v>$720</x:v>
      </x:c>
      <x:c r="P124" s="1" t="n">
        <x:v>1</x:v>
      </x:c>
      <x:c r="Q124" s="1" t="n">
        <x:v>1</x:v>
      </x:c>
      <x:c r="R124" s="1" t="str">
        <x:v>1 Bed</x:v>
      </x:c>
      <x:c r="S124" s="1" t="str">
        <x:v>False</x:v>
      </x:c>
      <x:c r="T124" s="1" t="str">
        <x:v>False</x:v>
      </x:c>
      <x:c r="U124" s="1" t="str">
        <x:v>$720</x:v>
      </x:c>
      <x:c r="V124" s="1" t="str"/>
      <x:c r="W124" s="1" t="str">
        <x:v>False</x:v>
      </x:c>
      <x:c r="X124" s="1" t="str">
        <x:v>False</x:v>
      </x:c>
      <x:c r="Y124" s="1" t="str"/>
      <x:c r="Z124" s="1" t="str">
        <x:v>False</x:v>
      </x:c>
      <x:c r="AA124" s="1" t="str">
        <x:v>False</x:v>
      </x:c>
      <x:c r="AB124" s="1" t="n">
        <x:v>46232.51322916667</x:v>
      </x:c>
      <x:c r="AC124" s="1" t="str">
        <x:v>Duplex</x:v>
      </x:c>
      <x:c r="AD124" s="1" t="n">
        <x:v>1</x:v>
      </x:c>
      <x:c r="AE124" s="1" t="str">
        <x:v>True</x:v>
      </x:c>
      <x:c r="AF124" s="1" t="str">
        <x:v>2</x:v>
      </x:c>
      <x:c r="AG124" s="1" t="str">
        <x:v>https://offcampus.dasa.ncsu.edu/housing/property/room-in-condo-on-wolfmill-dr/zfenc9w</x:v>
      </x:c>
    </x:row>
    <x:row r="125" ht="15" hidden="0" customHeight="1">
      <x:c r="A125" s="1" t="str">
        <x:v>ocpvv9069d</x:v>
      </x:c>
      <x:c r="B125" s="1" t="str">
        <x:v>1797595</x:v>
      </x:c>
      <x:c r="C125" s="1" t="str"/>
      <x:c r="D125" s="5" t="str">
        <x:v>912 Chaney Rd. #102</x:v>
      </x:c>
      <x:c r="E125" s="5" t="str">
        <x:v>912 Chaney Road #102</x:v>
      </x:c>
      <x:c r="F125" s="1" t="str">
        <x:v>Raleigh</x:v>
      </x:c>
      <x:c r="G125" s="1" t="str">
        <x:v>NC</x:v>
      </x:c>
      <x:c r="H125" s="1" t="str">
        <x:v>27606</x:v>
      </x:c>
      <x:c r="I125" s="1" t="n">
        <x:v>35.786705</x:v>
      </x:c>
      <x:c r="J125" s="1" t="n">
        <x:v>-78.69549</x:v>
      </x:c>
      <x:c r="K125" s="1" t="str">
        <x:v>Main Campus</x:v>
      </x:c>
      <x:c r="L125" s="1" t="str">
        <x:v>0.48</x:v>
      </x:c>
      <x:c r="M125" s="1" t="n">
        <x:v>2600</x:v>
      </x:c>
      <x:c r="N125" s="1" t="n">
        <x:v>2600</x:v>
      </x:c>
      <x:c r="O125" s="1" t="str">
        <x:v>$2,600</x:v>
      </x:c>
      <x:c r="P125" s="1" t="n">
        <x:v>4</x:v>
      </x:c>
      <x:c r="Q125" s="1" t="n">
        <x:v>4</x:v>
      </x:c>
      <x:c r="R125" s="1" t="str">
        <x:v>4 Beds</x:v>
      </x:c>
      <x:c r="S125" s="1" t="str">
        <x:v>False</x:v>
      </x:c>
      <x:c r="T125" s="1" t="str">
        <x:v>False</x:v>
      </x:c>
      <x:c r="U125" s="1" t="str">
        <x:v>$2,650</x:v>
      </x:c>
      <x:c r="V125" s="1" t="str">
        <x:v>True</x:v>
      </x:c>
      <x:c r="W125" s="1" t="str">
        <x:v>False</x:v>
      </x:c>
      <x:c r="X125" s="1" t="str">
        <x:v>False</x:v>
      </x:c>
      <x:c r="Y125" s="1" t="str">
        <x:v>12 Month Lease</x:v>
      </x:c>
      <x:c r="Z125" s="1" t="str">
        <x:v>False</x:v>
      </x:c>
      <x:c r="AA125" s="1" t="str">
        <x:v>False</x:v>
      </x:c>
      <x:c r="AB125" s="1" t="n">
        <x:v>46010.717465277776</x:v>
      </x:c>
      <x:c r="AC125" s="1" t="str">
        <x:v>Duplex</x:v>
      </x:c>
      <x:c r="AD125" s="1" t="str"/>
      <x:c r="AE125" s="1" t="str">
        <x:v>True</x:v>
      </x:c>
      <x:c r="AF125" s="1" t="str">
        <x:v>8</x:v>
      </x:c>
      <x:c r="AG125" s="1" t="str">
        <x:v>https://offcampus.dasa.ncsu.edu/housing/property/912-chaney-rd-102/ocpvv9069d</x:v>
      </x:c>
    </x:row>
    <x:row r="126" ht="15" hidden="0" customHeight="1">
      <x:c r="A126" s="1" t="str">
        <x:v>49jmmdh</x:v>
      </x:c>
      <x:c r="B126" s="1" t="str">
        <x:v>1138006</x:v>
      </x:c>
      <x:c r="C126" s="1" t="str">
        <x:v>qbj2qdw</x:v>
      </x:c>
      <x:c r="D126" s="5" t="str">
        <x:v>Room in Townhome on Haskell Dr</x:v>
      </x:c>
      <x:c r="E126" s="5" t="str">
        <x:v>3016 Haskell Dr</x:v>
      </x:c>
      <x:c r="F126" s="1" t="str">
        <x:v>Raleigh</x:v>
      </x:c>
      <x:c r="G126" s="1" t="str">
        <x:v>NC</x:v>
      </x:c>
      <x:c r="H126" s="1" t="str">
        <x:v>27610</x:v>
      </x:c>
      <x:c r="I126" s="1" t="n">
        <x:v>35.738846</x:v>
      </x:c>
      <x:c r="J126" s="1" t="n">
        <x:v>-78.629227</x:v>
      </x:c>
      <x:c r="K126" s="1" t="str">
        <x:v>Main Campus</x:v>
      </x:c>
      <x:c r="L126" s="1" t="str">
        <x:v>4.36</x:v>
      </x:c>
      <x:c r="M126" s="1" t="n">
        <x:v>563</x:v>
      </x:c>
      <x:c r="N126" s="1" t="n">
        <x:v>563</x:v>
      </x:c>
      <x:c r="O126" s="1" t="str">
        <x:v>$563</x:v>
      </x:c>
      <x:c r="P126" s="1" t="n">
        <x:v>1</x:v>
      </x:c>
      <x:c r="Q126" s="1" t="n">
        <x:v>1</x:v>
      </x:c>
      <x:c r="R126" s="1" t="str">
        <x:v>1 Bed</x:v>
      </x:c>
      <x:c r="S126" s="1" t="str">
        <x:v>False</x:v>
      </x:c>
      <x:c r="T126" s="1" t="str">
        <x:v>False</x:v>
      </x:c>
      <x:c r="U126" s="1" t="str">
        <x:v>$563</x:v>
      </x:c>
      <x:c r="V126" s="1" t="str"/>
      <x:c r="W126" s="1" t="str">
        <x:v>False</x:v>
      </x:c>
      <x:c r="X126" s="1" t="str">
        <x:v>False</x:v>
      </x:c>
      <x:c r="Y126" s="1" t="str"/>
      <x:c r="Z126" s="1" t="str">
        <x:v>False</x:v>
      </x:c>
      <x:c r="AA126" s="1" t="str">
        <x:v>False</x:v>
      </x:c>
      <x:c r="AB126" s="1" t="n">
        <x:v>46249.5790162037</x:v>
      </x:c>
      <x:c r="AC126" s="1" t="str">
        <x:v>Townhome</x:v>
      </x:c>
      <x:c r="AD126" s="1" t="n">
        <x:v>1</x:v>
      </x:c>
      <x:c r="AE126" s="1" t="str">
        <x:v>True</x:v>
      </x:c>
      <x:c r="AF126" s="1" t="str">
        <x:v>2</x:v>
      </x:c>
      <x:c r="AG126" s="1" t="str">
        <x:v>https://offcampus.dasa.ncsu.edu/housing/property/room-in-townhome-on-haskell-dr/49jmmdh</x:v>
      </x:c>
    </x:row>
    <x:row r="127" ht="24" hidden="0" customHeight="1">
      <x:c r="A127" s="1" t="str">
        <x:v>ocpn54lxfn</x:v>
      </x:c>
      <x:c r="B127" s="1" t="str">
        <x:v>2053807</x:v>
      </x:c>
      <x:c r="C127" s="1" t="str"/>
      <x:c r="D127" s="5" t="str">
        <x:v>3 bedroom home close to campus and downtown Raleigh(Utilities included)</x:v>
      </x:c>
      <x:c r="E127" s="5" t="str">
        <x:v>2308 Keith Drive</x:v>
      </x:c>
      <x:c r="F127" s="1" t="str">
        <x:v>Raleigh</x:v>
      </x:c>
      <x:c r="G127" s="1" t="str">
        <x:v>NC</x:v>
      </x:c>
      <x:c r="H127" s="1" t="str">
        <x:v>27610</x:v>
      </x:c>
      <x:c r="I127" s="1" t="n">
        <x:v>35.748395</x:v>
      </x:c>
      <x:c r="J127" s="1" t="n">
        <x:v>-78.616584</x:v>
      </x:c>
      <x:c r="K127" s="1" t="str">
        <x:v>Main Campus</x:v>
      </x:c>
      <x:c r="L127" s="1" t="str">
        <x:v>5.02</x:v>
      </x:c>
      <x:c r="M127" s="1" t="n">
        <x:v>2000</x:v>
      </x:c>
      <x:c r="N127" s="1" t="n">
        <x:v>2000</x:v>
      </x:c>
      <x:c r="O127" s="1" t="str">
        <x:v>$2,000</x:v>
      </x:c>
      <x:c r="P127" s="1" t="n">
        <x:v>3</x:v>
      </x:c>
      <x:c r="Q127" s="1" t="n">
        <x:v>3</x:v>
      </x:c>
      <x:c r="R127" s="1" t="str">
        <x:v>3 Beds</x:v>
      </x:c>
      <x:c r="S127" s="1" t="str">
        <x:v>False</x:v>
      </x:c>
      <x:c r="T127" s="1" t="str">
        <x:v>False</x:v>
      </x:c>
      <x:c r="U127" s="1" t="str">
        <x:v>$2,000</x:v>
      </x:c>
      <x:c r="V127" s="1" t="str">
        <x:v>True</x:v>
      </x:c>
      <x:c r="W127" s="1" t="str">
        <x:v>False</x:v>
      </x:c>
      <x:c r="X127" s="1" t="str">
        <x:v>False</x:v>
      </x:c>
      <x:c r="Y127" s="1" t="str">
        <x:v>12 Month Lease</x:v>
      </x:c>
      <x:c r="Z127" s="1" t="str">
        <x:v>False</x:v>
      </x:c>
      <x:c r="AA127" s="1" t="str">
        <x:v>False</x:v>
      </x:c>
      <x:c r="AB127" s="1" t="n">
        <x:v>46118.749074074076</x:v>
      </x:c>
      <x:c r="AC127" s="1" t="str">
        <x:v>Duplex</x:v>
      </x:c>
      <x:c r="AD127" s="1" t="str"/>
      <x:c r="AE127" s="1" t="str">
        <x:v>True</x:v>
      </x:c>
      <x:c r="AF127" s="1" t="str">
        <x:v>11</x:v>
      </x:c>
      <x:c r="AG127" s="1" t="str">
        <x:v>https://offcampus.dasa.ncsu.edu/housing/property/3-bedroom-home-close-to-campus-and-downtown-raleigh-utilities-included/ocpn54lxfn</x:v>
      </x:c>
    </x:row>
    <x:row r="128" ht="15" hidden="0" customHeight="1">
      <x:c r="A128" s="1" t="str">
        <x:v>wjt9dqk</x:v>
      </x:c>
      <x:c r="B128" s="1" t="str">
        <x:v>1138017</x:v>
      </x:c>
      <x:c r="C128" s="1" t="str">
        <x:v>gktzgqy</x:v>
      </x:c>
      <x:c r="D128" s="5" t="str">
        <x:v>Room in Condo on University Ct</x:v>
      </x:c>
      <x:c r="E128" s="5" t="str">
        <x:v>1241 University Ct</x:v>
      </x:c>
      <x:c r="F128" s="1" t="str">
        <x:v>Raleigh</x:v>
      </x:c>
      <x:c r="G128" s="1" t="str">
        <x:v>NC</x:v>
      </x:c>
      <x:c r="H128" s="1" t="str">
        <x:v>27606</x:v>
      </x:c>
      <x:c r="I128" s="1" t="n">
        <x:v>35.763601</x:v>
      </x:c>
      <x:c r="J128" s="1" t="n">
        <x:v>-78.70304</x:v>
      </x:c>
      <x:c r="K128" s="1" t="str">
        <x:v>Main Campus</x:v>
      </x:c>
      <x:c r="L128" s="1" t="str">
        <x:v>1.77</x:v>
      </x:c>
      <x:c r="M128" s="1" t="n">
        <x:v>650</x:v>
      </x:c>
      <x:c r="N128" s="1" t="n">
        <x:v>650</x:v>
      </x:c>
      <x:c r="O128" s="1" t="str">
        <x:v>$650</x:v>
      </x:c>
      <x:c r="P128" s="1" t="n">
        <x:v>1</x:v>
      </x:c>
      <x:c r="Q128" s="1" t="n">
        <x:v>1</x:v>
      </x:c>
      <x:c r="R128" s="1" t="str">
        <x:v>1 Bed</x:v>
      </x:c>
      <x:c r="S128" s="1" t="str">
        <x:v>False</x:v>
      </x:c>
      <x:c r="T128" s="1" t="str">
        <x:v>False</x:v>
      </x:c>
      <x:c r="U128" s="1" t="str">
        <x:v>$650</x:v>
      </x:c>
      <x:c r="V128" s="1" t="str"/>
      <x:c r="W128" s="1" t="str">
        <x:v>False</x:v>
      </x:c>
      <x:c r="X128" s="1" t="str">
        <x:v>False</x:v>
      </x:c>
      <x:c r="Y128" s="1" t="str"/>
      <x:c r="Z128" s="1" t="str">
        <x:v>False</x:v>
      </x:c>
      <x:c r="AA128" s="1" t="str">
        <x:v>False</x:v>
      </x:c>
      <x:c r="AB128" s="1" t="n">
        <x:v>46224.59238425926</x:v>
      </x:c>
      <x:c r="AC128" s="1" t="str">
        <x:v>Duplex</x:v>
      </x:c>
      <x:c r="AD128" s="1" t="n">
        <x:v>1</x:v>
      </x:c>
      <x:c r="AE128" s="1" t="str">
        <x:v>True</x:v>
      </x:c>
      <x:c r="AF128" s="1" t="str">
        <x:v>2</x:v>
      </x:c>
      <x:c r="AG128" s="1" t="str">
        <x:v>https://offcampus.dasa.ncsu.edu/housing/property/room-in-condo-on-university-ct/wjt9dqk</x:v>
      </x:c>
    </x:row>
    <x:row r="129" ht="24" hidden="0" customHeight="1">
      <x:c r="A129" s="1" t="str">
        <x:v>ocpg8zsjmz</x:v>
      </x:c>
      <x:c r="B129" s="1" t="str">
        <x:v>995434</x:v>
      </x:c>
      <x:c r="C129" s="1" t="str"/>
      <x:c r="D129" s="5" t="str">
        <x:v>Flex Stay | Lux Furnished | 3 Bed |  Pets OK | Utilities Incl. | International OK</x:v>
      </x:c>
      <x:c r="E129" s="5" t="str">
        <x:v>532 Brent Road</x:v>
      </x:c>
      <x:c r="F129" s="1" t="str">
        <x:v>Raleigh</x:v>
      </x:c>
      <x:c r="G129" s="1" t="str">
        <x:v>NC</x:v>
      </x:c>
      <x:c r="H129" s="1" t="str">
        <x:v>27606</x:v>
      </x:c>
      <x:c r="I129" s="1" t="n">
        <x:v>35.773384</x:v>
      </x:c>
      <x:c r="J129" s="1" t="n">
        <x:v>-78.694331</x:v>
      </x:c>
      <x:c r="K129" s="1" t="str">
        <x:v>Main Campus</x:v>
      </x:c>
      <x:c r="L129" s="1" t="str">
        <x:v>0.76</x:v>
      </x:c>
      <x:c r="M129" s="1" t="n">
        <x:v>2800</x:v>
      </x:c>
      <x:c r="N129" s="1" t="n">
        <x:v>2800</x:v>
      </x:c>
      <x:c r="O129" s="1" t="str">
        <x:v>$2,800</x:v>
      </x:c>
      <x:c r="P129" s="1" t="n">
        <x:v>3</x:v>
      </x:c>
      <x:c r="Q129" s="1" t="n">
        <x:v>3</x:v>
      </x:c>
      <x:c r="R129" s="1" t="str">
        <x:v>3 Beds</x:v>
      </x:c>
      <x:c r="S129" s="1" t="str">
        <x:v>False</x:v>
      </x:c>
      <x:c r="T129" s="1" t="str">
        <x:v>False</x:v>
      </x:c>
      <x:c r="U129" s="1" t="str">
        <x:v>$2,800</x:v>
      </x:c>
      <x:c r="V129" s="1" t="str">
        <x:v>True</x:v>
      </x:c>
      <x:c r="W129" s="1" t="str">
        <x:v>False</x:v>
      </x:c>
      <x:c r="X129" s="1" t="str">
        <x:v>False</x:v>
      </x:c>
      <x:c r="Y129" s="1" t="str">
        <x:v>1 Month Lease</x:v>
      </x:c>
      <x:c r="Z129" s="1" t="str">
        <x:v>False</x:v>
      </x:c>
      <x:c r="AA129" s="1" t="str">
        <x:v>False</x:v>
      </x:c>
      <x:c r="AB129" s="1" t="n">
        <x:v>46142.57601851852</x:v>
      </x:c>
      <x:c r="AC129" s="1" t="str">
        <x:v>Duplex</x:v>
      </x:c>
      <x:c r="AD129" s="1" t="str"/>
      <x:c r="AE129" s="1" t="str">
        <x:v>True</x:v>
      </x:c>
      <x:c r="AF129" s="1" t="str">
        <x:v>22</x:v>
      </x:c>
      <x:c r="AG129" s="1" t="str">
        <x:v>https://offcampus.dasa.ncsu.edu/housing/property/flex-stay-lux-furnished-3-bed-pets-ok-utilities-incl-international-ok/ocpg8zsjmz</x:v>
      </x:c>
    </x:row>
    <x:row r="130" ht="15" hidden="0" customHeight="1">
      <x:c r="A130" s="1" t="str">
        <x:v>bq6wzsb</x:v>
      </x:c>
      <x:c r="B130" s="1" t="str">
        <x:v>2405669</x:v>
      </x:c>
      <x:c r="C130" s="1" t="str">
        <x:v>sm6bws6</x:v>
      </x:c>
      <x:c r="D130" s="5" t="str">
        <x:v>Room in House on Quartz Ct</x:v>
      </x:c>
      <x:c r="E130" s="5" t="str">
        <x:v>2325 Quartz Ct</x:v>
      </x:c>
      <x:c r="F130" s="1" t="str">
        <x:v>Raleigh</x:v>
      </x:c>
      <x:c r="G130" s="1" t="str">
        <x:v>NC</x:v>
      </x:c>
      <x:c r="H130" s="1" t="str">
        <x:v>27610</x:v>
      </x:c>
      <x:c r="I130" s="1" t="n">
        <x:v>35.746499</x:v>
      </x:c>
      <x:c r="J130" s="1" t="n">
        <x:v>-78.607758</x:v>
      </x:c>
      <x:c r="K130" s="1" t="str">
        <x:v>Main Campus</x:v>
      </x:c>
      <x:c r="L130" s="1" t="str">
        <x:v>5.55</x:v>
      </x:c>
      <x:c r="M130" s="1" t="n">
        <x:v>685</x:v>
      </x:c>
      <x:c r="N130" s="1" t="n">
        <x:v>685</x:v>
      </x:c>
      <x:c r="O130" s="1" t="str">
        <x:v>$685</x:v>
      </x:c>
      <x:c r="P130" s="1" t="n">
        <x:v>1</x:v>
      </x:c>
      <x:c r="Q130" s="1" t="n">
        <x:v>1</x:v>
      </x:c>
      <x:c r="R130" s="1" t="str">
        <x:v>1 Bed</x:v>
      </x:c>
      <x:c r="S130" s="1" t="str">
        <x:v>False</x:v>
      </x:c>
      <x:c r="T130" s="1" t="str">
        <x:v>False</x:v>
      </x:c>
      <x:c r="U130" s="1" t="str">
        <x:v>$685</x:v>
      </x:c>
      <x:c r="V130" s="1" t="str"/>
      <x:c r="W130" s="1" t="str">
        <x:v>False</x:v>
      </x:c>
      <x:c r="X130" s="1" t="str">
        <x:v>False</x:v>
      </x:c>
      <x:c r="Y130" s="1" t="str"/>
      <x:c r="Z130" s="1" t="str">
        <x:v>False</x:v>
      </x:c>
      <x:c r="AA130" s="1" t="str">
        <x:v>False</x:v>
      </x:c>
      <x:c r="AB130" s="1" t="n">
        <x:v>46268.58594907408</x:v>
      </x:c>
      <x:c r="AC130" s="1" t="str">
        <x:v>Single-Family Home</x:v>
      </x:c>
      <x:c r="AD130" s="1" t="n">
        <x:v>1</x:v>
      </x:c>
      <x:c r="AE130" s="1" t="str">
        <x:v>True</x:v>
      </x:c>
      <x:c r="AF130" s="1" t="str">
        <x:v>2</x:v>
      </x:c>
      <x:c r="AG130" s="1" t="str">
        <x:v>https://offcampus.dasa.ncsu.edu/housing/property/room-in-house-on-quartz-ct/bq6wzsb</x:v>
      </x:c>
    </x:row>
    <x:row r="131" ht="15" hidden="0" customHeight="1">
      <x:c r="A131" s="1" t="str">
        <x:v>ocp4t7wmxk</x:v>
      </x:c>
      <x:c r="B131" s="1" t="str">
        <x:v>2382679</x:v>
      </x:c>
      <x:c r="C131" s="1" t="str"/>
      <x:c r="D131" s="5" t="str">
        <x:v>University Oaks</x:v>
      </x:c>
      <x:c r="E131" s="5" t="str">
        <x:v>1130 Carlton Avenue #303</x:v>
      </x:c>
      <x:c r="F131" s="1" t="str">
        <x:v>Raleigh</x:v>
      </x:c>
      <x:c r="G131" s="1" t="str">
        <x:v>NC</x:v>
      </x:c>
      <x:c r="H131" s="1" t="str">
        <x:v>27606</x:v>
      </x:c>
      <x:c r="I131" s="1" t="n">
        <x:v>35.782112</x:v>
      </x:c>
      <x:c r="J131" s="1" t="n">
        <x:v>-78.689174</x:v>
      </x:c>
      <x:c r="K131" s="1" t="str">
        <x:v>Main Campus</x:v>
      </x:c>
      <x:c r="L131" s="1" t="str">
        <x:v>0.33</x:v>
      </x:c>
      <x:c r="M131" s="1" t="n">
        <x:v>725</x:v>
      </x:c>
      <x:c r="N131" s="1" t="n">
        <x:v>725</x:v>
      </x:c>
      <x:c r="O131" s="1" t="str">
        <x:v>$725</x:v>
      </x:c>
      <x:c r="P131" s="1" t="n">
        <x:v>3</x:v>
      </x:c>
      <x:c r="Q131" s="1" t="n">
        <x:v>3</x:v>
      </x:c>
      <x:c r="R131" s="1" t="str">
        <x:v>3 Beds</x:v>
      </x:c>
      <x:c r="S131" s="1" t="str">
        <x:v>True</x:v>
      </x:c>
      <x:c r="T131" s="1" t="str">
        <x:v>False</x:v>
      </x:c>
      <x:c r="U131" s="1" t="str">
        <x:v>$725 /Bedroom</x:v>
      </x:c>
      <x:c r="V131" s="1" t="str">
        <x:v>True</x:v>
      </x:c>
      <x:c r="W131" s="1" t="str">
        <x:v>True</x:v>
      </x:c>
      <x:c r="X131" s="1" t="str">
        <x:v>False</x:v>
      </x:c>
      <x:c r="Y131" s="1" t="str">
        <x:v>12 Month Lease</x:v>
      </x:c>
      <x:c r="Z131" s="1" t="str">
        <x:v>False</x:v>
      </x:c>
      <x:c r="AA131" s="1" t="str">
        <x:v>False</x:v>
      </x:c>
      <x:c r="AB131" s="1" t="n">
        <x:v>46257.716990740744</x:v>
      </x:c>
      <x:c r="AC131" s="1" t="str">
        <x:v>Apartment Community</x:v>
      </x:c>
      <x:c r="AD131" s="1" t="str"/>
      <x:c r="AE131" s="1" t="str">
        <x:v>True</x:v>
      </x:c>
      <x:c r="AF131" s="1" t="str">
        <x:v>4</x:v>
      </x:c>
      <x:c r="AG131" s="1" t="str">
        <x:v>https://offcampus.dasa.ncsu.edu/housing/property/university-oaks/ocp4t7wmxk</x:v>
      </x:c>
    </x:row>
    <x:row r="132" ht="15" hidden="0" customHeight="1">
      <x:c r="A132" s="1" t="str">
        <x:v>z44390w</x:v>
      </x:c>
      <x:c r="B132" s="1" t="str">
        <x:v>2008318</x:v>
      </x:c>
      <x:c r="C132" s="1" t="str">
        <x:v>d74nb0h</x:v>
      </x:c>
      <x:c r="D132" s="5" t="str">
        <x:v>Lofts at Lineberry</x:v>
      </x:c>
      <x:c r="E132" s="5" t="str">
        <x:v>2531 Lineberry Dr</x:v>
      </x:c>
      <x:c r="F132" s="1" t="str">
        <x:v>Raleigh</x:v>
      </x:c>
      <x:c r="G132" s="1" t="str">
        <x:v>NC</x:v>
      </x:c>
      <x:c r="H132" s="1" t="str">
        <x:v>27607</x:v>
      </x:c>
      <x:c r="I132" s="1" t="n">
        <x:v>35.74926</x:v>
      </x:c>
      <x:c r="J132" s="1" t="n">
        <x:v>-78.679092</x:v>
      </x:c>
      <x:c r="K132" s="1" t="str">
        <x:v>Main Campus</x:v>
      </x:c>
      <x:c r="L132" s="1" t="str">
        <x:v>122.47</x:v>
      </x:c>
      <x:c r="M132" s="1" t="n">
        <x:v>0</x:v>
      </x:c>
      <x:c r="N132" s="1" t="str"/>
      <x:c r="O132" s="1" t="str">
        <x:v>Call for Pricing</x:v>
      </x:c>
      <x:c r="P132" s="1" t="n">
        <x:v>1</x:v>
      </x:c>
      <x:c r="Q132" s="1" t="n">
        <x:v>4</x:v>
      </x:c>
      <x:c r="R132" s="1" t="str">
        <x:v>1 - 4 Beds</x:v>
      </x:c>
      <x:c r="S132" s="1" t="str">
        <x:v>False</x:v>
      </x:c>
      <x:c r="T132" s="1" t="str">
        <x:v>False</x:v>
      </x:c>
      <x:c r="U132" s="1" t="str">
        <x:v>Call for Rent</x:v>
      </x:c>
      <x:c r="V132" s="1" t="str"/>
      <x:c r="W132" s="1" t="str">
        <x:v>False</x:v>
      </x:c>
      <x:c r="X132" s="1" t="str">
        <x:v>False</x:v>
      </x:c>
      <x:c r="Y132" s="1" t="str"/>
      <x:c r="Z132" s="1" t="str">
        <x:v>False</x:v>
      </x:c>
      <x:c r="AA132" s="1" t="str">
        <x:v>False</x:v>
      </x:c>
      <x:c r="AB132" s="1" t="n">
        <x:v>46198.3309375</x:v>
      </x:c>
      <x:c r="AC132" s="1" t="str">
        <x:v>Apartment Community</x:v>
      </x:c>
      <x:c r="AD132" s="1" t="n">
        <x:v>6</x:v>
      </x:c>
      <x:c r="AE132" s="1" t="str">
        <x:v>True</x:v>
      </x:c>
      <x:c r="AF132" s="1" t="str">
        <x:v>2</x:v>
      </x:c>
      <x:c r="AG132" s="1" t="str">
        <x:v>https://offcampus.dasa.ncsu.edu/housing/property/lofts-at-lineberry/z44390w</x:v>
      </x:c>
    </x:row>
    <x:row r="133" ht="15" hidden="0" customHeight="1">
      <x:c r="A133" s="1" t="str">
        <x:v>ocp90bdzb4</x:v>
      </x:c>
      <x:c r="B133" s="1" t="str">
        <x:v>1889317</x:v>
      </x:c>
      <x:c r="C133" s="1" t="str"/>
      <x:c r="D133" s="5" t="str">
        <x:v>Brick Bungalow close to Campus</x:v>
      </x:c>
      <x:c r="E133" s="5" t="str">
        <x:v>724 New Road</x:v>
      </x:c>
      <x:c r="F133" s="1" t="str">
        <x:v>Raleigh</x:v>
      </x:c>
      <x:c r="G133" s="1" t="str">
        <x:v>NC</x:v>
      </x:c>
      <x:c r="H133" s="1" t="str">
        <x:v>27608</x:v>
      </x:c>
      <x:c r="I133" s="1" t="n">
        <x:v>35.80608</x:v>
      </x:c>
      <x:c r="J133" s="1" t="n">
        <x:v>-78.627592</x:v>
      </x:c>
      <x:c r="K133" s="1" t="str">
        <x:v>Main Campus</x:v>
      </x:c>
      <x:c r="L133" s="1" t="str">
        <x:v>2.81</x:v>
      </x:c>
      <x:c r="M133" s="1" t="n">
        <x:v>1050</x:v>
      </x:c>
      <x:c r="N133" s="1" t="n">
        <x:v>1050</x:v>
      </x:c>
      <x:c r="O133" s="1" t="str">
        <x:v>$1,050</x:v>
      </x:c>
      <x:c r="P133" s="1" t="n">
        <x:v>1</x:v>
      </x:c>
      <x:c r="Q133" s="1" t="n">
        <x:v>1</x:v>
      </x:c>
      <x:c r="R133" s="1" t="str">
        <x:v>1 Bed</x:v>
      </x:c>
      <x:c r="S133" s="1" t="str">
        <x:v>True</x:v>
      </x:c>
      <x:c r="T133" s="1" t="str">
        <x:v>False</x:v>
      </x:c>
      <x:c r="U133" s="1" t="str">
        <x:v>$1,050 /Bedroom</x:v>
      </x:c>
      <x:c r="V133" s="1" t="str"/>
      <x:c r="W133" s="1" t="str">
        <x:v>True</x:v>
      </x:c>
      <x:c r="X133" s="1" t="str">
        <x:v>False</x:v>
      </x:c>
      <x:c r="Y133" s="1" t="str">
        <x:v>1 Month Lease</x:v>
      </x:c>
      <x:c r="Z133" s="1" t="str">
        <x:v>False</x:v>
      </x:c>
      <x:c r="AA133" s="1" t="str">
        <x:v>False</x:v>
      </x:c>
      <x:c r="AB133" s="1" t="n">
        <x:v>46183.77143518518</x:v>
      </x:c>
      <x:c r="AC133" s="1" t="str">
        <x:v>Single-Family Home</x:v>
      </x:c>
      <x:c r="AD133" s="1" t="str"/>
      <x:c r="AE133" s="1" t="str">
        <x:v>True</x:v>
      </x:c>
      <x:c r="AF133" s="1" t="str">
        <x:v>14</x:v>
      </x:c>
      <x:c r="AG133" s="1" t="str">
        <x:v>https://offcampus.dasa.ncsu.edu/housing/property/brick-bungalow-close-to-campus/ocp90bdzb4</x:v>
      </x:c>
    </x:row>
    <x:row r="134" ht="15" hidden="0" customHeight="1">
      <x:c r="A134" s="1" t="str">
        <x:v>ocp9blcpd7</x:v>
      </x:c>
      <x:c r="B134" s="1" t="str">
        <x:v>975190</x:v>
      </x:c>
      <x:c r="C134" s="1" t="str"/>
      <x:c r="D134" s="5" t="str">
        <x:v>Studio, One and Two Bedrooms at Westgrove Towers</x:v>
      </x:c>
      <x:c r="E134" s="5" t="str">
        <x:v>4700 Westgrove Street</x:v>
      </x:c>
      <x:c r="F134" s="1" t="str">
        <x:v>Raleigh</x:v>
      </x:c>
      <x:c r="G134" s="1" t="str">
        <x:v>NC</x:v>
      </x:c>
      <x:c r="H134" s="1" t="str">
        <x:v>27606</x:v>
      </x:c>
      <x:c r="I134" s="1" t="n">
        <x:v>35.787608</x:v>
      </x:c>
      <x:c r="J134" s="1" t="n">
        <x:v>-78.700346</x:v>
      </x:c>
      <x:c r="K134" s="1" t="str">
        <x:v>Main Campus</x:v>
      </x:c>
      <x:c r="L134" s="1" t="str">
        <x:v>1.06</x:v>
      </x:c>
      <x:c r="M134" s="1" t="n">
        <x:v>805</x:v>
      </x:c>
      <x:c r="N134" s="1" t="n">
        <x:v>1050</x:v>
      </x:c>
      <x:c r="O134" s="1" t="str">
        <x:v>$805 - $1,050</x:v>
      </x:c>
      <x:c r="P134" s="1" t="n">
        <x:v>1</x:v>
      </x:c>
      <x:c r="Q134" s="1" t="n">
        <x:v>1</x:v>
      </x:c>
      <x:c r="R134" s="1" t="str">
        <x:v>1 Bed</x:v>
      </x:c>
      <x:c r="S134" s="1" t="str">
        <x:v>False</x:v>
      </x:c>
      <x:c r="T134" s="1" t="str">
        <x:v>False</x:v>
      </x:c>
      <x:c r="U134" s="1" t="str">
        <x:v>$805 - $1,050</x:v>
      </x:c>
      <x:c r="V134" s="1" t="str"/>
      <x:c r="W134" s="1" t="str">
        <x:v>False</x:v>
      </x:c>
      <x:c r="X134" s="1" t="str">
        <x:v>False</x:v>
      </x:c>
      <x:c r="Y134" s="1" t="str">
        <x:v>12 Month Lease</x:v>
      </x:c>
      <x:c r="Z134" s="1" t="str">
        <x:v>False</x:v>
      </x:c>
      <x:c r="AA134" s="1" t="str">
        <x:v>False</x:v>
      </x:c>
      <x:c r="AB134" s="1" t="n">
        <x:v>46212.7280787037</x:v>
      </x:c>
      <x:c r="AC134" s="1" t="str">
        <x:v>Apartment Community</x:v>
      </x:c>
      <x:c r="AD134" s="1" t="str"/>
      <x:c r="AE134" s="1" t="str">
        <x:v>True</x:v>
      </x:c>
      <x:c r="AF134" s="1" t="str">
        <x:v>5</x:v>
      </x:c>
      <x:c r="AG134" s="1" t="str">
        <x:v>https://offcampus.dasa.ncsu.edu/housing/property/studio-one-and-two-bedrooms-at-westgrove-towers/ocp9blcpd7</x:v>
      </x:c>
    </x:row>
    <x:row r="135" ht="15" hidden="0" customHeight="1">
      <x:c r="A135" s="1" t="str">
        <x:v>ocpq99qjpx</x:v>
      </x:c>
      <x:c r="B135" s="1" t="str">
        <x:v>1252096</x:v>
      </x:c>
      <x:c r="C135" s="1" t="str"/>
      <x:c r="D135" s="5" t="str">
        <x:v>Apartment close to NCSU</x:v>
      </x:c>
      <x:c r="E135" s="5" t="str">
        <x:v>1321 Crab Orchard Drive 201</x:v>
      </x:c>
      <x:c r="F135" s="1" t="str">
        <x:v>Raleigh</x:v>
      </x:c>
      <x:c r="G135" s="1" t="str">
        <x:v>NC</x:v>
      </x:c>
      <x:c r="H135" s="1" t="str">
        <x:v>27606</x:v>
      </x:c>
      <x:c r="I135" s="1" t="n">
        <x:v>35.762406</x:v>
      </x:c>
      <x:c r="J135" s="1" t="n">
        <x:v>-78.702305</x:v>
      </x:c>
      <x:c r="K135" s="1" t="str">
        <x:v>Main Campus</x:v>
      </x:c>
      <x:c r="L135" s="1" t="str">
        <x:v>1.72</x:v>
      </x:c>
      <x:c r="M135" s="1" t="n">
        <x:v>645</x:v>
      </x:c>
      <x:c r="N135" s="1" t="n">
        <x:v>645</x:v>
      </x:c>
      <x:c r="O135" s="1" t="str">
        <x:v>$645</x:v>
      </x:c>
      <x:c r="P135" s="1" t="n">
        <x:v>1</x:v>
      </x:c>
      <x:c r="Q135" s="1" t="n">
        <x:v>1</x:v>
      </x:c>
      <x:c r="R135" s="1" t="str">
        <x:v>1 Bed</x:v>
      </x:c>
      <x:c r="S135" s="1" t="str">
        <x:v>True</x:v>
      </x:c>
      <x:c r="T135" s="1" t="str">
        <x:v>False</x:v>
      </x:c>
      <x:c r="U135" s="1" t="str">
        <x:v>$645 /Bedroom</x:v>
      </x:c>
      <x:c r="V135" s="1" t="str"/>
      <x:c r="W135" s="1" t="str">
        <x:v>True</x:v>
      </x:c>
      <x:c r="X135" s="1" t="str">
        <x:v>False</x:v>
      </x:c>
      <x:c r="Y135" s="1" t="str"/>
      <x:c r="Z135" s="1" t="str">
        <x:v>False</x:v>
      </x:c>
      <x:c r="AA135" s="1" t="str">
        <x:v>False</x:v>
      </x:c>
      <x:c r="AB135" s="1" t="n">
        <x:v>46126.381377314814</x:v>
      </x:c>
      <x:c r="AC135" s="1" t="str">
        <x:v>Apartment Community</x:v>
      </x:c>
      <x:c r="AD135" s="1" t="str"/>
      <x:c r="AE135" s="1" t="str">
        <x:v>True</x:v>
      </x:c>
      <x:c r="AF135" s="1" t="str">
        <x:v>11</x:v>
      </x:c>
      <x:c r="AG135" s="1" t="str">
        <x:v>https://offcampus.dasa.ncsu.edu/housing/property/apartment-close-to-ncsu/ocpq99qjpx</x:v>
      </x:c>
    </x:row>
    <x:row r="136" ht="15" hidden="0" customHeight="1">
      <x:c r="A136" s="1" t="str">
        <x:v>gdtz0ww</x:v>
      </x:c>
      <x:c r="B136" s="1" t="str">
        <x:v>2405455</x:v>
      </x:c>
      <x:c r="C136" s="1" t="str">
        <x:v>wgt93wh</x:v>
      </x:c>
      <x:c r="D136" s="5" t="str">
        <x:v>3111 Kentish Town Ln (Raleigh, NC)</x:v>
      </x:c>
      <x:c r="E136" s="5" t="str">
        <x:v>3111 Kentish Town Ln</x:v>
      </x:c>
      <x:c r="F136" s="1" t="str">
        <x:v>Raleigh</x:v>
      </x:c>
      <x:c r="G136" s="1" t="str">
        <x:v>NC</x:v>
      </x:c>
      <x:c r="H136" s="1" t="str">
        <x:v>27612</x:v>
      </x:c>
      <x:c r="I136" s="1" t="n">
        <x:v>35.825827</x:v>
      </x:c>
      <x:c r="J136" s="1" t="n">
        <x:v>-78.702069</x:v>
      </x:c>
      <x:c r="K136" s="1" t="str">
        <x:v>Main Campus</x:v>
      </x:c>
      <x:c r="L136" s="1" t="str">
        <x:v>3.79</x:v>
      </x:c>
      <x:c r="M136" s="1" t="n">
        <x:v>2700</x:v>
      </x:c>
      <x:c r="N136" s="1" t="n">
        <x:v>2700</x:v>
      </x:c>
      <x:c r="O136" s="1" t="str">
        <x:v>$2,700</x:v>
      </x:c>
      <x:c r="P136" s="1" t="n">
        <x:v>3</x:v>
      </x:c>
      <x:c r="Q136" s="1" t="n">
        <x:v>3</x:v>
      </x:c>
      <x:c r="R136" s="1" t="str">
        <x:v>3 Beds</x:v>
      </x:c>
      <x:c r="S136" s="1" t="str">
        <x:v>False</x:v>
      </x:c>
      <x:c r="T136" s="1" t="str">
        <x:v>False</x:v>
      </x:c>
      <x:c r="U136" s="1" t="str">
        <x:v>$2,700</x:v>
      </x:c>
      <x:c r="V136" s="1" t="str"/>
      <x:c r="W136" s="1" t="str">
        <x:v>False</x:v>
      </x:c>
      <x:c r="X136" s="1" t="str">
        <x:v>False</x:v>
      </x:c>
      <x:c r="Y136" s="1" t="str"/>
      <x:c r="Z136" s="1" t="str">
        <x:v>False</x:v>
      </x:c>
      <x:c r="AA136" s="1" t="str">
        <x:v>False</x:v>
      </x:c>
      <x:c r="AB136" s="1" t="n">
        <x:v>46268.5478125</x:v>
      </x:c>
      <x:c r="AC136" s="1" t="str">
        <x:v>Townhome</x:v>
      </x:c>
      <x:c r="AD136" s="1" t="n">
        <x:v>1</x:v>
      </x:c>
      <x:c r="AE136" s="1" t="str">
        <x:v>True</x:v>
      </x:c>
      <x:c r="AF136" s="1" t="str">
        <x:v>2</x:v>
      </x:c>
      <x:c r="AG136" s="1" t="str">
        <x:v>https://offcampus.dasa.ncsu.edu/housing/property/3111-kentish-town-ln-raleigh-nc/gdtz0ww</x:v>
      </x:c>
    </x:row>
    <x:row r="137" ht="15" hidden="0" customHeight="1">
      <x:c r="A137" s="1" t="str">
        <x:v>ocps6ymwl7</x:v>
      </x:c>
      <x:c r="B137" s="1" t="str">
        <x:v>852305</x:v>
      </x:c>
      <x:c r="C137" s="1" t="str"/>
      <x:c r="D137" s="5" t="str">
        <x:v>University Woods</x:v>
      </x:c>
      <x:c r="E137" s="5" t="str">
        <x:v>1911 Wolf Tech Lane</x:v>
      </x:c>
      <x:c r="F137" s="1" t="str">
        <x:v>Raleigh</x:v>
      </x:c>
      <x:c r="G137" s="1" t="str">
        <x:v>NC</x:v>
      </x:c>
      <x:c r="H137" s="1" t="str">
        <x:v>27603</x:v>
      </x:c>
      <x:c r="I137" s="1" t="n">
        <x:v>35.750831</x:v>
      </x:c>
      <x:c r="J137" s="1" t="n">
        <x:v>-78.695304</x:v>
      </x:c>
      <x:c r="K137" s="1" t="str">
        <x:v>Main Campus</x:v>
      </x:c>
      <x:c r="L137" s="1" t="str">
        <x:v>2.18</x:v>
      </x:c>
      <x:c r="M137" s="1" t="n">
        <x:v>600</x:v>
      </x:c>
      <x:c r="N137" s="1" t="n">
        <x:v>600</x:v>
      </x:c>
      <x:c r="O137" s="1" t="str">
        <x:v>$600</x:v>
      </x:c>
      <x:c r="P137" s="1" t="n">
        <x:v>1</x:v>
      </x:c>
      <x:c r="Q137" s="1" t="n">
        <x:v>1</x:v>
      </x:c>
      <x:c r="R137" s="1" t="str">
        <x:v>1 Bed</x:v>
      </x:c>
      <x:c r="S137" s="1" t="str">
        <x:v>True</x:v>
      </x:c>
      <x:c r="T137" s="1" t="str">
        <x:v>False</x:v>
      </x:c>
      <x:c r="U137" s="1" t="str">
        <x:v>$600 /Bedroom</x:v>
      </x:c>
      <x:c r="V137" s="1" t="str"/>
      <x:c r="W137" s="1" t="str">
        <x:v>False</x:v>
      </x:c>
      <x:c r="X137" s="1" t="str">
        <x:v>False</x:v>
      </x:c>
      <x:c r="Y137" s="1" t="str"/>
      <x:c r="Z137" s="1" t="str">
        <x:v>False</x:v>
      </x:c>
      <x:c r="AA137" s="1" t="str">
        <x:v>False</x:v>
      </x:c>
      <x:c r="AB137" s="1" t="n">
        <x:v>45399.80113425926</x:v>
      </x:c>
      <x:c r="AC137" s="1" t="str">
        <x:v>Residential Condo Unit For Rent</x:v>
      </x:c>
      <x:c r="AD137" s="1" t="str"/>
      <x:c r="AE137" s="1" t="str">
        <x:v>True</x:v>
      </x:c>
      <x:c r="AF137" s="1" t="str">
        <x:v>5</x:v>
      </x:c>
      <x:c r="AG137" s="1" t="str">
        <x:v>https://offcampus.dasa.ncsu.edu/housing/property/university-woods/ocps6ymwl7</x:v>
      </x:c>
    </x:row>
    <x:row r="138" ht="15" hidden="0" customHeight="1">
      <x:c r="A138" s="1" t="str">
        <x:v>9m73sq5</x:v>
      </x:c>
      <x:c r="B138" s="1" t="str">
        <x:v>1138004</x:v>
      </x:c>
      <x:c r="C138" s="1" t="str">
        <x:v>tq7ntq9</x:v>
      </x:c>
      <x:c r="D138" s="5" t="str">
        <x:v>Room in Townhome on Macedonia Lake Dr</x:v>
      </x:c>
      <x:c r="E138" s="5" t="str">
        <x:v>8627 Macedonia Lake Dr</x:v>
      </x:c>
      <x:c r="F138" s="1" t="str">
        <x:v>Cary</x:v>
      </x:c>
      <x:c r="G138" s="1" t="str">
        <x:v>NC</x:v>
      </x:c>
      <x:c r="H138" s="1" t="str">
        <x:v>27518</x:v>
      </x:c>
      <x:c r="I138" s="1" t="n">
        <x:v>35.748332</x:v>
      </x:c>
      <x:c r="J138" s="1" t="n">
        <x:v>-78.742572</x:v>
      </x:c>
      <x:c r="K138" s="1" t="str">
        <x:v>Main Campus</x:v>
      </x:c>
      <x:c r="L138" s="1" t="str">
        <x:v>4.73</x:v>
      </x:c>
      <x:c r="M138" s="1" t="n">
        <x:v>800</x:v>
      </x:c>
      <x:c r="N138" s="1" t="n">
        <x:v>800</x:v>
      </x:c>
      <x:c r="O138" s="1" t="str">
        <x:v>$800</x:v>
      </x:c>
      <x:c r="P138" s="1" t="n">
        <x:v>1</x:v>
      </x:c>
      <x:c r="Q138" s="1" t="n">
        <x:v>1</x:v>
      </x:c>
      <x:c r="R138" s="1" t="str">
        <x:v>1 Bed</x:v>
      </x:c>
      <x:c r="S138" s="1" t="str">
        <x:v>False</x:v>
      </x:c>
      <x:c r="T138" s="1" t="str">
        <x:v>False</x:v>
      </x:c>
      <x:c r="U138" s="1" t="str">
        <x:v>$800</x:v>
      </x:c>
      <x:c r="V138" s="1" t="str"/>
      <x:c r="W138" s="1" t="str">
        <x:v>False</x:v>
      </x:c>
      <x:c r="X138" s="1" t="str">
        <x:v>False</x:v>
      </x:c>
      <x:c r="Y138" s="1" t="str"/>
      <x:c r="Z138" s="1" t="str">
        <x:v>False</x:v>
      </x:c>
      <x:c r="AA138" s="1" t="str">
        <x:v>False</x:v>
      </x:c>
      <x:c r="AB138" s="1" t="n">
        <x:v>46211.57163194445</x:v>
      </x:c>
      <x:c r="AC138" s="1" t="str">
        <x:v>Townhome</x:v>
      </x:c>
      <x:c r="AD138" s="1" t="n">
        <x:v>1</x:v>
      </x:c>
      <x:c r="AE138" s="1" t="str">
        <x:v>True</x:v>
      </x:c>
      <x:c r="AF138" s="1" t="str">
        <x:v>2</x:v>
      </x:c>
      <x:c r="AG138" s="1" t="str">
        <x:v>https://offcampus.dasa.ncsu.edu/housing/property/room-in-townhome-on-macedonia-lake-dr/9m73sq5</x:v>
      </x:c>
    </x:row>
    <x:row r="139" ht="15" hidden="0" customHeight="1">
      <x:c r="A139" s="1" t="str">
        <x:v>ocpvgtpebg</x:v>
      </x:c>
      <x:c r="B139" s="1" t="str">
        <x:v>852240</x:v>
      </x:c>
      <x:c r="C139" s="1" t="str"/>
      <x:c r="D139" s="5" t="str">
        <x:v>Lake Park Condos- Room Rental with Utilities</x:v>
      </x:c>
      <x:c r="E139" s="5" t="str">
        <x:v>1410 Collegiate Circle</x:v>
      </x:c>
      <x:c r="F139" s="1" t="str">
        <x:v>Raleigh</x:v>
      </x:c>
      <x:c r="G139" s="1" t="str">
        <x:v>NC</x:v>
      </x:c>
      <x:c r="H139" s="1" t="str">
        <x:v>27606</x:v>
      </x:c>
      <x:c r="I139" s="1" t="n">
        <x:v>35.762115</x:v>
      </x:c>
      <x:c r="J139" s="1" t="n">
        <x:v>-78.701515</x:v>
      </x:c>
      <x:c r="K139" s="1" t="str">
        <x:v>Main Campus</x:v>
      </x:c>
      <x:c r="L139" s="1" t="str">
        <x:v>1.72</x:v>
      </x:c>
      <x:c r="M139" s="1" t="n">
        <x:v>500</x:v>
      </x:c>
      <x:c r="N139" s="1" t="n">
        <x:v>600</x:v>
      </x:c>
      <x:c r="O139" s="1" t="str">
        <x:v>$500 - $600</x:v>
      </x:c>
      <x:c r="P139" s="1" t="n">
        <x:v>1</x:v>
      </x:c>
      <x:c r="Q139" s="1" t="n">
        <x:v>1</x:v>
      </x:c>
      <x:c r="R139" s="1" t="str">
        <x:v>1 Bed</x:v>
      </x:c>
      <x:c r="S139" s="1" t="str">
        <x:v>True</x:v>
      </x:c>
      <x:c r="T139" s="1" t="str">
        <x:v>False</x:v>
      </x:c>
      <x:c r="U139" s="1" t="str">
        <x:v>$500 - $600 /Bedroom</x:v>
      </x:c>
      <x:c r="V139" s="1" t="str"/>
      <x:c r="W139" s="1" t="str">
        <x:v>True</x:v>
      </x:c>
      <x:c r="X139" s="1" t="str">
        <x:v>False</x:v>
      </x:c>
      <x:c r="Y139" s="1" t="str">
        <x:v>12 Month Lease</x:v>
      </x:c>
      <x:c r="Z139" s="1" t="str">
        <x:v>False</x:v>
      </x:c>
      <x:c r="AA139" s="1" t="str">
        <x:v>False</x:v>
      </x:c>
      <x:c r="AB139" s="1" t="n">
        <x:v>46068.921944444446</x:v>
      </x:c>
      <x:c r="AC139" s="1" t="str">
        <x:v>Residential Condo Unit For Rent</x:v>
      </x:c>
      <x:c r="AD139" s="1" t="str"/>
      <x:c r="AE139" s="1" t="str">
        <x:v>True</x:v>
      </x:c>
      <x:c r="AF139" s="1" t="str">
        <x:v>15</x:v>
      </x:c>
      <x:c r="AG139" s="1" t="str">
        <x:v>https://offcampus.dasa.ncsu.edu/housing/property/lake-park-condos-room-rental-with-utilities/ocpvgtpebg</x:v>
      </x:c>
    </x:row>
    <x:row r="140" ht="15" hidden="0" customHeight="1">
      <x:c r="A140" s="1" t="str">
        <x:v>5hme2mn</x:v>
      </x:c>
      <x:c r="B140" s="1" t="str">
        <x:v>839821</x:v>
      </x:c>
      <x:c r="C140" s="1" t="str">
        <x:v>plmv1ms</x:v>
      </x:c>
      <x:c r="D140" s="5" t="str">
        <x:v>The Station Raleigh</x:v>
      </x:c>
      <x:c r="E140" s="5" t="str">
        <x:v>4200 Trinity Rd</x:v>
      </x:c>
      <x:c r="F140" s="1" t="str">
        <x:v>Raleigh</x:v>
      </x:c>
      <x:c r="G140" s="1" t="str">
        <x:v>NC</x:v>
      </x:c>
      <x:c r="H140" s="1" t="str">
        <x:v>27607</x:v>
      </x:c>
      <x:c r="I140" s="1" t="n">
        <x:v>35.799954</x:v>
      </x:c>
      <x:c r="J140" s="1" t="n">
        <x:v>-78.711159</x:v>
      </x:c>
      <x:c r="K140" s="1" t="str">
        <x:v>Main Campus</x:v>
      </x:c>
      <x:c r="L140" s="1" t="str">
        <x:v>2.13</x:v>
      </x:c>
      <x:c r="M140" s="1" t="n">
        <x:v>749</x:v>
      </x:c>
      <x:c r="N140" s="1" t="n">
        <x:v>1930</x:v>
      </x:c>
      <x:c r="O140" s="1" t="str">
        <x:v>$749 - $1,930</x:v>
      </x:c>
      <x:c r="P140" s="1" t="n">
        <x:v>1</x:v>
      </x:c>
      <x:c r="Q140" s="1" t="n">
        <x:v>4</x:v>
      </x:c>
      <x:c r="R140" s="1" t="str">
        <x:v>1 - 4 Beds</x:v>
      </x:c>
      <x:c r="S140" s="1" t="str">
        <x:v>True</x:v>
      </x:c>
      <x:c r="T140" s="1" t="str">
        <x:v>False</x:v>
      </x:c>
      <x:c r="U140" s="1" t="str">
        <x:v>$749 - $1,930 /Bedroom</x:v>
      </x:c>
      <x:c r="V140" s="1" t="str"/>
      <x:c r="W140" s="1" t="str">
        <x:v>False</x:v>
      </x:c>
      <x:c r="X140" s="1" t="str">
        <x:v>False</x:v>
      </x:c>
      <x:c r="Y140" s="1" t="str">
        <x:v>11 Month Lease</x:v>
      </x:c>
      <x:c r="Z140" s="1" t="str">
        <x:v>False</x:v>
      </x:c>
      <x:c r="AA140" s="1" t="str">
        <x:v>False</x:v>
      </x:c>
      <x:c r="AB140" s="1" t="n">
        <x:v>46252.3133912037</x:v>
      </x:c>
      <x:c r="AC140" s="1" t="str">
        <x:v>Apartment Community</x:v>
      </x:c>
      <x:c r="AD140" s="1" t="n">
        <x:v>174</x:v>
      </x:c>
      <x:c r="AE140" s="1" t="str">
        <x:v>True</x:v>
      </x:c>
      <x:c r="AF140" s="1" t="str">
        <x:v>2</x:v>
      </x:c>
      <x:c r="AG140" s="1" t="str">
        <x:v>https://offcampus.dasa.ncsu.edu/housing/property/the-station-raleigh/5hme2mn</x:v>
      </x:c>
    </x:row>
    <x:row r="141" ht="24" hidden="0" customHeight="1">
      <x:c r="A141" s="1" t="str">
        <x:v>ocp1kxjde4</x:v>
      </x:c>
      <x:c r="B141" s="1" t="str">
        <x:v>781958</x:v>
      </x:c>
      <x:c r="C141" s="1" t="str"/>
      <x:c r="D141" s="5" t="str">
        <x:v>Rent a WHOLE unit with water, electric, washer and dryer! 4 Bed 4 Bath! Lake Park Condos!</x:v>
      </x:c>
      <x:c r="E141" s="5" t="str">
        <x:v>1410 Collegiate Circle</x:v>
      </x:c>
      <x:c r="F141" s="1" t="str">
        <x:v>Raleigh</x:v>
      </x:c>
      <x:c r="G141" s="1" t="str">
        <x:v>NC</x:v>
      </x:c>
      <x:c r="H141" s="1" t="str">
        <x:v>27606</x:v>
      </x:c>
      <x:c r="I141" s="1" t="n">
        <x:v>35.762115</x:v>
      </x:c>
      <x:c r="J141" s="1" t="n">
        <x:v>-78.701515</x:v>
      </x:c>
      <x:c r="K141" s="1" t="str">
        <x:v>Main Campus</x:v>
      </x:c>
      <x:c r="L141" s="1" t="str">
        <x:v>1.72</x:v>
      </x:c>
      <x:c r="M141" s="1" t="n">
        <x:v>2000</x:v>
      </x:c>
      <x:c r="N141" s="1" t="n">
        <x:v>2000</x:v>
      </x:c>
      <x:c r="O141" s="1" t="str">
        <x:v>$2,000</x:v>
      </x:c>
      <x:c r="P141" s="1" t="n">
        <x:v>4</x:v>
      </x:c>
      <x:c r="Q141" s="1" t="n">
        <x:v>4</x:v>
      </x:c>
      <x:c r="R141" s="1" t="str">
        <x:v>4 Beds</x:v>
      </x:c>
      <x:c r="S141" s="1" t="str">
        <x:v>False</x:v>
      </x:c>
      <x:c r="T141" s="1" t="str">
        <x:v>False</x:v>
      </x:c>
      <x:c r="U141" s="1" t="str">
        <x:v>$2,000</x:v>
      </x:c>
      <x:c r="V141" s="1" t="str"/>
      <x:c r="W141" s="1" t="str">
        <x:v>False</x:v>
      </x:c>
      <x:c r="X141" s="1" t="str">
        <x:v>False</x:v>
      </x:c>
      <x:c r="Y141" s="1" t="str">
        <x:v>12 Month Lease</x:v>
      </x:c>
      <x:c r="Z141" s="1" t="str">
        <x:v>False</x:v>
      </x:c>
      <x:c r="AA141" s="1" t="str">
        <x:v>False</x:v>
      </x:c>
      <x:c r="AB141" s="1" t="n">
        <x:v>46068.92650462963</x:v>
      </x:c>
      <x:c r="AC141" s="1" t="str">
        <x:v>Residential Condo Unit For Rent</x:v>
      </x:c>
      <x:c r="AD141" s="1" t="str"/>
      <x:c r="AE141" s="1" t="str">
        <x:v>True</x:v>
      </x:c>
      <x:c r="AF141" s="1" t="str">
        <x:v>17</x:v>
      </x:c>
      <x:c r="AG141" s="1" t="str">
        <x:v>https://offcampus.dasa.ncsu.edu/housing/property/rent-a-whole-unit-with-water-electric-washer-and-dryer-4-bed-4-bath-lake-park-condos/ocp1kxjde4</x:v>
      </x:c>
    </x:row>
    <x:row r="142" ht="15" hidden="0" customHeight="1">
      <x:c r="A142" s="1" t="str">
        <x:v>lpl9fce</x:v>
      </x:c>
      <x:c r="B142" s="1" t="str">
        <x:v>2405456</x:v>
      </x:c>
      <x:c r="C142" s="1" t="str">
        <x:v>0nlzec1</x:v>
      </x:c>
      <x:c r="D142" s="5" t="str">
        <x:v>2850 Sanderford Rd (Raleigh, NC)</x:v>
      </x:c>
      <x:c r="E142" s="5" t="str">
        <x:v>2850 Sanderford Rd</x:v>
      </x:c>
      <x:c r="F142" s="1" t="str">
        <x:v>Raleigh</x:v>
      </x:c>
      <x:c r="G142" s="1" t="str">
        <x:v>NC</x:v>
      </x:c>
      <x:c r="H142" s="1" t="str">
        <x:v>27610</x:v>
      </x:c>
      <x:c r="I142" s="1" t="n">
        <x:v>35.739414</x:v>
      </x:c>
      <x:c r="J142" s="1" t="n">
        <x:v>-78.61236</x:v>
      </x:c>
      <x:c r="K142" s="1" t="str">
        <x:v>Main Campus</x:v>
      </x:c>
      <x:c r="L142" s="1" t="str">
        <x:v>5.86</x:v>
      </x:c>
      <x:c r="M142" s="1" t="n">
        <x:v>650</x:v>
      </x:c>
      <x:c r="N142" s="1" t="n">
        <x:v>650</x:v>
      </x:c>
      <x:c r="O142" s="1" t="str">
        <x:v>$650</x:v>
      </x:c>
      <x:c r="P142" s="1" t="n">
        <x:v>1</x:v>
      </x:c>
      <x:c r="Q142" s="1" t="n">
        <x:v>1</x:v>
      </x:c>
      <x:c r="R142" s="1" t="str">
        <x:v>1 Bed</x:v>
      </x:c>
      <x:c r="S142" s="1" t="str">
        <x:v>False</x:v>
      </x:c>
      <x:c r="T142" s="1" t="str">
        <x:v>False</x:v>
      </x:c>
      <x:c r="U142" s="1" t="str">
        <x:v>$650</x:v>
      </x:c>
      <x:c r="V142" s="1" t="str"/>
      <x:c r="W142" s="1" t="str">
        <x:v>False</x:v>
      </x:c>
      <x:c r="X142" s="1" t="str">
        <x:v>False</x:v>
      </x:c>
      <x:c r="Y142" s="1" t="str"/>
      <x:c r="Z142" s="1" t="str">
        <x:v>False</x:v>
      </x:c>
      <x:c r="AA142" s="1" t="str">
        <x:v>False</x:v>
      </x:c>
      <x:c r="AB142" s="1" t="n">
        <x:v>46268.54833333333</x:v>
      </x:c>
      <x:c r="AC142" s="1" t="str">
        <x:v>Single-Family Home</x:v>
      </x:c>
      <x:c r="AD142" s="1" t="n">
        <x:v>1</x:v>
      </x:c>
      <x:c r="AE142" s="1" t="str">
        <x:v>True</x:v>
      </x:c>
      <x:c r="AF142" s="1" t="str">
        <x:v>2</x:v>
      </x:c>
      <x:c r="AG142" s="1" t="str">
        <x:v>https://offcampus.dasa.ncsu.edu/housing/property/2850-sanderford-rd-raleigh-nc/lpl9fce</x:v>
      </x:c>
    </x:row>
    <x:row r="143" ht="15" hidden="0" customHeight="1">
      <x:c r="A143" s="1" t="str">
        <x:v>ocp706k96x</x:v>
      </x:c>
      <x:c r="B143" s="1" t="str">
        <x:v>2240209</x:v>
      </x:c>
      <x:c r="C143" s="1" t="str"/>
      <x:c r="D143" s="5" t="str">
        <x:v>Six Forks townhome</x:v>
      </x:c>
      <x:c r="E143" s="5" t="str"/>
      <x:c r="F143" s="1" t="str">
        <x:v>Raleigh</x:v>
      </x:c>
      <x:c r="G143" s="1" t="str">
        <x:v>NC</x:v>
      </x:c>
      <x:c r="H143" s="1" t="str">
        <x:v>27615</x:v>
      </x:c>
      <x:c r="I143" s="1" t="n">
        <x:v>35.872656</x:v>
      </x:c>
      <x:c r="J143" s="1" t="n">
        <x:v>-78.646275</x:v>
      </x:c>
      <x:c r="K143" s="1" t="str">
        <x:v>Main Campus</x:v>
      </x:c>
      <x:c r="L143" s="1" t="str">
        <x:v>9.72</x:v>
      </x:c>
      <x:c r="M143" s="1" t="n">
        <x:v>900</x:v>
      </x:c>
      <x:c r="N143" s="1" t="n">
        <x:v>900</x:v>
      </x:c>
      <x:c r="O143" s="1" t="str">
        <x:v>$900</x:v>
      </x:c>
      <x:c r="P143" s="1" t="n">
        <x:v>1</x:v>
      </x:c>
      <x:c r="Q143" s="1" t="n">
        <x:v>1</x:v>
      </x:c>
      <x:c r="R143" s="1" t="str">
        <x:v>1 Bed</x:v>
      </x:c>
      <x:c r="S143" s="1" t="str">
        <x:v>True</x:v>
      </x:c>
      <x:c r="T143" s="1" t="str">
        <x:v>False</x:v>
      </x:c>
      <x:c r="U143" s="1" t="str">
        <x:v>$900 /Bedroom</x:v>
      </x:c>
      <x:c r="V143" s="1" t="str"/>
      <x:c r="W143" s="1" t="str">
        <x:v>True</x:v>
      </x:c>
      <x:c r="X143" s="1" t="str">
        <x:v>False</x:v>
      </x:c>
      <x:c r="Y143" s="1" t="str">
        <x:v>12 Month Lease</x:v>
      </x:c>
      <x:c r="Z143" s="1" t="str">
        <x:v>True</x:v>
      </x:c>
      <x:c r="AA143" s="1" t="str">
        <x:v>False</x:v>
      </x:c>
      <x:c r="AB143" s="1" t="n">
        <x:v>46259.57622685185</x:v>
      </x:c>
      <x:c r="AC143" s="1" t="str">
        <x:v>Townhome</x:v>
      </x:c>
      <x:c r="AD143" s="1" t="str"/>
      <x:c r="AE143" s="1" t="str">
        <x:v>True</x:v>
      </x:c>
      <x:c r="AF143" s="1" t="str">
        <x:v>2</x:v>
      </x:c>
      <x:c r="AG143" s="1" t="str">
        <x:v>https://offcampus.dasa.ncsu.edu/housing/property/six-forks-townhome/ocp706k96x</x:v>
      </x:c>
    </x:row>
    <x:row r="144" ht="15" hidden="0" customHeight="1">
      <x:c r="A144" s="1" t="str">
        <x:v>k8k3t7b</x:v>
      </x:c>
      <x:c r="B144" s="1" t="str">
        <x:v>1326913</x:v>
      </x:c>
      <x:c r="C144" s="1" t="str">
        <x:v>1ckns76</x:v>
      </x:c>
      <x:c r="D144" s="5" t="str">
        <x:v>Room in House on Old Farm Rd</x:v>
      </x:c>
      <x:c r="E144" s="5" t="str">
        <x:v>612 Old Farm Rd</x:v>
      </x:c>
      <x:c r="F144" s="1" t="str">
        <x:v>Raleigh</x:v>
      </x:c>
      <x:c r="G144" s="1" t="str">
        <x:v>NC</x:v>
      </x:c>
      <x:c r="H144" s="1" t="str">
        <x:v>27606</x:v>
      </x:c>
      <x:c r="I144" s="1" t="n">
        <x:v>35.774776</x:v>
      </x:c>
      <x:c r="J144" s="1" t="n">
        <x:v>-78.735782</x:v>
      </x:c>
      <x:c r="K144" s="1" t="str">
        <x:v>Main Campus</x:v>
      </x:c>
      <x:c r="L144" s="1" t="str">
        <x:v>3.06</x:v>
      </x:c>
      <x:c r="M144" s="1" t="n">
        <x:v>650</x:v>
      </x:c>
      <x:c r="N144" s="1" t="n">
        <x:v>650</x:v>
      </x:c>
      <x:c r="O144" s="1" t="str">
        <x:v>$650</x:v>
      </x:c>
      <x:c r="P144" s="1" t="n">
        <x:v>1</x:v>
      </x:c>
      <x:c r="Q144" s="1" t="n">
        <x:v>1</x:v>
      </x:c>
      <x:c r="R144" s="1" t="str">
        <x:v>1 Bed</x:v>
      </x:c>
      <x:c r="S144" s="1" t="str">
        <x:v>False</x:v>
      </x:c>
      <x:c r="T144" s="1" t="str">
        <x:v>False</x:v>
      </x:c>
      <x:c r="U144" s="1" t="str">
        <x:v>$650</x:v>
      </x:c>
      <x:c r="V144" s="1" t="str"/>
      <x:c r="W144" s="1" t="str">
        <x:v>False</x:v>
      </x:c>
      <x:c r="X144" s="1" t="str">
        <x:v>False</x:v>
      </x:c>
      <x:c r="Y144" s="1" t="str"/>
      <x:c r="Z144" s="1" t="str">
        <x:v>False</x:v>
      </x:c>
      <x:c r="AA144" s="1" t="str">
        <x:v>False</x:v>
      </x:c>
      <x:c r="AB144" s="1" t="n">
        <x:v>46246.7499537037</x:v>
      </x:c>
      <x:c r="AC144" s="1" t="str">
        <x:v>Single-Family Home</x:v>
      </x:c>
      <x:c r="AD144" s="1" t="n">
        <x:v>1</x:v>
      </x:c>
      <x:c r="AE144" s="1" t="str">
        <x:v>True</x:v>
      </x:c>
      <x:c r="AF144" s="1" t="str">
        <x:v>2</x:v>
      </x:c>
      <x:c r="AG144" s="1" t="str">
        <x:v>https://offcampus.dasa.ncsu.edu/housing/property/room-in-house-on-old-farm-rd/k8k3t7b</x:v>
      </x:c>
    </x:row>
    <x:row r="145" ht="15" hidden="0" customHeight="1">
      <x:c r="A145" s="1" t="str">
        <x:v>ocpssgbbl7</x:v>
      </x:c>
      <x:c r="B145" s="1" t="str">
        <x:v>2399437</x:v>
      </x:c>
      <x:c r="C145" s="1" t="str"/>
      <x:c r="D145" s="5" t="str">
        <x:v>Inona Place</x:v>
      </x:c>
      <x:c r="E145" s="5" t="str">
        <x:v>228 Spark Street</x:v>
      </x:c>
      <x:c r="F145" s="1" t="str">
        <x:v>Raleigh</x:v>
      </x:c>
      <x:c r="G145" s="1" t="str">
        <x:v>NC</x:v>
      </x:c>
      <x:c r="H145" s="1" t="str">
        <x:v>27606</x:v>
      </x:c>
      <x:c r="I145" s="1" t="n">
        <x:v>35.786004</x:v>
      </x:c>
      <x:c r="J145" s="1" t="n">
        <x:v>-78.739121</x:v>
      </x:c>
      <x:c r="K145" s="1" t="str">
        <x:v>Main Campus</x:v>
      </x:c>
      <x:c r="L145" s="1" t="str">
        <x:v>3.55</x:v>
      </x:c>
      <x:c r="M145" s="1" t="n">
        <x:v>1800</x:v>
      </x:c>
      <x:c r="N145" s="1" t="n">
        <x:v>1800</x:v>
      </x:c>
      <x:c r="O145" s="1" t="str">
        <x:v>$1,800</x:v>
      </x:c>
      <x:c r="P145" s="1" t="n">
        <x:v>3</x:v>
      </x:c>
      <x:c r="Q145" s="1" t="n">
        <x:v>3</x:v>
      </x:c>
      <x:c r="R145" s="1" t="str">
        <x:v>3 Beds</x:v>
      </x:c>
      <x:c r="S145" s="1" t="str">
        <x:v>False</x:v>
      </x:c>
      <x:c r="T145" s="1" t="str">
        <x:v>False</x:v>
      </x:c>
      <x:c r="U145" s="1" t="str">
        <x:v>$1,800</x:v>
      </x:c>
      <x:c r="V145" s="1" t="str"/>
      <x:c r="W145" s="1" t="str">
        <x:v>False</x:v>
      </x:c>
      <x:c r="X145" s="1" t="str">
        <x:v>False</x:v>
      </x:c>
      <x:c r="Y145" s="1" t="str">
        <x:v>10 Month Lease</x:v>
      </x:c>
      <x:c r="Z145" s="1" t="str">
        <x:v>False</x:v>
      </x:c>
      <x:c r="AA145" s="1" t="str">
        <x:v>False</x:v>
      </x:c>
      <x:c r="AB145" s="1" t="n">
        <x:v>46265.98768518519</x:v>
      </x:c>
      <x:c r="AC145" s="1" t="str">
        <x:v>Townhome</x:v>
      </x:c>
      <x:c r="AD145" s="1" t="str"/>
      <x:c r="AE145" s="1" t="str">
        <x:v>True</x:v>
      </x:c>
      <x:c r="AF145" s="1" t="str">
        <x:v>11</x:v>
      </x:c>
      <x:c r="AG145" s="1" t="str">
        <x:v>https://offcampus.dasa.ncsu.edu/housing/property/inona-place/ocpssgbbl7</x:v>
      </x:c>
    </x:row>
    <x:row r="146" ht="15" hidden="0" customHeight="1">
      <x:c r="A146" s="1" t="str">
        <x:v>3zb9brd</x:v>
      </x:c>
      <x:c r="B146" s="1" t="str">
        <x:v>1138000</x:v>
      </x:c>
      <x:c r="C146" s="1" t="str">
        <x:v>hwbz9r0</x:v>
      </x:c>
      <x:c r="D146" s="5" t="str">
        <x:v>Room in House on Slippery Elm Dr</x:v>
      </x:c>
      <x:c r="E146" s="5" t="str">
        <x:v>3320 Slippery Elm Dr</x:v>
      </x:c>
      <x:c r="F146" s="1" t="str">
        <x:v>Raleigh</x:v>
      </x:c>
      <x:c r="G146" s="1" t="str">
        <x:v>NC</x:v>
      </x:c>
      <x:c r="H146" s="1" t="str">
        <x:v>27610</x:v>
      </x:c>
      <x:c r="I146" s="1" t="n">
        <x:v>35.739297</x:v>
      </x:c>
      <x:c r="J146" s="1" t="n">
        <x:v>-78.598298</x:v>
      </x:c>
      <x:c r="K146" s="1" t="str">
        <x:v>Main Campus</x:v>
      </x:c>
      <x:c r="L146" s="1" t="str">
        <x:v>6.38</x:v>
      </x:c>
      <x:c r="M146" s="1" t="n">
        <x:v>720</x:v>
      </x:c>
      <x:c r="N146" s="1" t="n">
        <x:v>720</x:v>
      </x:c>
      <x:c r="O146" s="1" t="str">
        <x:v>$720</x:v>
      </x:c>
      <x:c r="P146" s="1" t="n">
        <x:v>1</x:v>
      </x:c>
      <x:c r="Q146" s="1" t="n">
        <x:v>1</x:v>
      </x:c>
      <x:c r="R146" s="1" t="str">
        <x:v>1 Bed</x:v>
      </x:c>
      <x:c r="S146" s="1" t="str">
        <x:v>False</x:v>
      </x:c>
      <x:c r="T146" s="1" t="str">
        <x:v>False</x:v>
      </x:c>
      <x:c r="U146" s="1" t="str">
        <x:v>$720</x:v>
      </x:c>
      <x:c r="V146" s="1" t="str"/>
      <x:c r="W146" s="1" t="str">
        <x:v>False</x:v>
      </x:c>
      <x:c r="X146" s="1" t="str">
        <x:v>False</x:v>
      </x:c>
      <x:c r="Y146" s="1" t="str"/>
      <x:c r="Z146" s="1" t="str">
        <x:v>False</x:v>
      </x:c>
      <x:c r="AA146" s="1" t="str">
        <x:v>False</x:v>
      </x:c>
      <x:c r="AB146" s="1" t="n">
        <x:v>46246.74988425926</x:v>
      </x:c>
      <x:c r="AC146" s="1" t="str">
        <x:v>Single-Family Home</x:v>
      </x:c>
      <x:c r="AD146" s="1" t="n">
        <x:v>1</x:v>
      </x:c>
      <x:c r="AE146" s="1" t="str">
        <x:v>True</x:v>
      </x:c>
      <x:c r="AF146" s="1" t="str">
        <x:v>2</x:v>
      </x:c>
      <x:c r="AG146" s="1" t="str">
        <x:v>https://offcampus.dasa.ncsu.edu/housing/property/room-in-house-on-slippery-elm-dr/3zb9brd</x:v>
      </x:c>
    </x:row>
    <x:row r="147" ht="24" hidden="0" customHeight="1">
      <x:c r="A147" s="1" t="str">
        <x:v>ocpd9wnxdk</x:v>
      </x:c>
      <x:c r="B147" s="1" t="str">
        <x:v>2311576</x:v>
      </x:c>
      <x:c r="C147" s="1" t="str"/>
      <x:c r="D147" s="5" t="str">
        <x:v>$3600 saving on 2*2 Sublet at Stanhope Apartment for NC STATE</x:v>
      </x:c>
      <x:c r="E147" s="5" t="str">
        <x:v>3001 Hillsborough St</x:v>
      </x:c>
      <x:c r="F147" s="1" t="str">
        <x:v>Raleigh</x:v>
      </x:c>
      <x:c r="G147" s="1" t="str">
        <x:v>NC</x:v>
      </x:c>
      <x:c r="H147" s="1" t="str">
        <x:v>27607</x:v>
      </x:c>
      <x:c r="I147" s="1" t="n">
        <x:v>35.78914</x:v>
      </x:c>
      <x:c r="J147" s="1" t="n">
        <x:v>-78.677661</x:v>
      </x:c>
      <x:c r="K147" s="1" t="str">
        <x:v>Main Campus</x:v>
      </x:c>
      <x:c r="L147" s="1" t="str">
        <x:v>0.15</x:v>
      </x:c>
      <x:c r="M147" s="1" t="n">
        <x:v>550</x:v>
      </x:c>
      <x:c r="N147" s="1" t="n">
        <x:v>550</x:v>
      </x:c>
      <x:c r="O147" s="1" t="str">
        <x:v>$550</x:v>
      </x:c>
      <x:c r="P147" s="1" t="n">
        <x:v>1</x:v>
      </x:c>
      <x:c r="Q147" s="1" t="n">
        <x:v>1</x:v>
      </x:c>
      <x:c r="R147" s="1" t="str">
        <x:v>1 Bed</x:v>
      </x:c>
      <x:c r="S147" s="1" t="str">
        <x:v>True</x:v>
      </x:c>
      <x:c r="T147" s="1" t="str">
        <x:v>False</x:v>
      </x:c>
      <x:c r="U147" s="1" t="str">
        <x:v>$550 /Bedroom</x:v>
      </x:c>
      <x:c r="V147" s="1" t="str"/>
      <x:c r="W147" s="1" t="str">
        <x:v>True</x:v>
      </x:c>
      <x:c r="X147" s="1" t="str">
        <x:v>False</x:v>
      </x:c>
      <x:c r="Y147" s="1" t="str">
        <x:v>12 Month Lease</x:v>
      </x:c>
      <x:c r="Z147" s="1" t="str">
        <x:v>False</x:v>
      </x:c>
      <x:c r="AA147" s="1" t="str">
        <x:v>False</x:v>
      </x:c>
      <x:c r="AB147" s="1" t="n">
        <x:v>46248.58936342593</x:v>
      </x:c>
      <x:c r="AC147" s="1" t="str">
        <x:v>Apartment Community</x:v>
      </x:c>
      <x:c r="AD147" s="1" t="str"/>
      <x:c r="AE147" s="1" t="str">
        <x:v>True</x:v>
      </x:c>
      <x:c r="AF147" s="1" t="str">
        <x:v>0</x:v>
      </x:c>
      <x:c r="AG147" s="1" t="str">
        <x:v>https://offcampus.dasa.ncsu.edu/housing/property/3600-saving-on-2-2-sublet-at-stanhope-apartment-for-nc-state/ocpd9wnxdk</x:v>
      </x:c>
    </x:row>
    <x:row r="148" ht="15" hidden="0" customHeight="1">
      <x:c r="A148" s="1" t="str">
        <x:v>0nhgh82</x:v>
      </x:c>
      <x:c r="B148" s="1" t="str">
        <x:v>2389165</x:v>
      </x:c>
      <x:c r="C148" s="1" t="str">
        <x:v>lphsl8f</x:v>
      </x:c>
      <x:c r="D148" s="5" t="str">
        <x:v>Room in Condo on Carlton Ave</x:v>
      </x:c>
      <x:c r="E148" s="5" t="str">
        <x:v>1120 Carlton Ave</x:v>
      </x:c>
      <x:c r="F148" s="1" t="str">
        <x:v>Raleigh</x:v>
      </x:c>
      <x:c r="G148" s="1" t="str">
        <x:v>NC</x:v>
      </x:c>
      <x:c r="H148" s="1" t="str">
        <x:v>27606</x:v>
      </x:c>
      <x:c r="I148" s="1" t="n">
        <x:v>35.783494</x:v>
      </x:c>
      <x:c r="J148" s="1" t="n">
        <x:v>-78.688449</x:v>
      </x:c>
      <x:c r="K148" s="1" t="str">
        <x:v>Main Campus</x:v>
      </x:c>
      <x:c r="L148" s="1" t="str">
        <x:v>0.19</x:v>
      </x:c>
      <x:c r="M148" s="1" t="n">
        <x:v>635</x:v>
      </x:c>
      <x:c r="N148" s="1" t="n">
        <x:v>635</x:v>
      </x:c>
      <x:c r="O148" s="1" t="str">
        <x:v>$635</x:v>
      </x:c>
      <x:c r="P148" s="1" t="n">
        <x:v>1</x:v>
      </x:c>
      <x:c r="Q148" s="1" t="n">
        <x:v>1</x:v>
      </x:c>
      <x:c r="R148" s="1" t="str">
        <x:v>1 Bed</x:v>
      </x:c>
      <x:c r="S148" s="1" t="str">
        <x:v>False</x:v>
      </x:c>
      <x:c r="T148" s="1" t="str">
        <x:v>False</x:v>
      </x:c>
      <x:c r="U148" s="1" t="str">
        <x:v>$635</x:v>
      </x:c>
      <x:c r="V148" s="1" t="str"/>
      <x:c r="W148" s="1" t="str">
        <x:v>False</x:v>
      </x:c>
      <x:c r="X148" s="1" t="str">
        <x:v>False</x:v>
      </x:c>
      <x:c r="Y148" s="1" t="str"/>
      <x:c r="Z148" s="1" t="str">
        <x:v>False</x:v>
      </x:c>
      <x:c r="AA148" s="1" t="str">
        <x:v>False</x:v>
      </x:c>
      <x:c r="AB148" s="1" t="n">
        <x:v>46261.5890625</x:v>
      </x:c>
      <x:c r="AC148" s="1" t="str">
        <x:v>Duplex</x:v>
      </x:c>
      <x:c r="AD148" s="1" t="n">
        <x:v>1</x:v>
      </x:c>
      <x:c r="AE148" s="1" t="str">
        <x:v>True</x:v>
      </x:c>
      <x:c r="AF148" s="1" t="str">
        <x:v>2</x:v>
      </x:c>
      <x:c r="AG148" s="1" t="str">
        <x:v>https://offcampus.dasa.ncsu.edu/housing/property/room-in-condo-on-carlton-ave/0nhgh82</x:v>
      </x:c>
    </x:row>
    <x:row r="149" ht="15" hidden="0" customHeight="1">
      <x:c r="A149" s="1" t="str">
        <x:v>ocp67ldb5s</x:v>
      </x:c>
      <x:c r="B149" s="1" t="str">
        <x:v>2370264</x:v>
      </x:c>
      <x:c r="C149" s="1" t="str"/>
      <x:c r="D149" s="5" t="str">
        <x:v>The Wilde</x:v>
      </x:c>
      <x:c r="E149" s="5" t="str">
        <x:v>3333 Melrose Club Boulevard</x:v>
      </x:c>
      <x:c r="F149" s="1" t="str">
        <x:v>Raleigh</x:v>
      </x:c>
      <x:c r="G149" s="1" t="str">
        <x:v>NC</x:v>
      </x:c>
      <x:c r="H149" s="1" t="str">
        <x:v>27603</x:v>
      </x:c>
      <x:c r="I149" s="1" t="n">
        <x:v>35.751416</x:v>
      </x:c>
      <x:c r="J149" s="1" t="n">
        <x:v>-78.692771</x:v>
      </x:c>
      <x:c r="K149" s="1" t="str">
        <x:v>Main Campus</x:v>
      </x:c>
      <x:c r="L149" s="1" t="str">
        <x:v>2.26</x:v>
      </x:c>
      <x:c r="M149" s="1" t="n">
        <x:v>860</x:v>
      </x:c>
      <x:c r="N149" s="1" t="n">
        <x:v>860</x:v>
      </x:c>
      <x:c r="O149" s="1" t="str">
        <x:v>$860</x:v>
      </x:c>
      <x:c r="P149" s="1" t="n">
        <x:v>1</x:v>
      </x:c>
      <x:c r="Q149" s="1" t="n">
        <x:v>1</x:v>
      </x:c>
      <x:c r="R149" s="1" t="str">
        <x:v>1 Bed</x:v>
      </x:c>
      <x:c r="S149" s="1" t="str">
        <x:v>True</x:v>
      </x:c>
      <x:c r="T149" s="1" t="str">
        <x:v>False</x:v>
      </x:c>
      <x:c r="U149" s="1" t="str">
        <x:v>$860 /Bedroom</x:v>
      </x:c>
      <x:c r="V149" s="1" t="str"/>
      <x:c r="W149" s="1" t="str">
        <x:v>True</x:v>
      </x:c>
      <x:c r="X149" s="1" t="str">
        <x:v>True</x:v>
      </x:c>
      <x:c r="Y149" s="1" t="str">
        <x:v>12 Month Lease</x:v>
      </x:c>
      <x:c r="Z149" s="1" t="str">
        <x:v>False</x:v>
      </x:c>
      <x:c r="AA149" s="1" t="str">
        <x:v>False</x:v>
      </x:c>
      <x:c r="AB149" s="1" t="n">
        <x:v>46252.7625</x:v>
      </x:c>
      <x:c r="AC149" s="1" t="str">
        <x:v>Apartment Community</x:v>
      </x:c>
      <x:c r="AD149" s="1" t="str"/>
      <x:c r="AE149" s="1" t="str">
        <x:v>True</x:v>
      </x:c>
      <x:c r="AF149" s="1" t="str">
        <x:v>5</x:v>
      </x:c>
      <x:c r="AG149" s="1" t="str">
        <x:v>https://offcampus.dasa.ncsu.edu/housing/property/the-wilde/ocp67ldb5s</x:v>
      </x:c>
    </x:row>
    <x:row r="150" ht="15" hidden="0" customHeight="1">
      <x:c r="A150" s="1" t="str">
        <x:v>w6v7z0h</x:v>
      </x:c>
      <x:c r="B150" s="1" t="str">
        <x:v>1336169</x:v>
      </x:c>
      <x:c r="C150" s="1" t="str">
        <x:v>g5vjw0w</x:v>
      </x:c>
      <x:c r="D150" s="5" t="str">
        <x:v>Room in Condo on University Ct</x:v>
      </x:c>
      <x:c r="E150" s="5" t="str">
        <x:v>1220 University Ct</x:v>
      </x:c>
      <x:c r="F150" s="1" t="str">
        <x:v>Raleigh</x:v>
      </x:c>
      <x:c r="G150" s="1" t="str">
        <x:v>NC</x:v>
      </x:c>
      <x:c r="H150" s="1" t="str">
        <x:v>27606</x:v>
      </x:c>
      <x:c r="I150" s="1" t="n">
        <x:v>35.763461</x:v>
      </x:c>
      <x:c r="J150" s="1" t="n">
        <x:v>-78.703185</x:v>
      </x:c>
      <x:c r="K150" s="1" t="str">
        <x:v>Main Campus</x:v>
      </x:c>
      <x:c r="L150" s="1" t="str">
        <x:v>1.75</x:v>
      </x:c>
      <x:c r="M150" s="1" t="n">
        <x:v>650</x:v>
      </x:c>
      <x:c r="N150" s="1" t="n">
        <x:v>650</x:v>
      </x:c>
      <x:c r="O150" s="1" t="str">
        <x:v>$650</x:v>
      </x:c>
      <x:c r="P150" s="1" t="n">
        <x:v>1</x:v>
      </x:c>
      <x:c r="Q150" s="1" t="n">
        <x:v>1</x:v>
      </x:c>
      <x:c r="R150" s="1" t="str">
        <x:v>1 Bed</x:v>
      </x:c>
      <x:c r="S150" s="1" t="str">
        <x:v>False</x:v>
      </x:c>
      <x:c r="T150" s="1" t="str">
        <x:v>False</x:v>
      </x:c>
      <x:c r="U150" s="1" t="str">
        <x:v>$650</x:v>
      </x:c>
      <x:c r="V150" s="1" t="str"/>
      <x:c r="W150" s="1" t="str">
        <x:v>False</x:v>
      </x:c>
      <x:c r="X150" s="1" t="str">
        <x:v>False</x:v>
      </x:c>
      <x:c r="Y150" s="1" t="str"/>
      <x:c r="Z150" s="1" t="str">
        <x:v>False</x:v>
      </x:c>
      <x:c r="AA150" s="1" t="str">
        <x:v>False</x:v>
      </x:c>
      <x:c r="AB150" s="1" t="n">
        <x:v>46218.61371527778</x:v>
      </x:c>
      <x:c r="AC150" s="1" t="str">
        <x:v>Duplex</x:v>
      </x:c>
      <x:c r="AD150" s="1" t="n">
        <x:v>1</x:v>
      </x:c>
      <x:c r="AE150" s="1" t="str">
        <x:v>True</x:v>
      </x:c>
      <x:c r="AF150" s="1" t="str">
        <x:v>2</x:v>
      </x:c>
      <x:c r="AG150" s="1" t="str">
        <x:v>https://offcampus.dasa.ncsu.edu/housing/property/room-in-condo-on-university-ct/w6v7z0h</x:v>
      </x:c>
    </x:row>
    <x:row r="151" ht="24" hidden="0" customHeight="1">
      <x:c r="A151" s="1" t="str">
        <x:v>ocp0psn632</x:v>
      </x:c>
      <x:c r="B151" s="1" t="str">
        <x:v>810251</x:v>
      </x:c>
      <x:c r="C151" s="1" t="str"/>
      <x:c r="D151" s="5" t="str">
        <x:v>An apartments with 3 bed and 3 bath for NC State Students www.ncstudentsliving.com</x:v>
      </x:c>
      <x:c r="E151" s="5" t="str">
        <x:v>2031 Wolfmill Drive Unit 204</x:v>
      </x:c>
      <x:c r="F151" s="1" t="str">
        <x:v>Raleigh</x:v>
      </x:c>
      <x:c r="G151" s="1" t="str">
        <x:v>NC</x:v>
      </x:c>
      <x:c r="H151" s="1" t="str">
        <x:v>27603</x:v>
      </x:c>
      <x:c r="I151" s="1" t="n">
        <x:v>35.748959</x:v>
      </x:c>
      <x:c r="J151" s="1" t="n">
        <x:v>-78.69618</x:v>
      </x:c>
      <x:c r="K151" s="1" t="str">
        <x:v>Main Campus</x:v>
      </x:c>
      <x:c r="L151" s="1" t="str">
        <x:v>2.24</x:v>
      </x:c>
      <x:c r="M151" s="1" t="n">
        <x:v>650</x:v>
      </x:c>
      <x:c r="N151" s="1" t="n">
        <x:v>650</x:v>
      </x:c>
      <x:c r="O151" s="1" t="str">
        <x:v>$650</x:v>
      </x:c>
      <x:c r="P151" s="1" t="n">
        <x:v>3</x:v>
      </x:c>
      <x:c r="Q151" s="1" t="n">
        <x:v>3</x:v>
      </x:c>
      <x:c r="R151" s="1" t="str">
        <x:v>3 Beds</x:v>
      </x:c>
      <x:c r="S151" s="1" t="str">
        <x:v>True</x:v>
      </x:c>
      <x:c r="T151" s="1" t="str">
        <x:v>False</x:v>
      </x:c>
      <x:c r="U151" s="1" t="str">
        <x:v>$650 /Bedroom</x:v>
      </x:c>
      <x:c r="V151" s="1" t="str"/>
      <x:c r="W151" s="1" t="str">
        <x:v>False</x:v>
      </x:c>
      <x:c r="X151" s="1" t="str">
        <x:v>False</x:v>
      </x:c>
      <x:c r="Y151" s="1" t="str">
        <x:v>12 Month Lease</x:v>
      </x:c>
      <x:c r="Z151" s="1" t="str">
        <x:v>False</x:v>
      </x:c>
      <x:c r="AA151" s="1" t="str">
        <x:v>False</x:v>
      </x:c>
      <x:c r="AB151" s="1" t="n">
        <x:v>45959.10638888889</x:v>
      </x:c>
      <x:c r="AC151" s="1" t="str">
        <x:v>Residential Condo Unit For Rent</x:v>
      </x:c>
      <x:c r="AD151" s="1" t="str"/>
      <x:c r="AE151" s="1" t="str">
        <x:v>True</x:v>
      </x:c>
      <x:c r="AF151" s="1" t="str">
        <x:v>6</x:v>
      </x:c>
      <x:c r="AG151" s="1" t="str">
        <x:v>https://offcampus.dasa.ncsu.edu/housing/property/an-apartments-with-3-bed-and-3-bath-for-nc-state-students-www-ncstudentsliving-com/ocp0psn632</x:v>
      </x:c>
    </x:row>
    <x:row r="152" ht="15" hidden="0" customHeight="1">
      <x:c r="A152" s="1" t="str">
        <x:v>l1e6hxd</x:v>
      </x:c>
      <x:c r="B152" s="1" t="str">
        <x:v>1564080</x:v>
      </x:c>
      <x:c r="C152" s="1" t="str">
        <x:v>02ehlx0</x:v>
      </x:c>
      <x:c r="D152" s="5" t="str">
        <x:v>707 E Martin St (Raleigh, NC)</x:v>
      </x:c>
      <x:c r="E152" s="5" t="str">
        <x:v>707 E Martin St</x:v>
      </x:c>
      <x:c r="F152" s="1" t="str">
        <x:v>Raleigh</x:v>
      </x:c>
      <x:c r="G152" s="1" t="str">
        <x:v>NC</x:v>
      </x:c>
      <x:c r="H152" s="1" t="str">
        <x:v>27601</x:v>
      </x:c>
      <x:c r="I152" s="1" t="n">
        <x:v>35.776606</x:v>
      </x:c>
      <x:c r="J152" s="1" t="n">
        <x:v>-78.62745</x:v>
      </x:c>
      <x:c r="K152" s="1" t="str">
        <x:v>Main Campus</x:v>
      </x:c>
      <x:c r="L152" s="1" t="str">
        <x:v>2.35</x:v>
      </x:c>
      <x:c r="M152" s="1" t="n">
        <x:v>2650</x:v>
      </x:c>
      <x:c r="N152" s="1" t="n">
        <x:v>2650</x:v>
      </x:c>
      <x:c r="O152" s="1" t="str">
        <x:v>$2,650</x:v>
      </x:c>
      <x:c r="P152" s="1" t="n">
        <x:v>3</x:v>
      </x:c>
      <x:c r="Q152" s="1" t="n">
        <x:v>3</x:v>
      </x:c>
      <x:c r="R152" s="1" t="str">
        <x:v>3 Beds</x:v>
      </x:c>
      <x:c r="S152" s="1" t="str">
        <x:v>False</x:v>
      </x:c>
      <x:c r="T152" s="1" t="str">
        <x:v>False</x:v>
      </x:c>
      <x:c r="U152" s="1" t="str">
        <x:v>$2,650</x:v>
      </x:c>
      <x:c r="V152" s="1" t="str"/>
      <x:c r="W152" s="1" t="str">
        <x:v>False</x:v>
      </x:c>
      <x:c r="X152" s="1" t="str">
        <x:v>False</x:v>
      </x:c>
      <x:c r="Y152" s="1" t="str"/>
      <x:c r="Z152" s="1" t="str">
        <x:v>False</x:v>
      </x:c>
      <x:c r="AA152" s="1" t="str">
        <x:v>False</x:v>
      </x:c>
      <x:c r="AB152" s="1" t="n">
        <x:v>46256.56292824074</x:v>
      </x:c>
      <x:c r="AC152" s="1" t="str">
        <x:v>Single-Family Home</x:v>
      </x:c>
      <x:c r="AD152" s="1" t="n">
        <x:v>1</x:v>
      </x:c>
      <x:c r="AE152" s="1" t="str">
        <x:v>True</x:v>
      </x:c>
      <x:c r="AF152" s="1" t="str">
        <x:v>2</x:v>
      </x:c>
      <x:c r="AG152" s="1" t="str">
        <x:v>https://offcampus.dasa.ncsu.edu/housing/property/707-e-martin-st-raleigh-nc/l1e6hxd</x:v>
      </x:c>
    </x:row>
    <x:row r="153" ht="15" hidden="0" customHeight="1">
      <x:c r="A153" s="1" t="str">
        <x:v>ocpsqjgls7</x:v>
      </x:c>
      <x:c r="B153" s="1" t="str">
        <x:v>1739235</x:v>
      </x:c>
      <x:c r="C153" s="1" t="str"/>
      <x:c r="D153" s="5" t="str">
        <x:v>Cozy private apt</x:v>
      </x:c>
      <x:c r="E153" s="5" t="str">
        <x:v>808 Edmund Street</x:v>
      </x:c>
      <x:c r="F153" s="1" t="str">
        <x:v>Raleigh</x:v>
      </x:c>
      <x:c r="G153" s="1" t="str">
        <x:v>NC</x:v>
      </x:c>
      <x:c r="H153" s="1" t="str">
        <x:v>27604</x:v>
      </x:c>
      <x:c r="I153" s="1" t="n">
        <x:v>35.793768</x:v>
      </x:c>
      <x:c r="J153" s="1" t="n">
        <x:v>-78.620987</x:v>
      </x:c>
      <x:c r="K153" s="1" t="str">
        <x:v>Main Campus</x:v>
      </x:c>
      <x:c r="L153" s="1" t="str">
        <x:v>2.87</x:v>
      </x:c>
      <x:c r="M153" s="1" t="n">
        <x:v>1595</x:v>
      </x:c>
      <x:c r="N153" s="1" t="n">
        <x:v>1595</x:v>
      </x:c>
      <x:c r="O153" s="1" t="str">
        <x:v>$1,595</x:v>
      </x:c>
      <x:c r="P153" s="1" t="n">
        <x:v>1</x:v>
      </x:c>
      <x:c r="Q153" s="1" t="n">
        <x:v>1</x:v>
      </x:c>
      <x:c r="R153" s="1" t="str">
        <x:v>1 Bed</x:v>
      </x:c>
      <x:c r="S153" s="1" t="str">
        <x:v>False</x:v>
      </x:c>
      <x:c r="T153" s="1" t="str">
        <x:v>False</x:v>
      </x:c>
      <x:c r="U153" s="1" t="str">
        <x:v>$1,595</x:v>
      </x:c>
      <x:c r="V153" s="1" t="str"/>
      <x:c r="W153" s="1" t="str">
        <x:v>False</x:v>
      </x:c>
      <x:c r="X153" s="1" t="str">
        <x:v>False</x:v>
      </x:c>
      <x:c r="Y153" s="1" t="str">
        <x:v>12 Month Lease</x:v>
      </x:c>
      <x:c r="Z153" s="1" t="str">
        <x:v>False</x:v>
      </x:c>
      <x:c r="AA153" s="1" t="str">
        <x:v>False</x:v>
      </x:c>
      <x:c r="AB153" s="1" t="n">
        <x:v>45959.57755787037</x:v>
      </x:c>
      <x:c r="AC153" s="1" t="str">
        <x:v>Apartment Community</x:v>
      </x:c>
      <x:c r="AD153" s="1" t="str"/>
      <x:c r="AE153" s="1" t="str">
        <x:v>True</x:v>
      </x:c>
      <x:c r="AF153" s="1" t="str">
        <x:v>3</x:v>
      </x:c>
      <x:c r="AG153" s="1" t="str">
        <x:v>https://offcampus.dasa.ncsu.edu/housing/property/cozy-private-apt/ocpsqjgls7</x:v>
      </x:c>
    </x:row>
    <x:row r="154" ht="15" hidden="0" customHeight="1">
      <x:c r="A154" s="1" t="str">
        <x:v>y6ff3gt</x:v>
      </x:c>
      <x:c r="B154" s="1" t="str">
        <x:v>1138001</x:v>
      </x:c>
      <x:c r="C154" s="1" t="str">
        <x:v>e5fr0gp</x:v>
      </x:c>
      <x:c r="D154" s="5" t="str">
        <x:v>Room in Condo on Trailwood Heights Ln</x:v>
      </x:c>
      <x:c r="E154" s="5" t="str">
        <x:v>1901 Trailwood Heights Ln</x:v>
      </x:c>
      <x:c r="F154" s="1" t="str">
        <x:v>Raleigh</x:v>
      </x:c>
      <x:c r="G154" s="1" t="str">
        <x:v>NC</x:v>
      </x:c>
      <x:c r="H154" s="1" t="str">
        <x:v>27603</x:v>
      </x:c>
      <x:c r="I154" s="1" t="n">
        <x:v>35.75105</x:v>
      </x:c>
      <x:c r="J154" s="1" t="n">
        <x:v>-78.68598</x:v>
      </x:c>
      <x:c r="K154" s="1" t="str">
        <x:v>Main Campus</x:v>
      </x:c>
      <x:c r="L154" s="1" t="str">
        <x:v>2.65</x:v>
      </x:c>
      <x:c r="M154" s="1" t="n">
        <x:v>875</x:v>
      </x:c>
      <x:c r="N154" s="1" t="n">
        <x:v>875</x:v>
      </x:c>
      <x:c r="O154" s="1" t="str">
        <x:v>$875</x:v>
      </x:c>
      <x:c r="P154" s="1" t="n">
        <x:v>1</x:v>
      </x:c>
      <x:c r="Q154" s="1" t="n">
        <x:v>1</x:v>
      </x:c>
      <x:c r="R154" s="1" t="str">
        <x:v>1 Bed</x:v>
      </x:c>
      <x:c r="S154" s="1" t="str">
        <x:v>False</x:v>
      </x:c>
      <x:c r="T154" s="1" t="str">
        <x:v>False</x:v>
      </x:c>
      <x:c r="U154" s="1" t="str">
        <x:v>$875</x:v>
      </x:c>
      <x:c r="V154" s="1" t="str"/>
      <x:c r="W154" s="1" t="str">
        <x:v>False</x:v>
      </x:c>
      <x:c r="X154" s="1" t="str">
        <x:v>False</x:v>
      </x:c>
      <x:c r="Y154" s="1" t="str"/>
      <x:c r="Z154" s="1" t="str">
        <x:v>False</x:v>
      </x:c>
      <x:c r="AA154" s="1" t="str">
        <x:v>False</x:v>
      </x:c>
      <x:c r="AB154" s="1" t="n">
        <x:v>46246.74988425926</x:v>
      </x:c>
      <x:c r="AC154" s="1" t="str">
        <x:v>Duplex</x:v>
      </x:c>
      <x:c r="AD154" s="1" t="n">
        <x:v>1</x:v>
      </x:c>
      <x:c r="AE154" s="1" t="str">
        <x:v>True</x:v>
      </x:c>
      <x:c r="AF154" s="1" t="str">
        <x:v>2</x:v>
      </x:c>
      <x:c r="AG154" s="1" t="str">
        <x:v>https://offcampus.dasa.ncsu.edu/housing/property/room-in-condo-on-trailwood-heights-ln/y6ff3gt</x:v>
      </x:c>
    </x:row>
    <x:row r="155" ht="15" hidden="0" customHeight="1">
      <x:c r="A155" s="1" t="str">
        <x:v>ocpk5yz73b</x:v>
      </x:c>
      <x:c r="B155" s="1" t="str">
        <x:v>1735560</x:v>
      </x:c>
      <x:c r="C155" s="1" t="str"/>
      <x:c r="D155" s="5" t="str">
        <x:v>Stanhope Student Apartments</x:v>
      </x:c>
      <x:c r="E155" s="5" t="str">
        <x:v>3001 Hillsborough Street</x:v>
      </x:c>
      <x:c r="F155" s="1" t="str">
        <x:v>Raleigh</x:v>
      </x:c>
      <x:c r="G155" s="1" t="str">
        <x:v>NC</x:v>
      </x:c>
      <x:c r="H155" s="1" t="str">
        <x:v>27607</x:v>
      </x:c>
      <x:c r="I155" s="1" t="n">
        <x:v>35.78914</x:v>
      </x:c>
      <x:c r="J155" s="1" t="n">
        <x:v>-78.677661</x:v>
      </x:c>
      <x:c r="K155" s="1" t="str">
        <x:v>Main Campus</x:v>
      </x:c>
      <x:c r="L155" s="1" t="str">
        <x:v>0.15</x:v>
      </x:c>
      <x:c r="M155" s="1" t="n">
        <x:v>1300</x:v>
      </x:c>
      <x:c r="N155" s="1" t="n">
        <x:v>1300</x:v>
      </x:c>
      <x:c r="O155" s="1" t="str">
        <x:v>$1,300</x:v>
      </x:c>
      <x:c r="P155" s="1" t="n">
        <x:v>1</x:v>
      </x:c>
      <x:c r="Q155" s="1" t="n">
        <x:v>1</x:v>
      </x:c>
      <x:c r="R155" s="1" t="str">
        <x:v>1 Bed</x:v>
      </x:c>
      <x:c r="S155" s="1" t="str">
        <x:v>True</x:v>
      </x:c>
      <x:c r="T155" s="1" t="str">
        <x:v>False</x:v>
      </x:c>
      <x:c r="U155" s="1" t="str">
        <x:v>$1,300 /Bedroom</x:v>
      </x:c>
      <x:c r="V155" s="1" t="str"/>
      <x:c r="W155" s="1" t="str">
        <x:v>True</x:v>
      </x:c>
      <x:c r="X155" s="1" t="str">
        <x:v>False</x:v>
      </x:c>
      <x:c r="Y155" s="1" t="str">
        <x:v>6 Month Lease</x:v>
      </x:c>
      <x:c r="Z155" s="1" t="str">
        <x:v>False</x:v>
      </x:c>
      <x:c r="AA155" s="1" t="str">
        <x:v>False</x:v>
      </x:c>
      <x:c r="AB155" s="1" t="n">
        <x:v>45956.782476851855</x:v>
      </x:c>
      <x:c r="AC155" s="1" t="str">
        <x:v>Apartment Community</x:v>
      </x:c>
      <x:c r="AD155" s="1" t="str"/>
      <x:c r="AE155" s="1" t="str">
        <x:v>True</x:v>
      </x:c>
      <x:c r="AF155" s="1" t="str">
        <x:v>2</x:v>
      </x:c>
      <x:c r="AG155" s="1" t="str">
        <x:v>https://offcampus.dasa.ncsu.edu/housing/property/stanhope-student-apartments/ocpk5yz73b</x:v>
      </x:c>
    </x:row>
    <x:row r="156" ht="15" hidden="0" customHeight="1">
      <x:c r="A156" s="1" t="str">
        <x:v>hp3tns3</x:v>
      </x:c>
      <x:c r="B156" s="1" t="str">
        <x:v>2370236</x:v>
      </x:c>
      <x:c r="C156" s="1" t="str">
        <x:v>3n3dpsg</x:v>
      </x:c>
      <x:c r="D156" s="5" t="str">
        <x:v>Room in House on Ravel St</x:v>
      </x:c>
      <x:c r="E156" s="5" t="str">
        <x:v>729 Ravel St</x:v>
      </x:c>
      <x:c r="F156" s="1" t="str">
        <x:v>Raleigh</x:v>
      </x:c>
      <x:c r="G156" s="1" t="str">
        <x:v>NC</x:v>
      </x:c>
      <x:c r="H156" s="1" t="str">
        <x:v>27606</x:v>
      </x:c>
      <x:c r="I156" s="1" t="n">
        <x:v>35.772749</x:v>
      </x:c>
      <x:c r="J156" s="1" t="n">
        <x:v>-78.709713</x:v>
      </x:c>
      <x:c r="K156" s="1" t="str">
        <x:v>Main Campus</x:v>
      </x:c>
      <x:c r="L156" s="1" t="str">
        <x:v>1.82</x:v>
      </x:c>
      <x:c r="M156" s="1" t="n">
        <x:v>600</x:v>
      </x:c>
      <x:c r="N156" s="1" t="n">
        <x:v>600</x:v>
      </x:c>
      <x:c r="O156" s="1" t="str">
        <x:v>$600</x:v>
      </x:c>
      <x:c r="P156" s="1" t="n">
        <x:v>1</x:v>
      </x:c>
      <x:c r="Q156" s="1" t="n">
        <x:v>1</x:v>
      </x:c>
      <x:c r="R156" s="1" t="str">
        <x:v>1 Bed</x:v>
      </x:c>
      <x:c r="S156" s="1" t="str">
        <x:v>False</x:v>
      </x:c>
      <x:c r="T156" s="1" t="str">
        <x:v>False</x:v>
      </x:c>
      <x:c r="U156" s="1" t="str">
        <x:v>$600</x:v>
      </x:c>
      <x:c r="V156" s="1" t="str"/>
      <x:c r="W156" s="1" t="str">
        <x:v>False</x:v>
      </x:c>
      <x:c r="X156" s="1" t="str">
        <x:v>False</x:v>
      </x:c>
      <x:c r="Y156" s="1" t="str"/>
      <x:c r="Z156" s="1" t="str">
        <x:v>False</x:v>
      </x:c>
      <x:c r="AA156" s="1" t="str">
        <x:v>False</x:v>
      </x:c>
      <x:c r="AB156" s="1" t="n">
        <x:v>46252.736712962964</x:v>
      </x:c>
      <x:c r="AC156" s="1" t="str">
        <x:v>Single-Family Home</x:v>
      </x:c>
      <x:c r="AD156" s="1" t="n">
        <x:v>1</x:v>
      </x:c>
      <x:c r="AE156" s="1" t="str">
        <x:v>True</x:v>
      </x:c>
      <x:c r="AF156" s="1" t="str">
        <x:v>2</x:v>
      </x:c>
      <x:c r="AG156" s="1" t="str">
        <x:v>https://offcampus.dasa.ncsu.edu/housing/property/room-in-house-on-ravel-st/hp3tns3</x:v>
      </x:c>
    </x:row>
    <x:row r="157" ht="24" hidden="0" customHeight="1">
      <x:c r="A157" s="1" t="str">
        <x:v>ocp5lwrmvq</x:v>
      </x:c>
      <x:c r="B157" s="1" t="str">
        <x:v>2397794</x:v>
      </x:c>
      <x:c r="C157" s="1" t="str"/>
      <x:c r="D157" s="5" t="str">
        <x:v>Convenient Kaplan Dr property near NCSU buses, park, grocery, with parking space &amp; private bathroom</x:v>
      </x:c>
      <x:c r="E157" s="5" t="str">
        <x:v>2012 Trexler Court</x:v>
      </x:c>
      <x:c r="F157" s="1" t="str">
        <x:v>Raleigh</x:v>
      </x:c>
      <x:c r="G157" s="1" t="str">
        <x:v>NC</x:v>
      </x:c>
      <x:c r="H157" s="1" t="str">
        <x:v>27606</x:v>
      </x:c>
      <x:c r="I157" s="1" t="n">
        <x:v>35.774772</x:v>
      </x:c>
      <x:c r="J157" s="1" t="n">
        <x:v>-78.693057</x:v>
      </x:c>
      <x:c r="K157" s="1" t="str">
        <x:v>Main Campus</x:v>
      </x:c>
      <x:c r="L157" s="1" t="str">
        <x:v>0.7</x:v>
      </x:c>
      <x:c r="M157" s="1" t="n">
        <x:v>675</x:v>
      </x:c>
      <x:c r="N157" s="1" t="n">
        <x:v>675</x:v>
      </x:c>
      <x:c r="O157" s="1" t="str">
        <x:v>$675</x:v>
      </x:c>
      <x:c r="P157" s="1" t="n">
        <x:v>1</x:v>
      </x:c>
      <x:c r="Q157" s="1" t="n">
        <x:v>1</x:v>
      </x:c>
      <x:c r="R157" s="1" t="str">
        <x:v>1 Bed</x:v>
      </x:c>
      <x:c r="S157" s="1" t="str">
        <x:v>True</x:v>
      </x:c>
      <x:c r="T157" s="1" t="str">
        <x:v>False</x:v>
      </x:c>
      <x:c r="U157" s="1" t="str">
        <x:v>$675 /Bedroom</x:v>
      </x:c>
      <x:c r="V157" s="1" t="str"/>
      <x:c r="W157" s="1" t="str">
        <x:v>True</x:v>
      </x:c>
      <x:c r="X157" s="1" t="str">
        <x:v>True</x:v>
      </x:c>
      <x:c r="Y157" s="1" t="str">
        <x:v>12 Month Lease</x:v>
      </x:c>
      <x:c r="Z157" s="1" t="str">
        <x:v>False</x:v>
      </x:c>
      <x:c r="AA157" s="1" t="str">
        <x:v>False</x:v>
      </x:c>
      <x:c r="AB157" s="1" t="n">
        <x:v>46265.605625</x:v>
      </x:c>
      <x:c r="AC157" s="1" t="str">
        <x:v>Townhome</x:v>
      </x:c>
      <x:c r="AD157" s="1" t="str"/>
      <x:c r="AE157" s="1" t="str">
        <x:v>True</x:v>
      </x:c>
      <x:c r="AF157" s="1" t="str">
        <x:v>8</x:v>
      </x:c>
      <x:c r="AG157" s="1" t="str">
        <x:v>https://offcampus.dasa.ncsu.edu/housing/property/convenient-kaplan-dr-property-near-ncsu-buses-park-grocery-with-parking-space-and-private-bathroom/ocp5lwrmvq</x:v>
      </x:c>
    </x:row>
    <x:row r="158" ht="15" hidden="0" customHeight="1">
      <x:c r="A158" s="1" t="str">
        <x:v>ocpf3gzfct</x:v>
      </x:c>
      <x:c r="B158" s="1" t="str">
        <x:v>2309658</x:v>
      </x:c>
      <x:c r="C158" s="1" t="str"/>
      <x:c r="D158" s="5" t="str">
        <x:v>Champion Court Condo</x:v>
      </x:c>
      <x:c r="E158" s="5" t="str">
        <x:v>2375 Champion Court</x:v>
      </x:c>
      <x:c r="F158" s="1" t="str">
        <x:v>Raleigh</x:v>
      </x:c>
      <x:c r="G158" s="1" t="str">
        <x:v>NC</x:v>
      </x:c>
      <x:c r="H158" s="1" t="str">
        <x:v>27606</x:v>
      </x:c>
      <x:c r="I158" s="1" t="n">
        <x:v>35.778144</x:v>
      </x:c>
      <x:c r="J158" s="1" t="n">
        <x:v>-78.679261</x:v>
      </x:c>
      <x:c r="K158" s="1" t="str">
        <x:v>Main Campus</x:v>
      </x:c>
      <x:c r="L158" s="1" t="str">
        <x:v>0.0</x:v>
      </x:c>
      <x:c r="M158" s="1" t="n">
        <x:v>1500</x:v>
      </x:c>
      <x:c r="N158" s="1" t="n">
        <x:v>1500</x:v>
      </x:c>
      <x:c r="O158" s="1" t="str">
        <x:v>$1,500</x:v>
      </x:c>
      <x:c r="P158" s="1" t="n">
        <x:v>2</x:v>
      </x:c>
      <x:c r="Q158" s="1" t="n">
        <x:v>2</x:v>
      </x:c>
      <x:c r="R158" s="1" t="str">
        <x:v>2 Beds</x:v>
      </x:c>
      <x:c r="S158" s="1" t="str">
        <x:v>False</x:v>
      </x:c>
      <x:c r="T158" s="1" t="str">
        <x:v>False</x:v>
      </x:c>
      <x:c r="U158" s="1" t="str">
        <x:v>$1,500</x:v>
      </x:c>
      <x:c r="V158" s="1" t="str"/>
      <x:c r="W158" s="1" t="str">
        <x:v>False</x:v>
      </x:c>
      <x:c r="X158" s="1" t="str">
        <x:v>False</x:v>
      </x:c>
      <x:c r="Y158" s="1" t="str">
        <x:v>12 Month Lease</x:v>
      </x:c>
      <x:c r="Z158" s="1" t="str">
        <x:v>False</x:v>
      </x:c>
      <x:c r="AA158" s="1" t="str">
        <x:v>False</x:v>
      </x:c>
      <x:c r="AB158" s="1" t="n">
        <x:v>46238.833136574074</x:v>
      </x:c>
      <x:c r="AC158" s="1" t="str">
        <x:v>Residential Condo Unit For Rent</x:v>
      </x:c>
      <x:c r="AD158" s="1" t="str"/>
      <x:c r="AE158" s="1" t="str">
        <x:v>True</x:v>
      </x:c>
      <x:c r="AF158" s="1" t="str">
        <x:v>12</x:v>
      </x:c>
      <x:c r="AG158" s="1" t="str">
        <x:v>https://offcampus.dasa.ncsu.edu/housing/property/champion-court-condo/ocpf3gzfct</x:v>
      </x:c>
    </x:row>
    <x:row r="159" ht="24" hidden="0" customHeight="1">
      <x:c r="A159" s="1" t="str">
        <x:v>ocpvee4m9g</x:v>
      </x:c>
      <x:c r="B159" s="1" t="str">
        <x:v>952740</x:v>
      </x:c>
      <x:c r="C159" s="1" t="str"/>
      <x:c r="D159" s="5" t="str">
        <x:v>Furnished 4 bed 3 baths Ranch House, walk to NCSU, free parking</x:v>
      </x:c>
      <x:c r="E159" s="5" t="str"/>
      <x:c r="F159" s="1" t="str">
        <x:v>Raleigh</x:v>
      </x:c>
      <x:c r="G159" s="1" t="str">
        <x:v>NC</x:v>
      </x:c>
      <x:c r="H159" s="1" t="str">
        <x:v>27606</x:v>
      </x:c>
      <x:c r="I159" s="1" t="n">
        <x:v>35.781248</x:v>
      </x:c>
      <x:c r="J159" s="1" t="n">
        <x:v>-78.68822</x:v>
      </x:c>
      <x:c r="K159" s="1" t="str">
        <x:v>Main Campus</x:v>
      </x:c>
      <x:c r="L159" s="1" t="str">
        <x:v>0.2</x:v>
      </x:c>
      <x:c r="M159" s="1" t="n">
        <x:v>2495</x:v>
      </x:c>
      <x:c r="N159" s="1" t="n">
        <x:v>2495</x:v>
      </x:c>
      <x:c r="O159" s="1" t="str">
        <x:v>$2,495</x:v>
      </x:c>
      <x:c r="P159" s="1" t="n">
        <x:v>4</x:v>
      </x:c>
      <x:c r="Q159" s="1" t="n">
        <x:v>4</x:v>
      </x:c>
      <x:c r="R159" s="1" t="str">
        <x:v>4 Beds</x:v>
      </x:c>
      <x:c r="S159" s="1" t="str">
        <x:v>False</x:v>
      </x:c>
      <x:c r="T159" s="1" t="str">
        <x:v>False</x:v>
      </x:c>
      <x:c r="U159" s="1" t="str">
        <x:v>$2,495</x:v>
      </x:c>
      <x:c r="V159" s="1" t="str"/>
      <x:c r="W159" s="1" t="str">
        <x:v>False</x:v>
      </x:c>
      <x:c r="X159" s="1" t="str">
        <x:v>False</x:v>
      </x:c>
      <x:c r="Y159" s="1" t="str">
        <x:v>12 Month Lease</x:v>
      </x:c>
      <x:c r="Z159" s="1" t="str">
        <x:v>True</x:v>
      </x:c>
      <x:c r="AA159" s="1" t="str">
        <x:v>False</x:v>
      </x:c>
      <x:c r="AB159" s="1" t="n">
        <x:v>46149.79240740741</x:v>
      </x:c>
      <x:c r="AC159" s="1" t="str">
        <x:v>Single-Family Home</x:v>
      </x:c>
      <x:c r="AD159" s="1" t="str"/>
      <x:c r="AE159" s="1" t="str">
        <x:v>True</x:v>
      </x:c>
      <x:c r="AF159" s="1" t="str">
        <x:v>13</x:v>
      </x:c>
      <x:c r="AG159" s="1" t="str">
        <x:v>https://offcampus.dasa.ncsu.edu/housing/property/furnished-4-bed-3-baths-ranch-house-walk-to-ncsu-free-parking/ocpvee4m9g</x:v>
      </x:c>
    </x:row>
    <x:row r="160" ht="15" hidden="0" customHeight="1">
      <x:c r="A160" s="1" t="str">
        <x:v>ocpkrnvkk8</x:v>
      </x:c>
      <x:c r="B160" s="1" t="str">
        <x:v>2384265</x:v>
      </x:c>
      <x:c r="C160" s="1" t="str"/>
      <x:c r="D160" s="5" t="str">
        <x:v>The Hub Raleigh</x:v>
      </x:c>
      <x:c r="E160" s="5" t="str">
        <x:v>111 Cox Avenue</x:v>
      </x:c>
      <x:c r="F160" s="1" t="str">
        <x:v>Raleigh</x:v>
      </x:c>
      <x:c r="G160" s="1" t="str">
        <x:v>NC</x:v>
      </x:c>
      <x:c r="H160" s="1" t="str">
        <x:v>27605</x:v>
      </x:c>
      <x:c r="I160" s="1" t="n">
        <x:v>35.785129</x:v>
      </x:c>
      <x:c r="J160" s="1" t="n">
        <x:v>-78.66049</x:v>
      </x:c>
      <x:c r="K160" s="1" t="str">
        <x:v>Main Campus</x:v>
      </x:c>
      <x:c r="L160" s="1" t="str">
        <x:v>0.16</x:v>
      </x:c>
      <x:c r="M160" s="1" t="n">
        <x:v>1500</x:v>
      </x:c>
      <x:c r="N160" s="1" t="n">
        <x:v>1500</x:v>
      </x:c>
      <x:c r="O160" s="1" t="str">
        <x:v>$1,500</x:v>
      </x:c>
      <x:c r="P160" s="1" t="n">
        <x:v>0</x:v>
      </x:c>
      <x:c r="Q160" s="1" t="n">
        <x:v>0</x:v>
      </x:c>
      <x:c r="R160" s="1" t="str">
        <x:v>Studio</x:v>
      </x:c>
      <x:c r="S160" s="1" t="str">
        <x:v>False</x:v>
      </x:c>
      <x:c r="T160" s="1" t="str">
        <x:v>False</x:v>
      </x:c>
      <x:c r="U160" s="1" t="str">
        <x:v>$1,500</x:v>
      </x:c>
      <x:c r="V160" s="1" t="str"/>
      <x:c r="W160" s="1" t="str">
        <x:v>False</x:v>
      </x:c>
      <x:c r="X160" s="1" t="str">
        <x:v>False</x:v>
      </x:c>
      <x:c r="Y160" s="1" t="str">
        <x:v>12 Month Lease</x:v>
      </x:c>
      <x:c r="Z160" s="1" t="str">
        <x:v>False</x:v>
      </x:c>
      <x:c r="AA160" s="1" t="str">
        <x:v>False</x:v>
      </x:c>
      <x:c r="AB160" s="1" t="n">
        <x:v>46258.85792824074</x:v>
      </x:c>
      <x:c r="AC160" s="1" t="str">
        <x:v>Apartment Community</x:v>
      </x:c>
      <x:c r="AD160" s="1" t="str"/>
      <x:c r="AE160" s="1" t="str">
        <x:v>True</x:v>
      </x:c>
      <x:c r="AF160" s="1" t="str">
        <x:v>1</x:v>
      </x:c>
      <x:c r="AG160" s="1" t="str">
        <x:v>https://offcampus.dasa.ncsu.edu/housing/property/the-hub-raleigh/ocpkrnvkk8</x:v>
      </x:c>
    </x:row>
    <x:row r="161" ht="15" hidden="0" customHeight="1">
      <x:c r="A161" s="1" t="str">
        <x:v>ocpq292qyw</x:v>
      </x:c>
      <x:c r="B161" s="1" t="str">
        <x:v>1785441</x:v>
      </x:c>
      <x:c r="C161" s="1" t="str"/>
      <x:c r="D161" s="5" t="str">
        <x:v>1st Month FREE!</x:v>
      </x:c>
      <x:c r="E161" s="5" t="str">
        <x:v>3000 Centennial Woods Drive Unit D</x:v>
      </x:c>
      <x:c r="F161" s="1" t="str">
        <x:v>Raleigh</x:v>
      </x:c>
      <x:c r="G161" s="1" t="str">
        <x:v>NC</x:v>
      </x:c>
      <x:c r="H161" s="1" t="str">
        <x:v>27603</x:v>
      </x:c>
      <x:c r="I161" s="1" t="n">
        <x:v>35.749033</x:v>
      </x:c>
      <x:c r="J161" s="1" t="n">
        <x:v>-78.693983</x:v>
      </x:c>
      <x:c r="K161" s="1" t="str">
        <x:v>Main Campus</x:v>
      </x:c>
      <x:c r="L161" s="1" t="str">
        <x:v>2.26</x:v>
      </x:c>
      <x:c r="M161" s="1" t="n">
        <x:v>625</x:v>
      </x:c>
      <x:c r="N161" s="1" t="n">
        <x:v>625</x:v>
      </x:c>
      <x:c r="O161" s="1" t="str">
        <x:v>$625</x:v>
      </x:c>
      <x:c r="P161" s="1" t="n">
        <x:v>1</x:v>
      </x:c>
      <x:c r="Q161" s="1" t="n">
        <x:v>1</x:v>
      </x:c>
      <x:c r="R161" s="1" t="str">
        <x:v>1 Bed</x:v>
      </x:c>
      <x:c r="S161" s="1" t="str">
        <x:v>True</x:v>
      </x:c>
      <x:c r="T161" s="1" t="str">
        <x:v>False</x:v>
      </x:c>
      <x:c r="U161" s="1" t="str">
        <x:v>$625 /Bedroom</x:v>
      </x:c>
      <x:c r="V161" s="1" t="str"/>
      <x:c r="W161" s="1" t="str">
        <x:v>True</x:v>
      </x:c>
      <x:c r="X161" s="1" t="str">
        <x:v>False</x:v>
      </x:c>
      <x:c r="Y161" s="1" t="str">
        <x:v>6 Month Lease</x:v>
      </x:c>
      <x:c r="Z161" s="1" t="str">
        <x:v>False</x:v>
      </x:c>
      <x:c r="AA161" s="1" t="str">
        <x:v>False</x:v>
      </x:c>
      <x:c r="AB161" s="1" t="n">
        <x:v>45979.741377314815</x:v>
      </x:c>
      <x:c r="AC161" s="1" t="str">
        <x:v>Apartment Community</x:v>
      </x:c>
      <x:c r="AD161" s="1" t="str"/>
      <x:c r="AE161" s="1" t="str">
        <x:v>True</x:v>
      </x:c>
      <x:c r="AF161" s="1" t="str">
        <x:v>12</x:v>
      </x:c>
      <x:c r="AG161" s="1" t="str">
        <x:v>https://offcampus.dasa.ncsu.edu/housing/property/1st-month-free/ocpq292qyw</x:v>
      </x:c>
    </x:row>
    <x:row r="162" ht="15" hidden="0" customHeight="1">
      <x:c r="A162" s="1" t="str">
        <x:v>ocpqh8kxbz</x:v>
      </x:c>
      <x:c r="B162" s="1" t="str">
        <x:v>2377874</x:v>
      </x:c>
      <x:c r="C162" s="1" t="str"/>
      <x:c r="D162" s="5" t="str">
        <x:v>Falcon Ridge subdivision</x:v>
      </x:c>
      <x:c r="E162" s="5" t="str">
        <x:v>2027 Trexler Court</x:v>
      </x:c>
      <x:c r="F162" s="1" t="str">
        <x:v>Raleigh</x:v>
      </x:c>
      <x:c r="G162" s="1" t="str">
        <x:v>NC</x:v>
      </x:c>
      <x:c r="H162" s="1" t="str">
        <x:v>27606</x:v>
      </x:c>
      <x:c r="I162" s="1" t="n">
        <x:v>35.775196</x:v>
      </x:c>
      <x:c r="J162" s="1" t="n">
        <x:v>-78.693388</x:v>
      </x:c>
      <x:c r="K162" s="1" t="str">
        <x:v>Main Campus</x:v>
      </x:c>
      <x:c r="L162" s="1" t="str">
        <x:v>0.71</x:v>
      </x:c>
      <x:c r="M162" s="1" t="n">
        <x:v>650</x:v>
      </x:c>
      <x:c r="N162" s="1" t="n">
        <x:v>650</x:v>
      </x:c>
      <x:c r="O162" s="1" t="str">
        <x:v>$650</x:v>
      </x:c>
      <x:c r="P162" s="1" t="n">
        <x:v>1</x:v>
      </x:c>
      <x:c r="Q162" s="1" t="n">
        <x:v>1</x:v>
      </x:c>
      <x:c r="R162" s="1" t="str">
        <x:v>1 Bed</x:v>
      </x:c>
      <x:c r="S162" s="1" t="str">
        <x:v>True</x:v>
      </x:c>
      <x:c r="T162" s="1" t="str">
        <x:v>False</x:v>
      </x:c>
      <x:c r="U162" s="1" t="str">
        <x:v>$650 /Bedroom</x:v>
      </x:c>
      <x:c r="V162" s="1" t="str"/>
      <x:c r="W162" s="1" t="str">
        <x:v>True</x:v>
      </x:c>
      <x:c r="X162" s="1" t="str">
        <x:v>True</x:v>
      </x:c>
      <x:c r="Y162" s="1" t="str">
        <x:v>11 Month Lease</x:v>
      </x:c>
      <x:c r="Z162" s="1" t="str">
        <x:v>False</x:v>
      </x:c>
      <x:c r="AA162" s="1" t="str">
        <x:v>False</x:v>
      </x:c>
      <x:c r="AB162" s="1" t="n">
        <x:v>46255.95591435185</x:v>
      </x:c>
      <x:c r="AC162" s="1" t="str">
        <x:v>Townhome</x:v>
      </x:c>
      <x:c r="AD162" s="1" t="str"/>
      <x:c r="AE162" s="1" t="str">
        <x:v>True</x:v>
      </x:c>
      <x:c r="AF162" s="1" t="str">
        <x:v>3</x:v>
      </x:c>
      <x:c r="AG162" s="1" t="str">
        <x:v>https://offcampus.dasa.ncsu.edu/housing/property/falcon-ridge-subdivision/ocpqh8kxbz</x:v>
      </x:c>
    </x:row>
    <x:row r="163" ht="15" hidden="0" customHeight="1">
      <x:c r="A163" s="1" t="str">
        <x:v>ocpqfg7r3z</x:v>
      </x:c>
      <x:c r="B163" s="1" t="str">
        <x:v>781956</x:v>
      </x:c>
      <x:c r="C163" s="1" t="str"/>
      <x:c r="D163" s="5" t="str">
        <x:v>University Commons PRELEASING FOR 2026-2027</x:v>
      </x:c>
      <x:c r="E163" s="5" t="str">
        <x:v>1521 Graduate Lane</x:v>
      </x:c>
      <x:c r="F163" s="1" t="str">
        <x:v>Raleigh</x:v>
      </x:c>
      <x:c r="G163" s="1" t="str">
        <x:v>NC</x:v>
      </x:c>
      <x:c r="H163" s="1" t="str">
        <x:v>27606</x:v>
      </x:c>
      <x:c r="I163" s="1" t="n">
        <x:v>35.772759</x:v>
      </x:c>
      <x:c r="J163" s="1" t="n">
        <x:v>-78.69035</x:v>
      </x:c>
      <x:c r="K163" s="1" t="str">
        <x:v>Main Campus</x:v>
      </x:c>
      <x:c r="L163" s="1" t="str">
        <x:v>0.54</x:v>
      </x:c>
      <x:c r="M163" s="1" t="n">
        <x:v>2200</x:v>
      </x:c>
      <x:c r="N163" s="1" t="n">
        <x:v>2700</x:v>
      </x:c>
      <x:c r="O163" s="1" t="str">
        <x:v>$2,200 - $2,700</x:v>
      </x:c>
      <x:c r="P163" s="1" t="n">
        <x:v>4</x:v>
      </x:c>
      <x:c r="Q163" s="1" t="n">
        <x:v>4</x:v>
      </x:c>
      <x:c r="R163" s="1" t="str">
        <x:v>4 Beds</x:v>
      </x:c>
      <x:c r="S163" s="1" t="str">
        <x:v>False</x:v>
      </x:c>
      <x:c r="T163" s="1" t="str">
        <x:v>False</x:v>
      </x:c>
      <x:c r="U163" s="1" t="str">
        <x:v>$2,200 - $2,700</x:v>
      </x:c>
      <x:c r="V163" s="1" t="str"/>
      <x:c r="W163" s="1" t="str">
        <x:v>False</x:v>
      </x:c>
      <x:c r="X163" s="1" t="str">
        <x:v>False</x:v>
      </x:c>
      <x:c r="Y163" s="1" t="str">
        <x:v>12 Month Lease</x:v>
      </x:c>
      <x:c r="Z163" s="1" t="str">
        <x:v>False</x:v>
      </x:c>
      <x:c r="AA163" s="1" t="str">
        <x:v>False</x:v>
      </x:c>
      <x:c r="AB163" s="1" t="n">
        <x:v>46177.20990740741</x:v>
      </x:c>
      <x:c r="AC163" s="1" t="str">
        <x:v>Residential Condo Unit For Rent</x:v>
      </x:c>
      <x:c r="AD163" s="1" t="str"/>
      <x:c r="AE163" s="1" t="str">
        <x:v>True</x:v>
      </x:c>
      <x:c r="AF163" s="1" t="str">
        <x:v>6</x:v>
      </x:c>
      <x:c r="AG163" s="1" t="str">
        <x:v>https://offcampus.dasa.ncsu.edu/housing/property/university-commons-preleasing-for-2026-2027/ocpqfg7r3z</x:v>
      </x:c>
    </x:row>
    <x:row r="164" ht="15" hidden="0" customHeight="1">
      <x:c r="A164" s="1" t="str">
        <x:v>ocpqsb7fkz</x:v>
      </x:c>
      <x:c r="B164" s="1" t="str">
        <x:v>2091142</x:v>
      </x:c>
      <x:c r="C164" s="1" t="str"/>
      <x:c r="D164" s="5" t="str">
        <x:v>TWO BEDROOM TOWNHOUSE IN EXCELLENT CONDITION</x:v>
      </x:c>
      <x:c r="E164" s="5" t="str">
        <x:v>2051 Trexler Court</x:v>
      </x:c>
      <x:c r="F164" s="1" t="str">
        <x:v>Raleigh</x:v>
      </x:c>
      <x:c r="G164" s="1" t="str">
        <x:v>NC</x:v>
      </x:c>
      <x:c r="H164" s="1" t="str">
        <x:v>27606</x:v>
      </x:c>
      <x:c r="I164" s="1" t="n">
        <x:v>35.774959</x:v>
      </x:c>
      <x:c r="J164" s="1" t="n">
        <x:v>-78.693428</x:v>
      </x:c>
      <x:c r="K164" s="1" t="str">
        <x:v>Main Campus</x:v>
      </x:c>
      <x:c r="L164" s="1" t="str">
        <x:v>0.71</x:v>
      </x:c>
      <x:c r="M164" s="1" t="n">
        <x:v>1550</x:v>
      </x:c>
      <x:c r="N164" s="1" t="n">
        <x:v>1550</x:v>
      </x:c>
      <x:c r="O164" s="1" t="str">
        <x:v>$1,550</x:v>
      </x:c>
      <x:c r="P164" s="1" t="n">
        <x:v>2</x:v>
      </x:c>
      <x:c r="Q164" s="1" t="n">
        <x:v>2</x:v>
      </x:c>
      <x:c r="R164" s="1" t="str">
        <x:v>2 Beds</x:v>
      </x:c>
      <x:c r="S164" s="1" t="str">
        <x:v>False</x:v>
      </x:c>
      <x:c r="T164" s="1" t="str">
        <x:v>False</x:v>
      </x:c>
      <x:c r="U164" s="1" t="str">
        <x:v>$1,550</x:v>
      </x:c>
      <x:c r="V164" s="1" t="str"/>
      <x:c r="W164" s="1" t="str">
        <x:v>False</x:v>
      </x:c>
      <x:c r="X164" s="1" t="str">
        <x:v>False</x:v>
      </x:c>
      <x:c r="Y164" s="1" t="str">
        <x:v>12 Month Lease</x:v>
      </x:c>
      <x:c r="Z164" s="1" t="str">
        <x:v>False</x:v>
      </x:c>
      <x:c r="AA164" s="1" t="str">
        <x:v>False</x:v>
      </x:c>
      <x:c r="AB164" s="1" t="n">
        <x:v>46147.8055787037</x:v>
      </x:c>
      <x:c r="AC164" s="1" t="str">
        <x:v>Townhome</x:v>
      </x:c>
      <x:c r="AD164" s="1" t="str"/>
      <x:c r="AE164" s="1" t="str">
        <x:v>True</x:v>
      </x:c>
      <x:c r="AF164" s="1" t="str">
        <x:v>6</x:v>
      </x:c>
      <x:c r="AG164" s="1" t="str">
        <x:v>https://offcampus.dasa.ncsu.edu/housing/property/two-bedroom-townhouse-in-excellent-condition/ocpqsb7fkz</x:v>
      </x:c>
    </x:row>
    <x:row r="165" ht="15" hidden="0" customHeight="1">
      <x:c r="A165" s="1" t="str">
        <x:v>ocp8d9cwv0</x:v>
      </x:c>
      <x:c r="B165" s="1" t="str">
        <x:v>1930889</x:v>
      </x:c>
      <x:c r="C165" s="1" t="str"/>
      <x:c r="D165" s="5" t="str">
        <x:v>Bright 2 BR, 2 BA unit in vibrant Person St district</x:v>
      </x:c>
      <x:c r="E165" s="5" t="str">
        <x:v>710 North Person Street #202</x:v>
      </x:c>
      <x:c r="F165" s="1" t="str">
        <x:v>Raleigh</x:v>
      </x:c>
      <x:c r="G165" s="1" t="str">
        <x:v>NC</x:v>
      </x:c>
      <x:c r="H165" s="1" t="str">
        <x:v>27604</x:v>
      </x:c>
      <x:c r="I165" s="1" t="n">
        <x:v>35.789176</x:v>
      </x:c>
      <x:c r="J165" s="1" t="n">
        <x:v>-78.634239</x:v>
      </x:c>
      <x:c r="K165" s="1" t="str">
        <x:v>Main Campus</x:v>
      </x:c>
      <x:c r="L165" s="1" t="str">
        <x:v>1.84</x:v>
      </x:c>
      <x:c r="M165" s="1" t="n">
        <x:v>1950</x:v>
      </x:c>
      <x:c r="N165" s="1" t="n">
        <x:v>1950</x:v>
      </x:c>
      <x:c r="O165" s="1" t="str">
        <x:v>$1,950</x:v>
      </x:c>
      <x:c r="P165" s="1" t="n">
        <x:v>2</x:v>
      </x:c>
      <x:c r="Q165" s="1" t="n">
        <x:v>2</x:v>
      </x:c>
      <x:c r="R165" s="1" t="str">
        <x:v>2 Beds</x:v>
      </x:c>
      <x:c r="S165" s="1" t="str">
        <x:v>False</x:v>
      </x:c>
      <x:c r="T165" s="1" t="str">
        <x:v>False</x:v>
      </x:c>
      <x:c r="U165" s="1" t="str">
        <x:v>$1,950</x:v>
      </x:c>
      <x:c r="V165" s="1" t="str"/>
      <x:c r="W165" s="1" t="str">
        <x:v>False</x:v>
      </x:c>
      <x:c r="X165" s="1" t="str">
        <x:v>False</x:v>
      </x:c>
      <x:c r="Y165" s="1" t="str">
        <x:v>12 Month Lease</x:v>
      </x:c>
      <x:c r="Z165" s="1" t="str">
        <x:v>False</x:v>
      </x:c>
      <x:c r="AA165" s="1" t="str">
        <x:v>False</x:v>
      </x:c>
      <x:c r="AB165" s="1" t="n">
        <x:v>46077.68405092593</x:v>
      </x:c>
      <x:c r="AC165" s="1" t="str">
        <x:v>Residential Condo Unit For Rent</x:v>
      </x:c>
      <x:c r="AD165" s="1" t="str"/>
      <x:c r="AE165" s="1" t="str">
        <x:v>True</x:v>
      </x:c>
      <x:c r="AF165" s="1" t="str">
        <x:v>23</x:v>
      </x:c>
      <x:c r="AG165" s="1" t="str">
        <x:v>https://offcampus.dasa.ncsu.edu/housing/property/bright-2-br-2-ba-unit-in-vibrant-person-st-district/ocp8d9cwv0</x:v>
      </x:c>
    </x:row>
    <x:row r="166" ht="15" hidden="0" customHeight="1">
      <x:c r="A166" s="1" t="str">
        <x:v>ocp9g1mkz6</x:v>
      </x:c>
      <x:c r="B166" s="1" t="str">
        <x:v>2270352</x:v>
      </x:c>
      <x:c r="C166" s="1" t="str"/>
      <x:c r="D166" s="5" t="str">
        <x:v>Stylish Studio Condo on NC State University Campus</x:v>
      </x:c>
      <x:c r="E166" s="5" t="str">
        <x:v>2504 Avent Ferry Road APT 204</x:v>
      </x:c>
      <x:c r="F166" s="1" t="str">
        <x:v>Raleigh</x:v>
      </x:c>
      <x:c r="G166" s="1" t="str">
        <x:v>NC</x:v>
      </x:c>
      <x:c r="H166" s="1" t="str">
        <x:v>27606</x:v>
      </x:c>
      <x:c r="I166" s="1" t="n">
        <x:v>35.773862</x:v>
      </x:c>
      <x:c r="J166" s="1" t="n">
        <x:v>-78.682798</x:v>
      </x:c>
      <x:c r="K166" s="1" t="str">
        <x:v>Main Campus</x:v>
      </x:c>
      <x:c r="L166" s="1" t="str">
        <x:v>0.18</x:v>
      </x:c>
      <x:c r="M166" s="1" t="n">
        <x:v>1630</x:v>
      </x:c>
      <x:c r="N166" s="1" t="n">
        <x:v>1630</x:v>
      </x:c>
      <x:c r="O166" s="1" t="str">
        <x:v>$1,630</x:v>
      </x:c>
      <x:c r="P166" s="1" t="n">
        <x:v>2</x:v>
      </x:c>
      <x:c r="Q166" s="1" t="n">
        <x:v>2</x:v>
      </x:c>
      <x:c r="R166" s="1" t="str">
        <x:v>2 Beds</x:v>
      </x:c>
      <x:c r="S166" s="1" t="str">
        <x:v>False</x:v>
      </x:c>
      <x:c r="T166" s="1" t="str">
        <x:v>False</x:v>
      </x:c>
      <x:c r="U166" s="1" t="str">
        <x:v>$1,630</x:v>
      </x:c>
      <x:c r="V166" s="1" t="str"/>
      <x:c r="W166" s="1" t="str">
        <x:v>False</x:v>
      </x:c>
      <x:c r="X166" s="1" t="str">
        <x:v>False</x:v>
      </x:c>
      <x:c r="Y166" s="1" t="str">
        <x:v>12 Month Lease</x:v>
      </x:c>
      <x:c r="Z166" s="1" t="str">
        <x:v>False</x:v>
      </x:c>
      <x:c r="AA166" s="1" t="str">
        <x:v>False</x:v>
      </x:c>
      <x:c r="AB166" s="1" t="n">
        <x:v>46217.588229166664</x:v>
      </x:c>
      <x:c r="AC166" s="1" t="str">
        <x:v>Residential Condo Unit For Rent</x:v>
      </x:c>
      <x:c r="AD166" s="1" t="str"/>
      <x:c r="AE166" s="1" t="str">
        <x:v>True</x:v>
      </x:c>
      <x:c r="AF166" s="1" t="str">
        <x:v>15</x:v>
      </x:c>
      <x:c r="AG166" s="1" t="str">
        <x:v>https://offcampus.dasa.ncsu.edu/housing/property/stylish-studio-condo-on-nc-state-university-campus/ocp9g1mkz6</x:v>
      </x:c>
    </x:row>
    <x:row r="167" ht="15" hidden="0" customHeight="1">
      <x:c r="A167" s="1" t="str">
        <x:v>ocpeg5yhcm</x:v>
      </x:c>
      <x:c r="B167" s="1" t="str">
        <x:v>1113658</x:v>
      </x:c>
      <x:c r="C167" s="1" t="str"/>
      <x:c r="D167" s="5" t="str">
        <x:v>Avery Close</x:v>
      </x:c>
      <x:c r="E167" s="5" t="str">
        <x:v>2508 Avent Ferry Road</x:v>
      </x:c>
      <x:c r="F167" s="1" t="str">
        <x:v>Raleigh</x:v>
      </x:c>
      <x:c r="G167" s="1" t="str">
        <x:v>NC</x:v>
      </x:c>
      <x:c r="H167" s="1" t="str">
        <x:v>27606</x:v>
      </x:c>
      <x:c r="I167" s="1" t="n">
        <x:v>35.774037</x:v>
      </x:c>
      <x:c r="J167" s="1" t="n">
        <x:v>-78.683011</x:v>
      </x:c>
      <x:c r="K167" s="1" t="str">
        <x:v>Main Campus</x:v>
      </x:c>
      <x:c r="L167" s="1" t="str">
        <x:v>0.19</x:v>
      </x:c>
      <x:c r="M167" s="1" t="n">
        <x:v>1295</x:v>
      </x:c>
      <x:c r="N167" s="1" t="n">
        <x:v>1650</x:v>
      </x:c>
      <x:c r="O167" s="1" t="str">
        <x:v>$1,295 - $1,650</x:v>
      </x:c>
      <x:c r="P167" s="1" t="n">
        <x:v>2</x:v>
      </x:c>
      <x:c r="Q167" s="1" t="n">
        <x:v>2</x:v>
      </x:c>
      <x:c r="R167" s="1" t="str">
        <x:v>2 Beds</x:v>
      </x:c>
      <x:c r="S167" s="1" t="str">
        <x:v>False</x:v>
      </x:c>
      <x:c r="T167" s="1" t="str">
        <x:v>False</x:v>
      </x:c>
      <x:c r="U167" s="1" t="str">
        <x:v>$1,295 - $1,650</x:v>
      </x:c>
      <x:c r="V167" s="1" t="str"/>
      <x:c r="W167" s="1" t="str">
        <x:v>False</x:v>
      </x:c>
      <x:c r="X167" s="1" t="str">
        <x:v>False</x:v>
      </x:c>
      <x:c r="Y167" s="1" t="str">
        <x:v>12 Month Lease</x:v>
      </x:c>
      <x:c r="Z167" s="1" t="str">
        <x:v>False</x:v>
      </x:c>
      <x:c r="AA167" s="1" t="str">
        <x:v>False</x:v>
      </x:c>
      <x:c r="AB167" s="1" t="n">
        <x:v>46212.70111111111</x:v>
      </x:c>
      <x:c r="AC167" s="1" t="str">
        <x:v>Residential Condo Unit For Rent</x:v>
      </x:c>
      <x:c r="AD167" s="1" t="str"/>
      <x:c r="AE167" s="1" t="str">
        <x:v>True</x:v>
      </x:c>
      <x:c r="AF167" s="1" t="str">
        <x:v>6</x:v>
      </x:c>
      <x:c r="AG167" s="1" t="str">
        <x:v>https://offcampus.dasa.ncsu.edu/housing/property/avery-close/ocpeg5yhcm</x:v>
      </x:c>
    </x:row>
    <x:row r="168" ht="24" hidden="0" customHeight="1">
      <x:c r="A168" s="1" t="str">
        <x:v>ocpsnmx4w4</x:v>
      </x:c>
      <x:c r="B168" s="1" t="str">
        <x:v>2233761</x:v>
      </x:c>
      <x:c r="C168" s="1" t="str"/>
      <x:c r="D168" s="5" t="str">
        <x:v>"Avery Close " condos room available across from Centennial Campus NCSU NC State Raleigh</x:v>
      </x:c>
      <x:c r="E168" s="5" t="str">
        <x:v>2522 Avent Ferry Road Unit 201</x:v>
      </x:c>
      <x:c r="F168" s="1" t="str">
        <x:v>Raleigh</x:v>
      </x:c>
      <x:c r="G168" s="1" t="str">
        <x:v>NC</x:v>
      </x:c>
      <x:c r="H168" s="1" t="str">
        <x:v>27606</x:v>
      </x:c>
      <x:c r="I168" s="1" t="n">
        <x:v>35.774124</x:v>
      </x:c>
      <x:c r="J168" s="1" t="n">
        <x:v>-78.682645</x:v>
      </x:c>
      <x:c r="K168" s="1" t="str">
        <x:v>Main Campus</x:v>
      </x:c>
      <x:c r="L168" s="1" t="str">
        <x:v>0.2</x:v>
      </x:c>
      <x:c r="M168" s="1" t="n">
        <x:v>750</x:v>
      </x:c>
      <x:c r="N168" s="1" t="n">
        <x:v>750</x:v>
      </x:c>
      <x:c r="O168" s="1" t="str">
        <x:v>$750</x:v>
      </x:c>
      <x:c r="P168" s="1" t="n">
        <x:v>1</x:v>
      </x:c>
      <x:c r="Q168" s="1" t="n">
        <x:v>1</x:v>
      </x:c>
      <x:c r="R168" s="1" t="str">
        <x:v>1 Bed</x:v>
      </x:c>
      <x:c r="S168" s="1" t="str">
        <x:v>True</x:v>
      </x:c>
      <x:c r="T168" s="1" t="str">
        <x:v>False</x:v>
      </x:c>
      <x:c r="U168" s="1" t="str">
        <x:v>$750 /Bedroom</x:v>
      </x:c>
      <x:c r="V168" s="1" t="str"/>
      <x:c r="W168" s="1" t="str">
        <x:v>True</x:v>
      </x:c>
      <x:c r="X168" s="1" t="str">
        <x:v>False</x:v>
      </x:c>
      <x:c r="Y168" s="1" t="str">
        <x:v>12 Month Lease</x:v>
      </x:c>
      <x:c r="Z168" s="1" t="str">
        <x:v>False</x:v>
      </x:c>
      <x:c r="AA168" s="1" t="str">
        <x:v>False</x:v>
      </x:c>
      <x:c r="AB168" s="1" t="n">
        <x:v>46211.89748842592</x:v>
      </x:c>
      <x:c r="AC168" s="1" t="str">
        <x:v>Residential Condo Unit For Rent</x:v>
      </x:c>
      <x:c r="AD168" s="1" t="str"/>
      <x:c r="AE168" s="1" t="str">
        <x:v>True</x:v>
      </x:c>
      <x:c r="AF168" s="1" t="str">
        <x:v>15</x:v>
      </x:c>
      <x:c r="AG168" s="1" t="str">
        <x:v>https://offcampus.dasa.ncsu.edu/housing/property/avery-close-condos-room-available-across-from-centennial-campus-ncsu-nc-state-raleigh/ocpsnmx4w4</x:v>
      </x:c>
    </x:row>
    <x:row r="169" ht="24" hidden="0" customHeight="1">
      <x:c r="A169" s="1" t="str">
        <x:v>ocp2k6k5g8</x:v>
      </x:c>
      <x:c r="B169" s="1" t="str">
        <x:v>874531</x:v>
      </x:c>
      <x:c r="C169" s="1" t="str"/>
      <x:c r="D169" s="5" t="str">
        <x:v>Furnished Room for Rent (Between Central and Centennial Campus)</x:v>
      </x:c>
      <x:c r="E169" s="5" t="str">
        <x:v>2327 Champion Court</x:v>
      </x:c>
      <x:c r="F169" s="1" t="str">
        <x:v>Raleigh</x:v>
      </x:c>
      <x:c r="G169" s="1" t="str">
        <x:v>NC</x:v>
      </x:c>
      <x:c r="H169" s="1" t="str">
        <x:v>27606</x:v>
      </x:c>
      <x:c r="I169" s="1" t="n">
        <x:v>35.777321</x:v>
      </x:c>
      <x:c r="J169" s="1" t="n">
        <x:v>-78.67903</x:v>
      </x:c>
      <x:c r="K169" s="1" t="str">
        <x:v>Main Campus</x:v>
      </x:c>
      <x:c r="L169" s="1" t="str">
        <x:v>0.22</x:v>
      </x:c>
      <x:c r="M169" s="1" t="n">
        <x:v>600</x:v>
      </x:c>
      <x:c r="N169" s="1" t="n">
        <x:v>600</x:v>
      </x:c>
      <x:c r="O169" s="1" t="str">
        <x:v>$600</x:v>
      </x:c>
      <x:c r="P169" s="1" t="n">
        <x:v>1</x:v>
      </x:c>
      <x:c r="Q169" s="1" t="n">
        <x:v>1</x:v>
      </x:c>
      <x:c r="R169" s="1" t="str">
        <x:v>1 Bed</x:v>
      </x:c>
      <x:c r="S169" s="1" t="str">
        <x:v>True</x:v>
      </x:c>
      <x:c r="T169" s="1" t="str">
        <x:v>False</x:v>
      </x:c>
      <x:c r="U169" s="1" t="str">
        <x:v>$600 /Bedroom</x:v>
      </x:c>
      <x:c r="V169" s="1" t="str"/>
      <x:c r="W169" s="1" t="str">
        <x:v>True</x:v>
      </x:c>
      <x:c r="X169" s="1" t="str">
        <x:v>False</x:v>
      </x:c>
      <x:c r="Y169" s="1" t="str">
        <x:v>9 Month Lease</x:v>
      </x:c>
      <x:c r="Z169" s="1" t="str">
        <x:v>False</x:v>
      </x:c>
      <x:c r="AA169" s="1" t="str">
        <x:v>False</x:v>
      </x:c>
      <x:c r="AB169" s="1" t="n">
        <x:v>46250.17774305555</x:v>
      </x:c>
      <x:c r="AC169" s="1" t="str">
        <x:v>Residential Condo Unit For Rent</x:v>
      </x:c>
      <x:c r="AD169" s="1" t="str"/>
      <x:c r="AE169" s="1" t="str">
        <x:v>True</x:v>
      </x:c>
      <x:c r="AF169" s="1" t="str">
        <x:v>6</x:v>
      </x:c>
      <x:c r="AG169" s="1" t="str">
        <x:v>https://offcampus.dasa.ncsu.edu/housing/property/furnished-room-for-rent-between-central-and-centennial-campus/ocp2k6k5g8</x:v>
      </x:c>
    </x:row>
  </x:sheetData>
  <x:pageMargins left="0.7" right="0.7" top="0.75" bottom="0.75" header="0.3" footer="0.3"/>
  <x:tableParts count="1">
    <x:tablePart xmlns:r="http://schemas.openxmlformats.org/officeDocument/2006/relationships" r:id="R87542a38ea1242d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2" hidden="0" customWidth="1"/>
    <x:col min="3" max="3" width="19" hidden="0" customWidth="1"/>
    <x:col min="4" max="4" width="17" hidden="0" customWidth="1"/>
    <x:col min="5" max="5" width="32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</x:cols>
  <x:sheetData>
    <x:row r="1" ht="38" customHeight="1">
      <x:c r="A1" s="4" t="str">
        <x:v>site_id</x:v>
      </x:c>
      <x:c r="B1" s="4" t="str">
        <x:v>property_name</x:v>
      </x:c>
      <x:c r="C1" s="4" t="str">
        <x:v>floorplan_id</x:v>
      </x:c>
      <x:c r="D1" s="4" t="str">
        <x:v>unit_key</x:v>
      </x:c>
      <x:c r="E1" s="4" t="str">
        <x:v>name</x:v>
      </x:c>
      <x:c r="F1" s="4" t="str">
        <x:v>beds</x:v>
      </x:c>
      <x:c r="G1" s="4" t="str">
        <x:v>baths</x:v>
      </x:c>
      <x:c r="H1" s="4" t="str">
        <x:v>price_low</x:v>
      </x:c>
      <x:c r="I1" s="4" t="str">
        <x:v>price_high</x:v>
      </x:c>
      <x:c r="J1" s="4" t="str">
        <x:v>price_range</x:v>
      </x:c>
      <x:c r="K1" s="4" t="str">
        <x:v>all_in_price_range</x:v>
      </x:c>
      <x:c r="L1" s="4" t="str">
        <x:v>per_bed_pricing</x:v>
      </x:c>
      <x:c r="M1" s="4" t="str">
        <x:v>square_feet</x:v>
      </x:c>
      <x:c r="N1" s="4" t="str">
        <x:v>units_available</x:v>
      </x:c>
      <x:c r="O1" s="4" t="str">
        <x:v>availability</x:v>
      </x:c>
      <x:c r="P1" s="4" t="str">
        <x:v>availability_description</x:v>
      </x:c>
      <x:c r="Q1" s="4" t="str">
        <x:v>available_date</x:v>
      </x:c>
      <x:c r="R1" s="4" t="str">
        <x:v>deposit</x:v>
      </x:c>
      <x:c r="S1" s="4" t="str">
        <x:v>deposit_description</x:v>
      </x:c>
      <x:c r="T1" s="4" t="str">
        <x:v>application_fees</x:v>
      </x:c>
      <x:c r="U1" s="4" t="str">
        <x:v>admin_fee</x:v>
      </x:c>
      <x:c r="V1" s="4" t="str">
        <x:v>max_occupants</x:v>
      </x:c>
      <x:c r="W1" s="4" t="str">
        <x:v>unit_number</x:v>
      </x:c>
      <x:c r="X1" s="4" t="str">
        <x:v>is_unit</x:v>
      </x:c>
      <x:c r="Y1" s="4" t="str">
        <x:v>is_new</x:v>
      </x:c>
      <x:c r="Z1" s="4" t="str">
        <x:v>raw_unit_floorplans</x:v>
      </x:c>
    </x:row>
    <x:row r="2" ht="15" hidden="0" customHeight="1">
      <x:c r="A2" s="1" t="str">
        <x:v>kele8mc</x:v>
      </x:c>
      <x:c r="B2" s="5" t="str">
        <x:v>Lofts at Lakeview</x:v>
      </x:c>
      <x:c r="C2" s="1" t="str">
        <x:v>935968</x:v>
      </x:c>
      <x:c r="D2" s="1" t="str">
        <x:v>7sgyt2x</x:v>
      </x:c>
      <x:c r="E2" s="1" t="str">
        <x:v>S1</x:v>
      </x:c>
      <x:c r="F2" s="1" t="n">
        <x:v>0</x:v>
      </x:c>
      <x:c r="G2" s="1" t="n">
        <x:v>1</x:v>
      </x:c>
      <x:c r="H2" s="1" t="n">
        <x:v>1595</x:v>
      </x:c>
      <x:c r="I2" s="1" t="n">
        <x:v>1595</x:v>
      </x:c>
      <x:c r="J2" s="1" t="str">
        <x:v>$1,595</x:v>
      </x:c>
      <x:c r="K2" s="1" t="str">
        <x:v>$1,731</x:v>
      </x:c>
      <x:c r="L2" s="1" t="str">
        <x:v>false</x:v>
      </x:c>
      <x:c r="M2" s="1" t="str">
        <x:v>685 sq. ft.</x:v>
      </x:c>
      <x:c r="N2" s="1" t="n">
        <x:v>1</x:v>
      </x:c>
      <x:c r="O2" s="1" t="str">
        <x:v>AvailableNow</x:v>
      </x:c>
      <x:c r="P2" s="1" t="str">
        <x:v>Rentals Available</x:v>
      </x:c>
      <x:c r="Q2" s="1" t="n">
        <x:v>46255.99998842592</x:v>
      </x:c>
      <x:c r="R2" s="1" t="str"/>
      <x:c r="S2" s="1" t="str"/>
      <x:c r="T2" s="1" t="str"/>
      <x:c r="U2" s="1" t="str"/>
      <x:c r="V2" s="1" t="str"/>
      <x:c r="W2" s="1" t="str"/>
      <x:c r="X2" s="1" t="str">
        <x:v>false</x:v>
      </x:c>
      <x:c r="Y2" s="1" t="str">
        <x:v>false</x:v>
      </x:c>
      <x:c r="Z2" s="1" t="str">
        <x:v>[]</x:v>
      </x:c>
    </x:row>
    <x:row r="3" ht="15" hidden="0" customHeight="1">
      <x:c r="A3" s="1" t="str">
        <x:v>kele8mc</x:v>
      </x:c>
      <x:c r="B3" s="5" t="str">
        <x:v>Lofts at Lakeview</x:v>
      </x:c>
      <x:c r="C3" s="1" t="str">
        <x:v>935978</x:v>
      </x:c>
      <x:c r="D3" s="1" t="str">
        <x:v>dzng4lj</x:v>
      </x:c>
      <x:c r="E3" s="1" t="str">
        <x:v>A7</x:v>
      </x:c>
      <x:c r="F3" s="1" t="n">
        <x:v>1</x:v>
      </x:c>
      <x:c r="G3" s="1" t="n">
        <x:v>1</x:v>
      </x:c>
      <x:c r="H3" s="1" t="n">
        <x:v>1695</x:v>
      </x:c>
      <x:c r="I3" s="1" t="n">
        <x:v>1795</x:v>
      </x:c>
      <x:c r="J3" s="1" t="str">
        <x:v>$1,695 - $1,795</x:v>
      </x:c>
      <x:c r="K3" s="1" t="str">
        <x:v>$1,831 - $1,931</x:v>
      </x:c>
      <x:c r="L3" s="1" t="str">
        <x:v>false</x:v>
      </x:c>
      <x:c r="M3" s="1" t="str">
        <x:v>925 sq. ft.</x:v>
      </x:c>
      <x:c r="N3" s="1" t="n">
        <x:v>21</x:v>
      </x:c>
      <x:c r="O3" s="1" t="str">
        <x:v>AvailableNow</x:v>
      </x:c>
      <x:c r="P3" s="1" t="str">
        <x:v>Rentals Available</x:v>
      </x:c>
      <x:c r="Q3" s="1" t="n">
        <x:v>45747.99998842592</x:v>
      </x:c>
      <x:c r="R3" s="1" t="str"/>
      <x:c r="S3" s="1" t="str"/>
      <x:c r="T3" s="1" t="str"/>
      <x:c r="U3" s="1" t="str"/>
      <x:c r="V3" s="1" t="str"/>
      <x:c r="W3" s="1" t="str"/>
      <x:c r="X3" s="1" t="str">
        <x:v>false</x:v>
      </x:c>
      <x:c r="Y3" s="1" t="str">
        <x:v>false</x:v>
      </x:c>
      <x:c r="Z3" s="1" t="str">
        <x:v>[]</x:v>
      </x:c>
    </x:row>
    <x:row r="4" ht="15" hidden="0" customHeight="1">
      <x:c r="A4" s="1" t="str">
        <x:v>kele8mc</x:v>
      </x:c>
      <x:c r="B4" s="5" t="str">
        <x:v>Lofts at Lakeview</x:v>
      </x:c>
      <x:c r="C4" s="1" t="str">
        <x:v>935972</x:v>
      </x:c>
      <x:c r="D4" s="1" t="str">
        <x:v>vb02s3d</x:v>
      </x:c>
      <x:c r="E4" s="1" t="str">
        <x:v>A4</x:v>
      </x:c>
      <x:c r="F4" s="1" t="n">
        <x:v>1</x:v>
      </x:c>
      <x:c r="G4" s="1" t="n">
        <x:v>1</x:v>
      </x:c>
      <x:c r="H4" s="1" t="n">
        <x:v>1595</x:v>
      </x:c>
      <x:c r="I4" s="1" t="n">
        <x:v>1695</x:v>
      </x:c>
      <x:c r="J4" s="1" t="str">
        <x:v>$1,595 - $1,695</x:v>
      </x:c>
      <x:c r="K4" s="1" t="str">
        <x:v>$1,731 - $1,831</x:v>
      </x:c>
      <x:c r="L4" s="1" t="str">
        <x:v>false</x:v>
      </x:c>
      <x:c r="M4" s="1" t="str">
        <x:v>747 sq. ft.</x:v>
      </x:c>
      <x:c r="N4" s="1" t="n">
        <x:v>19</x:v>
      </x:c>
      <x:c r="O4" s="1" t="str">
        <x:v>AvailableNow</x:v>
      </x:c>
      <x:c r="P4" s="1" t="str">
        <x:v>Rentals Available</x:v>
      </x:c>
      <x:c r="Q4" s="1" t="n">
        <x:v>46029.99998842592</x:v>
      </x:c>
      <x:c r="R4" s="1" t="str"/>
      <x:c r="S4" s="1" t="str"/>
      <x:c r="T4" s="1" t="str"/>
      <x:c r="U4" s="1" t="str"/>
      <x:c r="V4" s="1" t="str"/>
      <x:c r="W4" s="1" t="str"/>
      <x:c r="X4" s="1" t="str">
        <x:v>false</x:v>
      </x:c>
      <x:c r="Y4" s="1" t="str">
        <x:v>false</x:v>
      </x:c>
      <x:c r="Z4" s="1" t="str">
        <x:v>[]</x:v>
      </x:c>
    </x:row>
    <x:row r="5" ht="15" hidden="0" customHeight="1">
      <x:c r="A5" s="1" t="str">
        <x:v>kele8mc</x:v>
      </x:c>
      <x:c r="B5" s="5" t="str">
        <x:v>Lofts at Lakeview</x:v>
      </x:c>
      <x:c r="C5" s="1" t="str">
        <x:v>935992</x:v>
      </x:c>
      <x:c r="D5" s="1" t="str">
        <x:v>dseg23l</x:v>
      </x:c>
      <x:c r="E5" s="1" t="str">
        <x:v>A14</x:v>
      </x:c>
      <x:c r="F5" s="1" t="n">
        <x:v>1</x:v>
      </x:c>
      <x:c r="G5" s="1" t="n">
        <x:v>1</x:v>
      </x:c>
      <x:c r="H5" s="1" t="n">
        <x:v>1795</x:v>
      </x:c>
      <x:c r="I5" s="1" t="n">
        <x:v>1795</x:v>
      </x:c>
      <x:c r="J5" s="1" t="str">
        <x:v>$1,795</x:v>
      </x:c>
      <x:c r="K5" s="1" t="str">
        <x:v>$1,931</x:v>
      </x:c>
      <x:c r="L5" s="1" t="str">
        <x:v>false</x:v>
      </x:c>
      <x:c r="M5" s="1" t="str">
        <x:v>1,038 sq. ft.</x:v>
      </x:c>
      <x:c r="N5" s="1" t="n">
        <x:v>12</x:v>
      </x:c>
      <x:c r="O5" s="1" t="str">
        <x:v>AvailableNow</x:v>
      </x:c>
      <x:c r="P5" s="1" t="str">
        <x:v>Rentals Available</x:v>
      </x:c>
      <x:c r="Q5" s="1" t="n">
        <x:v>45504.99998842592</x:v>
      </x:c>
      <x:c r="R5" s="1" t="str"/>
      <x:c r="S5" s="1" t="str"/>
      <x:c r="T5" s="1" t="str"/>
      <x:c r="U5" s="1" t="str"/>
      <x:c r="V5" s="1" t="str"/>
      <x:c r="W5" s="1" t="str"/>
      <x:c r="X5" s="1" t="str">
        <x:v>false</x:v>
      </x:c>
      <x:c r="Y5" s="1" t="str">
        <x:v>false</x:v>
      </x:c>
      <x:c r="Z5" s="1" t="str">
        <x:v>[]</x:v>
      </x:c>
    </x:row>
    <x:row r="6" ht="15" hidden="0" customHeight="1">
      <x:c r="A6" s="1" t="str">
        <x:v>kele8mc</x:v>
      </x:c>
      <x:c r="B6" s="5" t="str">
        <x:v>Lofts at Lakeview</x:v>
      </x:c>
      <x:c r="C6" s="1" t="str">
        <x:v>935976</x:v>
      </x:c>
      <x:c r="D6" s="1" t="str">
        <x:v>lfjbx5g</x:v>
      </x:c>
      <x:c r="E6" s="1" t="str">
        <x:v>A6</x:v>
      </x:c>
      <x:c r="F6" s="1" t="n">
        <x:v>1</x:v>
      </x:c>
      <x:c r="G6" s="1" t="n">
        <x:v>1</x:v>
      </x:c>
      <x:c r="H6" s="1" t="n">
        <x:v>1695</x:v>
      </x:c>
      <x:c r="I6" s="1" t="n">
        <x:v>1695</x:v>
      </x:c>
      <x:c r="J6" s="1" t="str">
        <x:v>$1,695</x:v>
      </x:c>
      <x:c r="K6" s="1" t="str">
        <x:v>$1,831</x:v>
      </x:c>
      <x:c r="L6" s="1" t="str">
        <x:v>false</x:v>
      </x:c>
      <x:c r="M6" s="1" t="str">
        <x:v>911 sq. ft.</x:v>
      </x:c>
      <x:c r="N6" s="1" t="n">
        <x:v>2</x:v>
      </x:c>
      <x:c r="O6" s="1" t="str">
        <x:v>AvailableNow</x:v>
      </x:c>
      <x:c r="P6" s="1" t="str">
        <x:v>Rentals Available</x:v>
      </x:c>
      <x:c r="Q6" s="1" t="n">
        <x:v>45077.99998842592</x:v>
      </x:c>
      <x:c r="R6" s="1" t="str"/>
      <x:c r="S6" s="1" t="str"/>
      <x:c r="T6" s="1" t="str"/>
      <x:c r="U6" s="1" t="str"/>
      <x:c r="V6" s="1" t="str"/>
      <x:c r="W6" s="1" t="str"/>
      <x:c r="X6" s="1" t="str">
        <x:v>false</x:v>
      </x:c>
      <x:c r="Y6" s="1" t="str">
        <x:v>false</x:v>
      </x:c>
      <x:c r="Z6" s="1" t="str">
        <x:v>[]</x:v>
      </x:c>
    </x:row>
    <x:row r="7" ht="15" hidden="0" customHeight="1">
      <x:c r="A7" s="1" t="str">
        <x:v>kele8mc</x:v>
      </x:c>
      <x:c r="B7" s="5" t="str">
        <x:v>Lofts at Lakeview</x:v>
      </x:c>
      <x:c r="C7" s="1" t="str">
        <x:v>935987</x:v>
      </x:c>
      <x:c r="D7" s="1" t="str">
        <x:v>t5zspe8</x:v>
      </x:c>
      <x:c r="E7" s="1" t="str">
        <x:v>A12</x:v>
      </x:c>
      <x:c r="F7" s="1" t="n">
        <x:v>1</x:v>
      </x:c>
      <x:c r="G7" s="1" t="n">
        <x:v>1</x:v>
      </x:c>
      <x:c r="H7" s="1" t="n">
        <x:v>1695</x:v>
      </x:c>
      <x:c r="I7" s="1" t="n">
        <x:v>1695</x:v>
      </x:c>
      <x:c r="J7" s="1" t="str">
        <x:v>$1,695</x:v>
      </x:c>
      <x:c r="K7" s="1" t="str">
        <x:v>$1,831</x:v>
      </x:c>
      <x:c r="L7" s="1" t="str">
        <x:v>false</x:v>
      </x:c>
      <x:c r="M7" s="1" t="str">
        <x:v>1,002 sq. ft.</x:v>
      </x:c>
      <x:c r="N7" s="1" t="n">
        <x:v>1</x:v>
      </x:c>
      <x:c r="O7" s="1" t="str">
        <x:v>AvailableNow</x:v>
      </x:c>
      <x:c r="P7" s="1" t="str">
        <x:v>Rentals Available</x:v>
      </x:c>
      <x:c r="Q7" s="1" t="n">
        <x:v>45448.99998842592</x:v>
      </x:c>
      <x:c r="R7" s="1" t="str"/>
      <x:c r="S7" s="1" t="str"/>
      <x:c r="T7" s="1" t="str"/>
      <x:c r="U7" s="1" t="str"/>
      <x:c r="V7" s="1" t="str"/>
      <x:c r="W7" s="1" t="str"/>
      <x:c r="X7" s="1" t="str">
        <x:v>false</x:v>
      </x:c>
      <x:c r="Y7" s="1" t="str">
        <x:v>false</x:v>
      </x:c>
      <x:c r="Z7" s="1" t="str">
        <x:v>[]</x:v>
      </x:c>
    </x:row>
    <x:row r="8" ht="15" hidden="0" customHeight="1">
      <x:c r="A8" s="1" t="str">
        <x:v>kele8mc</x:v>
      </x:c>
      <x:c r="B8" s="5" t="str">
        <x:v>Lofts at Lakeview</x:v>
      </x:c>
      <x:c r="C8" s="1" t="str">
        <x:v>935989</x:v>
      </x:c>
      <x:c r="D8" s="1" t="str">
        <x:v>26h1ng9</x:v>
      </x:c>
      <x:c r="E8" s="1" t="str">
        <x:v>A13</x:v>
      </x:c>
      <x:c r="F8" s="1" t="n">
        <x:v>1</x:v>
      </x:c>
      <x:c r="G8" s="1" t="n">
        <x:v>1</x:v>
      </x:c>
      <x:c r="H8" s="1" t="n">
        <x:v>1895</x:v>
      </x:c>
      <x:c r="I8" s="1" t="n">
        <x:v>1895</x:v>
      </x:c>
      <x:c r="J8" s="1" t="str">
        <x:v>$1,895</x:v>
      </x:c>
      <x:c r="K8" s="1" t="str">
        <x:v>$2,031</x:v>
      </x:c>
      <x:c r="L8" s="1" t="str">
        <x:v>false</x:v>
      </x:c>
      <x:c r="M8" s="1" t="str">
        <x:v>1,022 sq. ft.</x:v>
      </x:c>
      <x:c r="N8" s="1" t="n">
        <x:v>1</x:v>
      </x:c>
      <x:c r="O8" s="1" t="str">
        <x:v>AvailableNow</x:v>
      </x:c>
      <x:c r="P8" s="1" t="str">
        <x:v>Rentals Available</x:v>
      </x:c>
      <x:c r="Q8" s="1" t="n">
        <x:v>45412.99998842592</x:v>
      </x:c>
      <x:c r="R8" s="1" t="str"/>
      <x:c r="S8" s="1" t="str"/>
      <x:c r="T8" s="1" t="str"/>
      <x:c r="U8" s="1" t="str"/>
      <x:c r="V8" s="1" t="str"/>
      <x:c r="W8" s="1" t="str"/>
      <x:c r="X8" s="1" t="str">
        <x:v>false</x:v>
      </x:c>
      <x:c r="Y8" s="1" t="str">
        <x:v>false</x:v>
      </x:c>
      <x:c r="Z8" s="1" t="str">
        <x:v>[]</x:v>
      </x:c>
    </x:row>
    <x:row r="9" ht="15" hidden="0" customHeight="1">
      <x:c r="A9" s="1" t="str">
        <x:v>kele8mc</x:v>
      </x:c>
      <x:c r="B9" s="5" t="str">
        <x:v>Lofts at Lakeview</x:v>
      </x:c>
      <x:c r="C9" s="1" t="str">
        <x:v>935984</x:v>
      </x:c>
      <x:c r="D9" s="1" t="str">
        <x:v>8fjc581</x:v>
      </x:c>
      <x:c r="E9" s="1" t="str">
        <x:v>A10</x:v>
      </x:c>
      <x:c r="F9" s="1" t="n">
        <x:v>1</x:v>
      </x:c>
      <x:c r="G9" s="1" t="n">
        <x:v>1</x:v>
      </x:c>
      <x:c r="H9" s="1" t="str"/>
      <x:c r="I9" s="1" t="str"/>
      <x:c r="J9" s="1" t="str"/>
      <x:c r="K9" s="1" t="str"/>
      <x:c r="L9" s="1" t="str">
        <x:v>false</x:v>
      </x:c>
      <x:c r="M9" s="1" t="str">
        <x:v>976 sq. ft.</x:v>
      </x:c>
      <x:c r="N9" s="1" t="n">
        <x:v>0</x:v>
      </x:c>
      <x:c r="O9" s="1" t="str">
        <x:v>AvailableSoon</x:v>
      </x:c>
      <x:c r="P9" s="1" t="str">
        <x:v>Available Soon</x:v>
      </x:c>
      <x:c r="Q9" s="1" t="str"/>
      <x:c r="R9" s="1" t="str"/>
      <x:c r="S9" s="1" t="str"/>
      <x:c r="T9" s="1" t="str"/>
      <x:c r="U9" s="1" t="str"/>
      <x:c r="V9" s="1" t="str"/>
      <x:c r="W9" s="1" t="str"/>
      <x:c r="X9" s="1" t="str">
        <x:v>false</x:v>
      </x:c>
      <x:c r="Y9" s="1" t="str">
        <x:v>false</x:v>
      </x:c>
      <x:c r="Z9" s="1" t="str">
        <x:v>[]</x:v>
      </x:c>
    </x:row>
    <x:row r="10" ht="15" hidden="0" customHeight="1">
      <x:c r="A10" s="1" t="str">
        <x:v>kele8mc</x:v>
      </x:c>
      <x:c r="B10" s="5" t="str">
        <x:v>Lofts at Lakeview</x:v>
      </x:c>
      <x:c r="C10" s="1" t="str">
        <x:v>935986</x:v>
      </x:c>
      <x:c r="D10" s="1" t="str">
        <x:v>pqpnmrs</x:v>
      </x:c>
      <x:c r="E10" s="1" t="str">
        <x:v>A11</x:v>
      </x:c>
      <x:c r="F10" s="1" t="n">
        <x:v>1</x:v>
      </x:c>
      <x:c r="G10" s="1" t="n">
        <x:v>1</x:v>
      </x:c>
      <x:c r="H10" s="1" t="str"/>
      <x:c r="I10" s="1" t="str"/>
      <x:c r="J10" s="1" t="str"/>
      <x:c r="K10" s="1" t="str"/>
      <x:c r="L10" s="1" t="str">
        <x:v>false</x:v>
      </x:c>
      <x:c r="M10" s="1" t="str">
        <x:v>988 sq. ft.</x:v>
      </x:c>
      <x:c r="N10" s="1" t="n">
        <x:v>0</x:v>
      </x:c>
      <x:c r="O10" s="1" t="str">
        <x:v>AvailableSoon</x:v>
      </x:c>
      <x:c r="P10" s="1" t="str">
        <x:v>Available Soon</x:v>
      </x:c>
      <x:c r="Q10" s="1" t="str"/>
      <x:c r="R10" s="1" t="str"/>
      <x:c r="S10" s="1" t="str"/>
      <x:c r="T10" s="1" t="str"/>
      <x:c r="U10" s="1" t="str"/>
      <x:c r="V10" s="1" t="str"/>
      <x:c r="W10" s="1" t="str"/>
      <x:c r="X10" s="1" t="str">
        <x:v>false</x:v>
      </x:c>
      <x:c r="Y10" s="1" t="str">
        <x:v>false</x:v>
      </x:c>
      <x:c r="Z10" s="1" t="str">
        <x:v>[]</x:v>
      </x:c>
    </x:row>
    <x:row r="11" ht="15" hidden="0" customHeight="1">
      <x:c r="A11" s="1" t="str">
        <x:v>kele8mc</x:v>
      </x:c>
      <x:c r="B11" s="5" t="str">
        <x:v>Lofts at Lakeview</x:v>
      </x:c>
      <x:c r="C11" s="1" t="str">
        <x:v>935993</x:v>
      </x:c>
      <x:c r="D11" s="1" t="str">
        <x:v>dwsg7vh</x:v>
      </x:c>
      <x:c r="E11" s="1" t="str">
        <x:v>A15</x:v>
      </x:c>
      <x:c r="F11" s="1" t="n">
        <x:v>1</x:v>
      </x:c>
      <x:c r="G11" s="1" t="n">
        <x:v>1</x:v>
      </x:c>
      <x:c r="H11" s="1" t="str"/>
      <x:c r="I11" s="1" t="str"/>
      <x:c r="J11" s="1" t="str"/>
      <x:c r="K11" s="1" t="str"/>
      <x:c r="L11" s="1" t="str">
        <x:v>false</x:v>
      </x:c>
      <x:c r="M11" s="1" t="str">
        <x:v>1,115 sq. ft.</x:v>
      </x:c>
      <x:c r="N11" s="1" t="n">
        <x:v>0</x:v>
      </x:c>
      <x:c r="O11" s="1" t="str">
        <x:v>AvailableSoon</x:v>
      </x:c>
      <x:c r="P11" s="1" t="str">
        <x:v>Available Soon</x:v>
      </x:c>
      <x:c r="Q11" s="1" t="str"/>
      <x:c r="R11" s="1" t="str"/>
      <x:c r="S11" s="1" t="str"/>
      <x:c r="T11" s="1" t="str"/>
      <x:c r="U11" s="1" t="str"/>
      <x:c r="V11" s="1" t="str"/>
      <x:c r="W11" s="1" t="str"/>
      <x:c r="X11" s="1" t="str">
        <x:v>false</x:v>
      </x:c>
      <x:c r="Y11" s="1" t="str">
        <x:v>false</x:v>
      </x:c>
      <x:c r="Z11" s="1" t="str">
        <x:v>[]</x:v>
      </x:c>
    </x:row>
    <x:row r="12" ht="15" hidden="0" customHeight="1">
      <x:c r="A12" s="1" t="str">
        <x:v>kele8mc</x:v>
      </x:c>
      <x:c r="B12" s="5" t="str">
        <x:v>Lofts at Lakeview</x:v>
      </x:c>
      <x:c r="C12" s="1" t="str">
        <x:v>936003</x:v>
      </x:c>
      <x:c r="D12" s="1" t="str">
        <x:v>4xw765h</x:v>
      </x:c>
      <x:c r="E12" s="1" t="str">
        <x:v>B7</x:v>
      </x:c>
      <x:c r="F12" s="1" t="n">
        <x:v>2</x:v>
      </x:c>
      <x:c r="G12" s="1" t="n">
        <x:v>2</x:v>
      </x:c>
      <x:c r="H12" s="1" t="n">
        <x:v>2195</x:v>
      </x:c>
      <x:c r="I12" s="1" t="n">
        <x:v>2195</x:v>
      </x:c>
      <x:c r="J12" s="1" t="str">
        <x:v>$2,195</x:v>
      </x:c>
      <x:c r="K12" s="1" t="str">
        <x:v>$2,331</x:v>
      </x:c>
      <x:c r="L12" s="1" t="str">
        <x:v>false</x:v>
      </x:c>
      <x:c r="M12" s="1" t="str">
        <x:v>1,503 sq. ft.</x:v>
      </x:c>
      <x:c r="N12" s="1" t="n">
        <x:v>16</x:v>
      </x:c>
      <x:c r="O12" s="1" t="str">
        <x:v>AvailableNow</x:v>
      </x:c>
      <x:c r="P12" s="1" t="str">
        <x:v>Rentals Available</x:v>
      </x:c>
      <x:c r="Q12" s="1" t="n">
        <x:v>45784.99998842592</x:v>
      </x:c>
      <x:c r="R12" s="1" t="str"/>
      <x:c r="S12" s="1" t="str"/>
      <x:c r="T12" s="1" t="str"/>
      <x:c r="U12" s="1" t="str"/>
      <x:c r="V12" s="1" t="str"/>
      <x:c r="W12" s="1" t="str"/>
      <x:c r="X12" s="1" t="str">
        <x:v>false</x:v>
      </x:c>
      <x:c r="Y12" s="1" t="str">
        <x:v>false</x:v>
      </x:c>
      <x:c r="Z12" s="1" t="str">
        <x:v>[]</x:v>
      </x:c>
    </x:row>
    <x:row r="13" ht="15" hidden="0" customHeight="1">
      <x:c r="A13" s="1" t="str">
        <x:v>kele8mc</x:v>
      </x:c>
      <x:c r="B13" s="5" t="str">
        <x:v>Lofts at Lakeview</x:v>
      </x:c>
      <x:c r="C13" s="1" t="str">
        <x:v>936007</x:v>
      </x:c>
      <x:c r="D13" s="1" t="str">
        <x:v>hgpl4t1</x:v>
      </x:c>
      <x:c r="E13" s="1" t="str">
        <x:v>B9</x:v>
      </x:c>
      <x:c r="F13" s="1" t="n">
        <x:v>2</x:v>
      </x:c>
      <x:c r="G13" s="1" t="n">
        <x:v>2</x:v>
      </x:c>
      <x:c r="H13" s="1" t="n">
        <x:v>2695</x:v>
      </x:c>
      <x:c r="I13" s="1" t="n">
        <x:v>2695</x:v>
      </x:c>
      <x:c r="J13" s="1" t="str">
        <x:v>$2,695</x:v>
      </x:c>
      <x:c r="K13" s="1" t="str">
        <x:v>$2,831</x:v>
      </x:c>
      <x:c r="L13" s="1" t="str">
        <x:v>false</x:v>
      </x:c>
      <x:c r="M13" s="1" t="str">
        <x:v>1,528 sq. ft.</x:v>
      </x:c>
      <x:c r="N13" s="1" t="n">
        <x:v>6</x:v>
      </x:c>
      <x:c r="O13" s="1" t="str">
        <x:v>AvailableNow</x:v>
      </x:c>
      <x:c r="P13" s="1" t="str">
        <x:v>Rentals Available</x:v>
      </x:c>
      <x:c r="Q13" s="1" t="n">
        <x:v>45169.99998842592</x:v>
      </x:c>
      <x:c r="R13" s="1" t="str"/>
      <x:c r="S13" s="1" t="str"/>
      <x:c r="T13" s="1" t="str"/>
      <x:c r="U13" s="1" t="str"/>
      <x:c r="V13" s="1" t="str"/>
      <x:c r="W13" s="1" t="str"/>
      <x:c r="X13" s="1" t="str">
        <x:v>false</x:v>
      </x:c>
      <x:c r="Y13" s="1" t="str">
        <x:v>false</x:v>
      </x:c>
      <x:c r="Z13" s="1" t="str">
        <x:v>[]</x:v>
      </x:c>
    </x:row>
    <x:row r="14" ht="15" hidden="0" customHeight="1">
      <x:c r="A14" s="1" t="str">
        <x:v>kele8mc</x:v>
      </x:c>
      <x:c r="B14" s="5" t="str">
        <x:v>Lofts at Lakeview</x:v>
      </x:c>
      <x:c r="C14" s="1" t="str">
        <x:v>936006</x:v>
      </x:c>
      <x:c r="D14" s="1" t="str">
        <x:v>rb3v142</x:v>
      </x:c>
      <x:c r="E14" s="1" t="str">
        <x:v>B8</x:v>
      </x:c>
      <x:c r="F14" s="1" t="n">
        <x:v>2</x:v>
      </x:c>
      <x:c r="G14" s="1" t="n">
        <x:v>2</x:v>
      </x:c>
      <x:c r="H14" s="1" t="n">
        <x:v>2795</x:v>
      </x:c>
      <x:c r="I14" s="1" t="n">
        <x:v>2795</x:v>
      </x:c>
      <x:c r="J14" s="1" t="str">
        <x:v>$2,795</x:v>
      </x:c>
      <x:c r="K14" s="1" t="str">
        <x:v>$2,931</x:v>
      </x:c>
      <x:c r="L14" s="1" t="str">
        <x:v>false</x:v>
      </x:c>
      <x:c r="M14" s="1" t="str">
        <x:v>1,516 sq. ft.</x:v>
      </x:c>
      <x:c r="N14" s="1" t="n">
        <x:v>3</x:v>
      </x:c>
      <x:c r="O14" s="1" t="str">
        <x:v>AvailableNow</x:v>
      </x:c>
      <x:c r="P14" s="1" t="str">
        <x:v>Rentals Available</x:v>
      </x:c>
      <x:c r="Q14" s="1" t="n">
        <x:v>45199.99998842592</x:v>
      </x:c>
      <x:c r="R14" s="1" t="str"/>
      <x:c r="S14" s="1" t="str"/>
      <x:c r="T14" s="1" t="str"/>
      <x:c r="U14" s="1" t="str"/>
      <x:c r="V14" s="1" t="str"/>
      <x:c r="W14" s="1" t="str"/>
      <x:c r="X14" s="1" t="str">
        <x:v>false</x:v>
      </x:c>
      <x:c r="Y14" s="1" t="str">
        <x:v>false</x:v>
      </x:c>
      <x:c r="Z14" s="1" t="str">
        <x:v>[]</x:v>
      </x:c>
    </x:row>
    <x:row r="15" ht="15" hidden="0" customHeight="1">
      <x:c r="A15" s="1" t="str">
        <x:v>kele8mc</x:v>
      </x:c>
      <x:c r="B15" s="5" t="str">
        <x:v>Lofts at Lakeview</x:v>
      </x:c>
      <x:c r="C15" s="1" t="str">
        <x:v>936001</x:v>
      </x:c>
      <x:c r="D15" s="1" t="str">
        <x:v>b219j9b</x:v>
      </x:c>
      <x:c r="E15" s="1" t="str">
        <x:v>B3</x:v>
      </x:c>
      <x:c r="F15" s="1" t="n">
        <x:v>2</x:v>
      </x:c>
      <x:c r="G15" s="1" t="n">
        <x:v>2</x:v>
      </x:c>
      <x:c r="H15" s="1" t="n">
        <x:v>2195</x:v>
      </x:c>
      <x:c r="I15" s="1" t="n">
        <x:v>2195</x:v>
      </x:c>
      <x:c r="J15" s="1" t="str">
        <x:v>$2,195</x:v>
      </x:c>
      <x:c r="K15" s="1" t="str">
        <x:v>$2,331</x:v>
      </x:c>
      <x:c r="L15" s="1" t="str">
        <x:v>false</x:v>
      </x:c>
      <x:c r="M15" s="1" t="str">
        <x:v>1,388 sq. ft.</x:v>
      </x:c>
      <x:c r="N15" s="1" t="n">
        <x:v>2</x:v>
      </x:c>
      <x:c r="O15" s="1" t="str">
        <x:v>AvailableNow</x:v>
      </x:c>
      <x:c r="P15" s="1" t="str">
        <x:v>Rentals Available</x:v>
      </x:c>
      <x:c r="Q15" s="1" t="n">
        <x:v>45883.99998842592</x:v>
      </x:c>
      <x:c r="R15" s="1" t="str"/>
      <x:c r="S15" s="1" t="str"/>
      <x:c r="T15" s="1" t="str"/>
      <x:c r="U15" s="1" t="str"/>
      <x:c r="V15" s="1" t="str"/>
      <x:c r="W15" s="1" t="str"/>
      <x:c r="X15" s="1" t="str">
        <x:v>false</x:v>
      </x:c>
      <x:c r="Y15" s="1" t="str">
        <x:v>false</x:v>
      </x:c>
      <x:c r="Z15" s="1" t="str">
        <x:v>[]</x:v>
      </x:c>
    </x:row>
    <x:row r="16" ht="15" hidden="0" customHeight="1">
      <x:c r="A16" s="1" t="str">
        <x:v>kele8mc</x:v>
      </x:c>
      <x:c r="B16" s="5" t="str">
        <x:v>Lofts at Lakeview</x:v>
      </x:c>
      <x:c r="C16" s="1" t="str">
        <x:v>936021</x:v>
      </x:c>
      <x:c r="D16" s="1" t="str">
        <x:v>yjgxkfv</x:v>
      </x:c>
      <x:c r="E16" s="1" t="str">
        <x:v>B4</x:v>
      </x:c>
      <x:c r="F16" s="1" t="n">
        <x:v>2</x:v>
      </x:c>
      <x:c r="G16" s="1" t="n">
        <x:v>2</x:v>
      </x:c>
      <x:c r="H16" s="1" t="n">
        <x:v>2395</x:v>
      </x:c>
      <x:c r="I16" s="1" t="n">
        <x:v>2395</x:v>
      </x:c>
      <x:c r="J16" s="1" t="str">
        <x:v>$2,395</x:v>
      </x:c>
      <x:c r="K16" s="1" t="str">
        <x:v>$2,531</x:v>
      </x:c>
      <x:c r="L16" s="1" t="str">
        <x:v>false</x:v>
      </x:c>
      <x:c r="M16" s="1" t="str">
        <x:v>1,392 sq. ft.</x:v>
      </x:c>
      <x:c r="N16" s="1" t="n">
        <x:v>2</x:v>
      </x:c>
      <x:c r="O16" s="1" t="str">
        <x:v>AvailableNow</x:v>
      </x:c>
      <x:c r="P16" s="1" t="str">
        <x:v>Rentals Available</x:v>
      </x:c>
      <x:c r="Q16" s="1" t="n">
        <x:v>46217.99998842592</x:v>
      </x:c>
      <x:c r="R16" s="1" t="str"/>
      <x:c r="S16" s="1" t="str"/>
      <x:c r="T16" s="1" t="str"/>
      <x:c r="U16" s="1" t="str"/>
      <x:c r="V16" s="1" t="str"/>
      <x:c r="W16" s="1" t="str"/>
      <x:c r="X16" s="1" t="str">
        <x:v>false</x:v>
      </x:c>
      <x:c r="Y16" s="1" t="str">
        <x:v>false</x:v>
      </x:c>
      <x:c r="Z16" s="1" t="str">
        <x:v>[]</x:v>
      </x:c>
    </x:row>
    <x:row r="17" ht="15" hidden="0" customHeight="1">
      <x:c r="A17" s="1" t="str">
        <x:v>kele8mc</x:v>
      </x:c>
      <x:c r="B17" s="5" t="str">
        <x:v>Lofts at Lakeview</x:v>
      </x:c>
      <x:c r="C17" s="1" t="str">
        <x:v>935999</x:v>
      </x:c>
      <x:c r="D17" s="1" t="str">
        <x:v>heyl6b0</x:v>
      </x:c>
      <x:c r="E17" s="1" t="str">
        <x:v>B6</x:v>
      </x:c>
      <x:c r="F17" s="1" t="n">
        <x:v>2</x:v>
      </x:c>
      <x:c r="G17" s="1" t="n">
        <x:v>2</x:v>
      </x:c>
      <x:c r="H17" s="1" t="n">
        <x:v>2895</x:v>
      </x:c>
      <x:c r="I17" s="1" t="n">
        <x:v>2895</x:v>
      </x:c>
      <x:c r="J17" s="1" t="str">
        <x:v>$2,895</x:v>
      </x:c>
      <x:c r="K17" s="1" t="str">
        <x:v>$3,031</x:v>
      </x:c>
      <x:c r="L17" s="1" t="str">
        <x:v>false</x:v>
      </x:c>
      <x:c r="M17" s="1" t="str">
        <x:v>1,455 sq. ft.</x:v>
      </x:c>
      <x:c r="N17" s="1" t="n">
        <x:v>2</x:v>
      </x:c>
      <x:c r="O17" s="1" t="str">
        <x:v>AvailableNow</x:v>
      </x:c>
      <x:c r="P17" s="1" t="str">
        <x:v>Rentals Available</x:v>
      </x:c>
      <x:c r="Q17" s="1" t="n">
        <x:v>46195.99998842592</x:v>
      </x:c>
      <x:c r="R17" s="1" t="str"/>
      <x:c r="S17" s="1" t="str"/>
      <x:c r="T17" s="1" t="str"/>
      <x:c r="U17" s="1" t="str"/>
      <x:c r="V17" s="1" t="str"/>
      <x:c r="W17" s="1" t="str"/>
      <x:c r="X17" s="1" t="str">
        <x:v>false</x:v>
      </x:c>
      <x:c r="Y17" s="1" t="str">
        <x:v>false</x:v>
      </x:c>
      <x:c r="Z17" s="1" t="str">
        <x:v>[]</x:v>
      </x:c>
    </x:row>
    <x:row r="18" ht="15" hidden="0" customHeight="1">
      <x:c r="A18" s="1" t="str">
        <x:v>kele8mc</x:v>
      </x:c>
      <x:c r="B18" s="5" t="str">
        <x:v>Lofts at Lakeview</x:v>
      </x:c>
      <x:c r="C18" s="1" t="str">
        <x:v>936010</x:v>
      </x:c>
      <x:c r="D18" s="1" t="str">
        <x:v>qv5fryw</x:v>
      </x:c>
      <x:c r="E18" s="1" t="str">
        <x:v>B10</x:v>
      </x:c>
      <x:c r="F18" s="1" t="n">
        <x:v>2</x:v>
      </x:c>
      <x:c r="G18" s="1" t="n">
        <x:v>2</x:v>
      </x:c>
      <x:c r="H18" s="1" t="n">
        <x:v>2195</x:v>
      </x:c>
      <x:c r="I18" s="1" t="n">
        <x:v>2195</x:v>
      </x:c>
      <x:c r="J18" s="1" t="str">
        <x:v>$2,195</x:v>
      </x:c>
      <x:c r="K18" s="1" t="str">
        <x:v>$2,331</x:v>
      </x:c>
      <x:c r="L18" s="1" t="str">
        <x:v>false</x:v>
      </x:c>
      <x:c r="M18" s="1" t="str">
        <x:v>1,531 sq. ft.</x:v>
      </x:c>
      <x:c r="N18" s="1" t="n">
        <x:v>1</x:v>
      </x:c>
      <x:c r="O18" s="1" t="str">
        <x:v>AvailableNow</x:v>
      </x:c>
      <x:c r="P18" s="1" t="str">
        <x:v>Rentals Available</x:v>
      </x:c>
      <x:c r="Q18" s="1" t="n">
        <x:v>46262.99998842592</x:v>
      </x:c>
      <x:c r="R18" s="1" t="str"/>
      <x:c r="S18" s="1" t="str"/>
      <x:c r="T18" s="1" t="str"/>
      <x:c r="U18" s="1" t="str"/>
      <x:c r="V18" s="1" t="str"/>
      <x:c r="W18" s="1" t="str"/>
      <x:c r="X18" s="1" t="str">
        <x:v>false</x:v>
      </x:c>
      <x:c r="Y18" s="1" t="str">
        <x:v>false</x:v>
      </x:c>
      <x:c r="Z18" s="1" t="str">
        <x:v>[]</x:v>
      </x:c>
    </x:row>
    <x:row r="19" ht="15" hidden="0" customHeight="1">
      <x:c r="A19" s="1" t="str">
        <x:v>kele8mc</x:v>
      </x:c>
      <x:c r="B19" s="5" t="str">
        <x:v>Lofts at Lakeview</x:v>
      </x:c>
      <x:c r="C19" s="1" t="str">
        <x:v>936012</x:v>
      </x:c>
      <x:c r="D19" s="1" t="str">
        <x:v>t7qsmx9</x:v>
      </x:c>
      <x:c r="E19" s="1" t="str">
        <x:v>B11</x:v>
      </x:c>
      <x:c r="F19" s="1" t="n">
        <x:v>2</x:v>
      </x:c>
      <x:c r="G19" s="1" t="n">
        <x:v>2</x:v>
      </x:c>
      <x:c r="H19" s="1" t="n">
        <x:v>2195</x:v>
      </x:c>
      <x:c r="I19" s="1" t="n">
        <x:v>2195</x:v>
      </x:c>
      <x:c r="J19" s="1" t="str">
        <x:v>$2,195</x:v>
      </x:c>
      <x:c r="K19" s="1" t="str">
        <x:v>$2,331</x:v>
      </x:c>
      <x:c r="L19" s="1" t="str">
        <x:v>false</x:v>
      </x:c>
      <x:c r="M19" s="1" t="str">
        <x:v>1,531 sq. ft.</x:v>
      </x:c>
      <x:c r="N19" s="1" t="n">
        <x:v>1</x:v>
      </x:c>
      <x:c r="O19" s="1" t="str">
        <x:v>AvailableNow</x:v>
      </x:c>
      <x:c r="P19" s="1" t="str">
        <x:v>Rentals Available</x:v>
      </x:c>
      <x:c r="Q19" s="1" t="n">
        <x:v>46170.99998842592</x:v>
      </x:c>
      <x:c r="R19" s="1" t="str"/>
      <x:c r="S19" s="1" t="str"/>
      <x:c r="T19" s="1" t="str"/>
      <x:c r="U19" s="1" t="str"/>
      <x:c r="V19" s="1" t="str"/>
      <x:c r="W19" s="1" t="str"/>
      <x:c r="X19" s="1" t="str">
        <x:v>false</x:v>
      </x:c>
      <x:c r="Y19" s="1" t="str">
        <x:v>false</x:v>
      </x:c>
      <x:c r="Z19" s="1" t="str">
        <x:v>[]</x:v>
      </x:c>
    </x:row>
    <x:row r="20" ht="15" hidden="0" customHeight="1">
      <x:c r="A20" s="1" t="str">
        <x:v>kele8mc</x:v>
      </x:c>
      <x:c r="B20" s="5" t="str">
        <x:v>Lofts at Lakeview</x:v>
      </x:c>
      <x:c r="C20" s="1" t="str">
        <x:v>936016</x:v>
      </x:c>
      <x:c r="D20" s="1" t="str">
        <x:v>t0cslnc</x:v>
      </x:c>
      <x:c r="E20" s="1" t="str">
        <x:v>B13</x:v>
      </x:c>
      <x:c r="F20" s="1" t="n">
        <x:v>2</x:v>
      </x:c>
      <x:c r="G20" s="1" t="n">
        <x:v>2</x:v>
      </x:c>
      <x:c r="H20" s="1" t="n">
        <x:v>2995</x:v>
      </x:c>
      <x:c r="I20" s="1" t="n">
        <x:v>2995</x:v>
      </x:c>
      <x:c r="J20" s="1" t="str">
        <x:v>$2,995</x:v>
      </x:c>
      <x:c r="K20" s="1" t="str">
        <x:v>$3,131</x:v>
      </x:c>
      <x:c r="L20" s="1" t="str">
        <x:v>false</x:v>
      </x:c>
      <x:c r="M20" s="1" t="str">
        <x:v>1,672 sq. ft.</x:v>
      </x:c>
      <x:c r="N20" s="1" t="n">
        <x:v>1</x:v>
      </x:c>
      <x:c r="O20" s="1" t="str">
        <x:v>AvailableNow</x:v>
      </x:c>
      <x:c r="P20" s="1" t="str">
        <x:v>Rentals Available</x:v>
      </x:c>
      <x:c r="Q20" s="1" t="n">
        <x:v>45514.99998842592</x:v>
      </x:c>
      <x:c r="R20" s="1" t="str"/>
      <x:c r="S20" s="1" t="str"/>
      <x:c r="T20" s="1" t="str"/>
      <x:c r="U20" s="1" t="str"/>
      <x:c r="V20" s="1" t="str"/>
      <x:c r="W20" s="1" t="str"/>
      <x:c r="X20" s="1" t="str">
        <x:v>false</x:v>
      </x:c>
      <x:c r="Y20" s="1" t="str">
        <x:v>false</x:v>
      </x:c>
      <x:c r="Z20" s="1" t="str">
        <x:v>[]</x:v>
      </x:c>
    </x:row>
    <x:row r="21" ht="15" hidden="0" customHeight="1">
      <x:c r="A21" s="1" t="str">
        <x:v>kele8mc</x:v>
      </x:c>
      <x:c r="B21" s="5" t="str">
        <x:v>Lofts at Lakeview</x:v>
      </x:c>
      <x:c r="C21" s="1" t="str">
        <x:v>936014</x:v>
      </x:c>
      <x:c r="D21" s="1" t="str">
        <x:v>08833y3</x:v>
      </x:c>
      <x:c r="E21" s="1" t="str">
        <x:v>B12</x:v>
      </x:c>
      <x:c r="F21" s="1" t="n">
        <x:v>2</x:v>
      </x:c>
      <x:c r="G21" s="1" t="n">
        <x:v>2</x:v>
      </x:c>
      <x:c r="H21" s="1" t="str"/>
      <x:c r="I21" s="1" t="str"/>
      <x:c r="J21" s="1" t="str"/>
      <x:c r="K21" s="1" t="str"/>
      <x:c r="L21" s="1" t="str">
        <x:v>false</x:v>
      </x:c>
      <x:c r="M21" s="1" t="str">
        <x:v>1,580 sq. ft.</x:v>
      </x:c>
      <x:c r="N21" s="1" t="n">
        <x:v>0</x:v>
      </x:c>
      <x:c r="O21" s="1" t="str">
        <x:v>AvailableSoon</x:v>
      </x:c>
      <x:c r="P21" s="1" t="str">
        <x:v>Available Soon</x:v>
      </x:c>
      <x:c r="Q21" s="1" t="str"/>
      <x:c r="R21" s="1" t="str"/>
      <x:c r="S21" s="1" t="str"/>
      <x:c r="T21" s="1" t="str"/>
      <x:c r="U21" s="1" t="str"/>
      <x:c r="V21" s="1" t="str"/>
      <x:c r="W21" s="1" t="str"/>
      <x:c r="X21" s="1" t="str">
        <x:v>false</x:v>
      </x:c>
      <x:c r="Y21" s="1" t="str">
        <x:v>false</x:v>
      </x:c>
      <x:c r="Z21" s="1" t="str">
        <x:v>[]</x:v>
      </x:c>
    </x:row>
    <x:row r="22" ht="15" hidden="0" customHeight="1">
      <x:c r="A22" s="1" t="str">
        <x:v>kele8mc</x:v>
      </x:c>
      <x:c r="B22" s="5" t="str">
        <x:v>Lofts at Lakeview</x:v>
      </x:c>
      <x:c r="C22" s="1" t="str">
        <x:v>936017</x:v>
      </x:c>
      <x:c r="D22" s="1" t="str">
        <x:v>vgm2wvg</x:v>
      </x:c>
      <x:c r="E22" s="1" t="str">
        <x:v>B1</x:v>
      </x:c>
      <x:c r="F22" s="1" t="n">
        <x:v>2</x:v>
      </x:c>
      <x:c r="G22" s="1" t="n">
        <x:v>2</x:v>
      </x:c>
      <x:c r="H22" s="1" t="str"/>
      <x:c r="I22" s="1" t="str"/>
      <x:c r="J22" s="1" t="str"/>
      <x:c r="K22" s="1" t="str"/>
      <x:c r="L22" s="1" t="str">
        <x:v>false</x:v>
      </x:c>
      <x:c r="M22" s="1" t="str">
        <x:v>1,202 sq. ft.</x:v>
      </x:c>
      <x:c r="N22" s="1" t="n">
        <x:v>0</x:v>
      </x:c>
      <x:c r="O22" s="1" t="str">
        <x:v>AvailableSoon</x:v>
      </x:c>
      <x:c r="P22" s="1" t="str">
        <x:v>Available Soon</x:v>
      </x:c>
      <x:c r="Q22" s="1" t="str"/>
      <x:c r="R22" s="1" t="str"/>
      <x:c r="S22" s="1" t="str"/>
      <x:c r="T22" s="1" t="str"/>
      <x:c r="U22" s="1" t="str"/>
      <x:c r="V22" s="1" t="str"/>
      <x:c r="W22" s="1" t="str"/>
      <x:c r="X22" s="1" t="str">
        <x:v>false</x:v>
      </x:c>
      <x:c r="Y22" s="1" t="str">
        <x:v>false</x:v>
      </x:c>
      <x:c r="Z22" s="1" t="str">
        <x:v>[]</x:v>
      </x:c>
    </x:row>
    <x:row r="23" ht="15" hidden="0" customHeight="1">
      <x:c r="A23" s="1" t="str">
        <x:v>kele8mc</x:v>
      </x:c>
      <x:c r="B23" s="5" t="str">
        <x:v>Lofts at Lakeview</x:v>
      </x:c>
      <x:c r="C23" s="1" t="str">
        <x:v>936020</x:v>
      </x:c>
      <x:c r="D23" s="1" t="str">
        <x:v>msfq29l</x:v>
      </x:c>
      <x:c r="E23" s="1" t="str">
        <x:v>B2</x:v>
      </x:c>
      <x:c r="F23" s="1" t="n">
        <x:v>2</x:v>
      </x:c>
      <x:c r="G23" s="1" t="n">
        <x:v>2</x:v>
      </x:c>
      <x:c r="H23" s="1" t="str"/>
      <x:c r="I23" s="1" t="str"/>
      <x:c r="J23" s="1" t="str"/>
      <x:c r="K23" s="1" t="str"/>
      <x:c r="L23" s="1" t="str">
        <x:v>false</x:v>
      </x:c>
      <x:c r="M23" s="1" t="str">
        <x:v>1,220 sq. ft.</x:v>
      </x:c>
      <x:c r="N23" s="1" t="n">
        <x:v>0</x:v>
      </x:c>
      <x:c r="O23" s="1" t="str">
        <x:v>AvailableSoon</x:v>
      </x:c>
      <x:c r="P23" s="1" t="str">
        <x:v>Available Soon</x:v>
      </x:c>
      <x:c r="Q23" s="1" t="str"/>
      <x:c r="R23" s="1" t="str"/>
      <x:c r="S23" s="1" t="str"/>
      <x:c r="T23" s="1" t="str"/>
      <x:c r="U23" s="1" t="str"/>
      <x:c r="V23" s="1" t="str"/>
      <x:c r="W23" s="1" t="str"/>
      <x:c r="X23" s="1" t="str">
        <x:v>false</x:v>
      </x:c>
      <x:c r="Y23" s="1" t="str">
        <x:v>false</x:v>
      </x:c>
      <x:c r="Z23" s="1" t="str">
        <x:v>[]</x:v>
      </x:c>
    </x:row>
    <x:row r="24" ht="15" hidden="0" customHeight="1">
      <x:c r="A24" s="1" t="str">
        <x:v>kele8mc</x:v>
      </x:c>
      <x:c r="B24" s="5" t="str">
        <x:v>Lofts at Lakeview</x:v>
      </x:c>
      <x:c r="C24" s="1" t="str">
        <x:v>936024</x:v>
      </x:c>
      <x:c r="D24" s="1" t="str">
        <x:v>0fh35f1</x:v>
      </x:c>
      <x:c r="E24" s="1" t="str">
        <x:v>B5</x:v>
      </x:c>
      <x:c r="F24" s="1" t="n">
        <x:v>2</x:v>
      </x:c>
      <x:c r="G24" s="1" t="n">
        <x:v>2</x:v>
      </x:c>
      <x:c r="H24" s="1" t="str"/>
      <x:c r="I24" s="1" t="str"/>
      <x:c r="J24" s="1" t="str"/>
      <x:c r="K24" s="1" t="str"/>
      <x:c r="L24" s="1" t="str">
        <x:v>false</x:v>
      </x:c>
      <x:c r="M24" s="1" t="str">
        <x:v>1,402 sq. ft.</x:v>
      </x:c>
      <x:c r="N24" s="1" t="n">
        <x:v>0</x:v>
      </x:c>
      <x:c r="O24" s="1" t="str">
        <x:v>AvailableSoon</x:v>
      </x:c>
      <x:c r="P24" s="1" t="str">
        <x:v>Available Soon</x:v>
      </x:c>
      <x:c r="Q24" s="1" t="str"/>
      <x:c r="R24" s="1" t="str"/>
      <x:c r="S24" s="1" t="str"/>
      <x:c r="T24" s="1" t="str"/>
      <x:c r="U24" s="1" t="str"/>
      <x:c r="V24" s="1" t="str"/>
      <x:c r="W24" s="1" t="str"/>
      <x:c r="X24" s="1" t="str">
        <x:v>false</x:v>
      </x:c>
      <x:c r="Y24" s="1" t="str">
        <x:v>false</x:v>
      </x:c>
      <x:c r="Z24" s="1" t="str">
        <x:v>[]</x:v>
      </x:c>
    </x:row>
    <x:row r="25" ht="15" hidden="0" customHeight="1">
      <x:c r="A25" s="1" t="str">
        <x:v>ocpet5b7hm</x:v>
      </x:c>
      <x:c r="B25" s="5" t="str">
        <x:v>Modern/High Ceilings 2bed/2 bath</x:v>
      </x:c>
      <x:c r="C25" s="1" t="str">
        <x:v>1</x:v>
      </x:c>
      <x:c r="D25" s="1" t="str">
        <x:v>q2j0gkx</x:v>
      </x:c>
      <x:c r="E25" s="1" t="str"/>
      <x:c r="F25" s="1" t="n">
        <x:v>2</x:v>
      </x:c>
      <x:c r="G25" s="1" t="n">
        <x:v>2</x:v>
      </x:c>
      <x:c r="H25" s="1" t="n">
        <x:v>1250</x:v>
      </x:c>
      <x:c r="I25" s="1" t="n">
        <x:v>1250</x:v>
      </x:c>
      <x:c r="J25" s="1" t="str">
        <x:v>$1,250</x:v>
      </x:c>
      <x:c r="K25" s="1" t="str">
        <x:v>$1,250</x:v>
      </x:c>
      <x:c r="L25" s="1" t="str">
        <x:v>true</x:v>
      </x:c>
      <x:c r="M25" s="1" t="str">
        <x:v>950 sq. ft.</x:v>
      </x:c>
      <x:c r="N25" s="1" t="n">
        <x:v>1</x:v>
      </x:c>
      <x:c r="O25" s="1" t="str">
        <x:v>AvailableNow</x:v>
      </x:c>
      <x:c r="P25" s="1" t="str">
        <x:v>Rentals Available</x:v>
      </x:c>
      <x:c r="Q25" s="1" t="n">
        <x:v>46210.99998842592</x:v>
      </x:c>
      <x:c r="R25" s="1" t="str"/>
      <x:c r="S25" s="1" t="str"/>
      <x:c r="T25" s="1" t="str">
        <x:v>N/A</x:v>
      </x:c>
      <x:c r="U25" s="1" t="str">
        <x:v>N/A</x:v>
      </x:c>
      <x:c r="V25" s="1" t="str">
        <x:v>2</x:v>
      </x:c>
      <x:c r="W25" s="1" t="str"/>
      <x:c r="X25" s="1" t="str">
        <x:v>false</x:v>
      </x:c>
      <x:c r="Y25" s="1" t="str">
        <x:v>false</x:v>
      </x:c>
      <x:c r="Z25" s="1" t="str">
        <x:v>[]</x:v>
      </x:c>
    </x:row>
    <x:row r="26" ht="15" hidden="0" customHeight="1">
      <x:c r="A26" s="1" t="str">
        <x:v>59xvx3n</x:v>
      </x:c>
      <x:c r="B26" s="5" t="str">
        <x:v>Aventura RTP</x:v>
      </x:c>
      <x:c r="C26" s="1" t="str">
        <x:v>1087288</x:v>
      </x:c>
      <x:c r="D26" s="1" t="str">
        <x:v>jx9ntw7</x:v>
      </x:c>
      <x:c r="E26" s="1" t="str">
        <x:v>A2</x:v>
      </x:c>
      <x:c r="F26" s="1" t="n">
        <x:v>1</x:v>
      </x:c>
      <x:c r="G26" s="1" t="n">
        <x:v>1</x:v>
      </x:c>
      <x:c r="H26" s="1" t="n">
        <x:v>1315</x:v>
      </x:c>
      <x:c r="I26" s="1" t="n">
        <x:v>1495</x:v>
      </x:c>
      <x:c r="J26" s="1" t="str">
        <x:v>$1,315 - $1,495</x:v>
      </x:c>
      <x:c r="K26" s="1" t="str">
        <x:v>$1,463 - $1,643</x:v>
      </x:c>
      <x:c r="L26" s="1" t="str">
        <x:v>false</x:v>
      </x:c>
      <x:c r="M26" s="1" t="str">
        <x:v>852 sq. ft.</x:v>
      </x:c>
      <x:c r="N26" s="1" t="n">
        <x:v>5</x:v>
      </x:c>
      <x:c r="O26" s="1" t="str">
        <x:v>AvailableNow</x:v>
      </x:c>
      <x:c r="P26" s="1" t="str">
        <x:v>Rentals Available</x:v>
      </x:c>
      <x:c r="Q26" s="1" t="n">
        <x:v>46268.99998842592</x:v>
      </x:c>
      <x:c r="R26" s="1" t="str"/>
      <x:c r="S26" s="1" t="str"/>
      <x:c r="T26" s="1" t="str"/>
      <x:c r="U26" s="1" t="str"/>
      <x:c r="V26" s="1" t="str"/>
      <x:c r="W26" s="1" t="str"/>
      <x:c r="X26" s="1" t="str">
        <x:v>false</x:v>
      </x:c>
      <x:c r="Y26" s="1" t="str">
        <x:v>false</x:v>
      </x:c>
      <x:c r="Z26" s="1" t="str">
        <x:v>[]</x:v>
      </x:c>
    </x:row>
    <x:row r="27" ht="15" hidden="0" customHeight="1">
      <x:c r="A27" s="1" t="str">
        <x:v>59xvx3n</x:v>
      </x:c>
      <x:c r="B27" s="5" t="str">
        <x:v>Aventura RTP</x:v>
      </x:c>
      <x:c r="C27" s="1" t="str">
        <x:v>1986801</x:v>
      </x:c>
      <x:c r="D27" s="1" t="str">
        <x:v>97nm1r4</x:v>
      </x:c>
      <x:c r="E27" s="1" t="str">
        <x:v>A1</x:v>
      </x:c>
      <x:c r="F27" s="1" t="n">
        <x:v>1</x:v>
      </x:c>
      <x:c r="G27" s="1" t="n">
        <x:v>1</x:v>
      </x:c>
      <x:c r="H27" s="1" t="n">
        <x:v>1149</x:v>
      </x:c>
      <x:c r="I27" s="1" t="n">
        <x:v>1518</x:v>
      </x:c>
      <x:c r="J27" s="1" t="str">
        <x:v>$1,149 - $1,518</x:v>
      </x:c>
      <x:c r="K27" s="1" t="str">
        <x:v>$1,297 - $1,666</x:v>
      </x:c>
      <x:c r="L27" s="1" t="str">
        <x:v>false</x:v>
      </x:c>
      <x:c r="M27" s="1" t="str">
        <x:v>621 sq. ft.</x:v>
      </x:c>
      <x:c r="N27" s="1" t="n">
        <x:v>4</x:v>
      </x:c>
      <x:c r="O27" s="1" t="str">
        <x:v>AvailableNow</x:v>
      </x:c>
      <x:c r="P27" s="1" t="str">
        <x:v>Rentals Available</x:v>
      </x:c>
      <x:c r="Q27" s="1" t="n">
        <x:v>46265.99998842592</x:v>
      </x:c>
      <x:c r="R27" s="1" t="str"/>
      <x:c r="S27" s="1" t="str"/>
      <x:c r="T27" s="1" t="str"/>
      <x:c r="U27" s="1" t="str"/>
      <x:c r="V27" s="1" t="str"/>
      <x:c r="W27" s="1" t="str"/>
      <x:c r="X27" s="1" t="str">
        <x:v>false</x:v>
      </x:c>
      <x:c r="Y27" s="1" t="str">
        <x:v>false</x:v>
      </x:c>
      <x:c r="Z27" s="1" t="str">
        <x:v>[]</x:v>
      </x:c>
    </x:row>
    <x:row r="28" ht="15" hidden="0" customHeight="1">
      <x:c r="A28" s="1" t="str">
        <x:v>59xvx3n</x:v>
      </x:c>
      <x:c r="B28" s="5" t="str">
        <x:v>Aventura RTP</x:v>
      </x:c>
      <x:c r="C28" s="1" t="str">
        <x:v>1986798</x:v>
      </x:c>
      <x:c r="D28" s="1" t="str">
        <x:v>388ypqf</x:v>
      </x:c>
      <x:c r="E28" s="1" t="str">
        <x:v>B6</x:v>
      </x:c>
      <x:c r="F28" s="1" t="n">
        <x:v>2</x:v>
      </x:c>
      <x:c r="G28" s="1" t="n">
        <x:v>2</x:v>
      </x:c>
      <x:c r="H28" s="1" t="n">
        <x:v>1597</x:v>
      </x:c>
      <x:c r="I28" s="1" t="n">
        <x:v>1762</x:v>
      </x:c>
      <x:c r="J28" s="1" t="str">
        <x:v>$1,597 - $1,762</x:v>
      </x:c>
      <x:c r="K28" s="1" t="str">
        <x:v>$1,745 - $1,910</x:v>
      </x:c>
      <x:c r="L28" s="1" t="str">
        <x:v>false</x:v>
      </x:c>
      <x:c r="M28" s="1" t="str">
        <x:v>1,305 sq. ft.</x:v>
      </x:c>
      <x:c r="N28" s="1" t="n">
        <x:v>5</x:v>
      </x:c>
      <x:c r="O28" s="1" t="str">
        <x:v>AvailableNow</x:v>
      </x:c>
      <x:c r="P28" s="1" t="str">
        <x:v>Rentals Available</x:v>
      </x:c>
      <x:c r="Q28" s="1" t="n">
        <x:v>46178.99998842592</x:v>
      </x:c>
      <x:c r="R28" s="1" t="str"/>
      <x:c r="S28" s="1" t="str"/>
      <x:c r="T28" s="1" t="str"/>
      <x:c r="U28" s="1" t="str"/>
      <x:c r="V28" s="1" t="str"/>
      <x:c r="W28" s="1" t="str"/>
      <x:c r="X28" s="1" t="str">
        <x:v>false</x:v>
      </x:c>
      <x:c r="Y28" s="1" t="str">
        <x:v>false</x:v>
      </x:c>
      <x:c r="Z28" s="1" t="str">
        <x:v>[]</x:v>
      </x:c>
    </x:row>
    <x:row r="29" ht="15" hidden="0" customHeight="1">
      <x:c r="A29" s="1" t="str">
        <x:v>59xvx3n</x:v>
      </x:c>
      <x:c r="B29" s="5" t="str">
        <x:v>Aventura RTP</x:v>
      </x:c>
      <x:c r="C29" s="1" t="str">
        <x:v>1986800</x:v>
      </x:c>
      <x:c r="D29" s="1" t="str">
        <x:v>14rw2p5</x:v>
      </x:c>
      <x:c r="E29" s="1" t="str">
        <x:v>B5</x:v>
      </x:c>
      <x:c r="F29" s="1" t="n">
        <x:v>2</x:v>
      </x:c>
      <x:c r="G29" s="1" t="n">
        <x:v>2</x:v>
      </x:c>
      <x:c r="H29" s="1" t="n">
        <x:v>1602</x:v>
      </x:c>
      <x:c r="I29" s="1" t="n">
        <x:v>1652</x:v>
      </x:c>
      <x:c r="J29" s="1" t="str">
        <x:v>$1,602 - $1,652</x:v>
      </x:c>
      <x:c r="K29" s="1" t="str">
        <x:v>$1,750 - $1,800</x:v>
      </x:c>
      <x:c r="L29" s="1" t="str">
        <x:v>false</x:v>
      </x:c>
      <x:c r="M29" s="1" t="str">
        <x:v>1,248 sq. ft.</x:v>
      </x:c>
      <x:c r="N29" s="1" t="n">
        <x:v>5</x:v>
      </x:c>
      <x:c r="O29" s="1" t="str">
        <x:v>AvailableNow</x:v>
      </x:c>
      <x:c r="P29" s="1" t="str">
        <x:v>Rentals Available</x:v>
      </x:c>
      <x:c r="Q29" s="1" t="n">
        <x:v>46178.99998842592</x:v>
      </x:c>
      <x:c r="R29" s="1" t="str"/>
      <x:c r="S29" s="1" t="str"/>
      <x:c r="T29" s="1" t="str"/>
      <x:c r="U29" s="1" t="str"/>
      <x:c r="V29" s="1" t="str"/>
      <x:c r="W29" s="1" t="str"/>
      <x:c r="X29" s="1" t="str">
        <x:v>false</x:v>
      </x:c>
      <x:c r="Y29" s="1" t="str">
        <x:v>false</x:v>
      </x:c>
      <x:c r="Z29" s="1" t="str">
        <x:v>[]</x:v>
      </x:c>
    </x:row>
    <x:row r="30" ht="15" hidden="0" customHeight="1">
      <x:c r="A30" s="1" t="str">
        <x:v>59xvx3n</x:v>
      </x:c>
      <x:c r="B30" s="5" t="str">
        <x:v>Aventura RTP</x:v>
      </x:c>
      <x:c r="C30" s="1" t="str">
        <x:v>2397637</x:v>
      </x:c>
      <x:c r="D30" s="1" t="str">
        <x:v>f6d14gt</x:v>
      </x:c>
      <x:c r="E30" s="1" t="str">
        <x:v>B2</x:v>
      </x:c>
      <x:c r="F30" s="1" t="n">
        <x:v>2</x:v>
      </x:c>
      <x:c r="G30" s="1" t="n">
        <x:v>2</x:v>
      </x:c>
      <x:c r="H30" s="1" t="n">
        <x:v>1506</x:v>
      </x:c>
      <x:c r="I30" s="1" t="n">
        <x:v>1586</x:v>
      </x:c>
      <x:c r="J30" s="1" t="str">
        <x:v>$1,506 - $1,586</x:v>
      </x:c>
      <x:c r="K30" s="1" t="str">
        <x:v>$1,654 - $1,734</x:v>
      </x:c>
      <x:c r="L30" s="1" t="str">
        <x:v>false</x:v>
      </x:c>
      <x:c r="M30" s="1" t="str">
        <x:v>1,174 sq. ft.</x:v>
      </x:c>
      <x:c r="N30" s="1" t="n">
        <x:v>3</x:v>
      </x:c>
      <x:c r="O30" s="1" t="str">
        <x:v>AvailableNow</x:v>
      </x:c>
      <x:c r="P30" s="1" t="str">
        <x:v>Rentals Available</x:v>
      </x:c>
      <x:c r="Q30" s="1" t="n">
        <x:v>46181.99998842592</x:v>
      </x:c>
      <x:c r="R30" s="1" t="str"/>
      <x:c r="S30" s="1" t="str"/>
      <x:c r="T30" s="1" t="str"/>
      <x:c r="U30" s="1" t="str"/>
      <x:c r="V30" s="1" t="str"/>
      <x:c r="W30" s="1" t="str"/>
      <x:c r="X30" s="1" t="str">
        <x:v>false</x:v>
      </x:c>
      <x:c r="Y30" s="1" t="str">
        <x:v>false</x:v>
      </x:c>
      <x:c r="Z30" s="1" t="str">
        <x:v>[]</x:v>
      </x:c>
    </x:row>
    <x:row r="31" ht="15" hidden="0" customHeight="1">
      <x:c r="A31" s="1" t="str">
        <x:v>59xvx3n</x:v>
      </x:c>
      <x:c r="B31" s="5" t="str">
        <x:v>Aventura RTP</x:v>
      </x:c>
      <x:c r="C31" s="1" t="str">
        <x:v>1986788</x:v>
      </x:c>
      <x:c r="D31" s="1" t="str">
        <x:v>j5yd325</x:v>
      </x:c>
      <x:c r="E31" s="1" t="str">
        <x:v>B1</x:v>
      </x:c>
      <x:c r="F31" s="1" t="n">
        <x:v>2</x:v>
      </x:c>
      <x:c r="G31" s="1" t="n">
        <x:v>2</x:v>
      </x:c>
      <x:c r="H31" s="1" t="n">
        <x:v>1516</x:v>
      </x:c>
      <x:c r="I31" s="1" t="n">
        <x:v>1571</x:v>
      </x:c>
      <x:c r="J31" s="1" t="str">
        <x:v>$1,516 - $1,571</x:v>
      </x:c>
      <x:c r="K31" s="1" t="str">
        <x:v>$1,664 - $1,719</x:v>
      </x:c>
      <x:c r="L31" s="1" t="str">
        <x:v>false</x:v>
      </x:c>
      <x:c r="M31" s="1" t="str">
        <x:v>1,052 sq. ft.</x:v>
      </x:c>
      <x:c r="N31" s="1" t="n">
        <x:v>3</x:v>
      </x:c>
      <x:c r="O31" s="1" t="str">
        <x:v>AvailableNow</x:v>
      </x:c>
      <x:c r="P31" s="1" t="str">
        <x:v>Rentals Available</x:v>
      </x:c>
      <x:c r="Q31" s="1" t="n">
        <x:v>46185.99998842592</x:v>
      </x:c>
      <x:c r="R31" s="1" t="str"/>
      <x:c r="S31" s="1" t="str"/>
      <x:c r="T31" s="1" t="str"/>
      <x:c r="U31" s="1" t="str"/>
      <x:c r="V31" s="1" t="str"/>
      <x:c r="W31" s="1" t="str"/>
      <x:c r="X31" s="1" t="str">
        <x:v>false</x:v>
      </x:c>
      <x:c r="Y31" s="1" t="str">
        <x:v>false</x:v>
      </x:c>
      <x:c r="Z31" s="1" t="str">
        <x:v>[]</x:v>
      </x:c>
    </x:row>
    <x:row r="32" ht="15" hidden="0" customHeight="1">
      <x:c r="A32" s="1" t="str">
        <x:v>59xvx3n</x:v>
      </x:c>
      <x:c r="B32" s="5" t="str">
        <x:v>Aventura RTP</x:v>
      </x:c>
      <x:c r="C32" s="1" t="str">
        <x:v>2397639</x:v>
      </x:c>
      <x:c r="D32" s="1" t="str">
        <x:v>3x2pg4e</x:v>
      </x:c>
      <x:c r="E32" s="1" t="str">
        <x:v>B3</x:v>
      </x:c>
      <x:c r="F32" s="1" t="n">
        <x:v>2</x:v>
      </x:c>
      <x:c r="G32" s="1" t="n">
        <x:v>2</x:v>
      </x:c>
      <x:c r="H32" s="1" t="n">
        <x:v>1542</x:v>
      </x:c>
      <x:c r="I32" s="1" t="n">
        <x:v>1617</x:v>
      </x:c>
      <x:c r="J32" s="1" t="str">
        <x:v>$1,542 - $1,617</x:v>
      </x:c>
      <x:c r="K32" s="1" t="str">
        <x:v>$1,690 - $1,765</x:v>
      </x:c>
      <x:c r="L32" s="1" t="str">
        <x:v>false</x:v>
      </x:c>
      <x:c r="M32" s="1" t="str">
        <x:v>1,220 sq. ft.</x:v>
      </x:c>
      <x:c r="N32" s="1" t="n">
        <x:v>3</x:v>
      </x:c>
      <x:c r="O32" s="1" t="str">
        <x:v>AvailableNow</x:v>
      </x:c>
      <x:c r="P32" s="1" t="str">
        <x:v>Rentals Available</x:v>
      </x:c>
      <x:c r="Q32" s="1" t="n">
        <x:v>46160.99998842592</x:v>
      </x:c>
      <x:c r="R32" s="1" t="str"/>
      <x:c r="S32" s="1" t="str"/>
      <x:c r="T32" s="1" t="str"/>
      <x:c r="U32" s="1" t="str"/>
      <x:c r="V32" s="1" t="str"/>
      <x:c r="W32" s="1" t="str"/>
      <x:c r="X32" s="1" t="str">
        <x:v>false</x:v>
      </x:c>
      <x:c r="Y32" s="1" t="str">
        <x:v>false</x:v>
      </x:c>
      <x:c r="Z32" s="1" t="str">
        <x:v>[]</x:v>
      </x:c>
    </x:row>
    <x:row r="33" ht="15" hidden="0" customHeight="1">
      <x:c r="A33" s="1" t="str">
        <x:v>59xvx3n</x:v>
      </x:c>
      <x:c r="B33" s="5" t="str">
        <x:v>Aventura RTP</x:v>
      </x:c>
      <x:c r="C33" s="1" t="str">
        <x:v>1701715</x:v>
      </x:c>
      <x:c r="D33" s="1" t="str">
        <x:v>7fmz64y</x:v>
      </x:c>
      <x:c r="E33" s="1" t="str">
        <x:v>B4</x:v>
      </x:c>
      <x:c r="F33" s="1" t="n">
        <x:v>2</x:v>
      </x:c>
      <x:c r="G33" s="1" t="n">
        <x:v>2</x:v>
      </x:c>
      <x:c r="H33" s="1" t="n">
        <x:v>1675</x:v>
      </x:c>
      <x:c r="I33" s="1" t="n">
        <x:v>1675</x:v>
      </x:c>
      <x:c r="J33" s="1" t="str">
        <x:v>$1,675</x:v>
      </x:c>
      <x:c r="K33" s="1" t="str">
        <x:v>$1,823</x:v>
      </x:c>
      <x:c r="L33" s="1" t="str">
        <x:v>false</x:v>
      </x:c>
      <x:c r="M33" s="1" t="str">
        <x:v>1,242 sq. ft.</x:v>
      </x:c>
      <x:c r="N33" s="1" t="n">
        <x:v>2</x:v>
      </x:c>
      <x:c r="O33" s="1" t="str">
        <x:v>AvailableNow</x:v>
      </x:c>
      <x:c r="P33" s="1" t="str">
        <x:v>Rentals Available</x:v>
      </x:c>
      <x:c r="Q33" s="1" t="n">
        <x:v>46262.99998842592</x:v>
      </x:c>
      <x:c r="R33" s="1" t="str"/>
      <x:c r="S33" s="1" t="str"/>
      <x:c r="T33" s="1" t="str"/>
      <x:c r="U33" s="1" t="str"/>
      <x:c r="V33" s="1" t="str"/>
      <x:c r="W33" s="1" t="str"/>
      <x:c r="X33" s="1" t="str">
        <x:v>false</x:v>
      </x:c>
      <x:c r="Y33" s="1" t="str">
        <x:v>false</x:v>
      </x:c>
      <x:c r="Z33" s="1" t="str">
        <x:v>[]</x:v>
      </x:c>
    </x:row>
    <x:row r="34" ht="15" hidden="0" customHeight="1">
      <x:c r="A34" s="1" t="str">
        <x:v>59xvx3n</x:v>
      </x:c>
      <x:c r="B34" s="5" t="str">
        <x:v>Aventura RTP</x:v>
      </x:c>
      <x:c r="C34" s="1" t="str">
        <x:v>1986805</x:v>
      </x:c>
      <x:c r="D34" s="1" t="str">
        <x:v>pmsjtyv</x:v>
      </x:c>
      <x:c r="E34" s="1" t="str">
        <x:v>C1</x:v>
      </x:c>
      <x:c r="F34" s="1" t="n">
        <x:v>3</x:v>
      </x:c>
      <x:c r="G34" s="1" t="n">
        <x:v>2</x:v>
      </x:c>
      <x:c r="H34" s="1" t="n">
        <x:v>1876</x:v>
      </x:c>
      <x:c r="I34" s="1" t="n">
        <x:v>1946</x:v>
      </x:c>
      <x:c r="J34" s="1" t="str">
        <x:v>$1,876 - $1,946</x:v>
      </x:c>
      <x:c r="K34" s="1" t="str">
        <x:v>$2,024 - $2,094</x:v>
      </x:c>
      <x:c r="L34" s="1" t="str">
        <x:v>false</x:v>
      </x:c>
      <x:c r="M34" s="1" t="str">
        <x:v>1,444 sq. ft.</x:v>
      </x:c>
      <x:c r="N34" s="1" t="n">
        <x:v>5</x:v>
      </x:c>
      <x:c r="O34" s="1" t="str">
        <x:v>FutureDate</x:v>
      </x:c>
      <x:c r="P34" s="1" t="str">
        <x:v>Available Soon</x:v>
      </x:c>
      <x:c r="Q34" s="1" t="n">
        <x:v>46279.99998842592</x:v>
      </x:c>
      <x:c r="R34" s="1" t="str"/>
      <x:c r="S34" s="1" t="str"/>
      <x:c r="T34" s="1" t="str"/>
      <x:c r="U34" s="1" t="str"/>
      <x:c r="V34" s="1" t="str"/>
      <x:c r="W34" s="1" t="str"/>
      <x:c r="X34" s="1" t="str">
        <x:v>false</x:v>
      </x:c>
      <x:c r="Y34" s="1" t="str">
        <x:v>false</x:v>
      </x:c>
      <x:c r="Z34" s="1" t="str">
        <x:v>[]</x:v>
      </x:c>
    </x:row>
    <x:row r="35" ht="15" hidden="0" customHeight="1">
      <x:c r="A35" s="1" t="str">
        <x:v>ocpvcjy8we</x:v>
      </x:c>
      <x:c r="B35" s="5" t="str">
        <x:v>Rare 4 bedroom 4 full bath only $2200. per month</x:v>
      </x:c>
      <x:c r="C35" s="1" t="str">
        <x:v>1</x:v>
      </x:c>
      <x:c r="D35" s="1" t="str">
        <x:v>q2j0gkx</x:v>
      </x:c>
      <x:c r="E35" s="1" t="str"/>
      <x:c r="F35" s="1" t="n">
        <x:v>4</x:v>
      </x:c>
      <x:c r="G35" s="1" t="n">
        <x:v>4</x:v>
      </x:c>
      <x:c r="H35" s="1" t="n">
        <x:v>2200</x:v>
      </x:c>
      <x:c r="I35" s="1" t="n">
        <x:v>2200</x:v>
      </x:c>
      <x:c r="J35" s="1" t="str">
        <x:v>$2,200</x:v>
      </x:c>
      <x:c r="K35" s="1" t="str">
        <x:v>$2,200</x:v>
      </x:c>
      <x:c r="L35" s="1" t="str">
        <x:v>false</x:v>
      </x:c>
      <x:c r="M35" s="1" t="str">
        <x:v>1,200 sq. ft.</x:v>
      </x:c>
      <x:c r="N35" s="1" t="n">
        <x:v>1</x:v>
      </x:c>
      <x:c r="O35" s="1" t="str">
        <x:v>FutureDate</x:v>
      </x:c>
      <x:c r="P35" s="1" t="str">
        <x:v>Available Soon</x:v>
      </x:c>
      <x:c r="Q35" s="1" t="n">
        <x:v>46604.99998842592</x:v>
      </x:c>
      <x:c r="R35" s="1" t="str"/>
      <x:c r="S35" s="1" t="str"/>
      <x:c r="T35" s="1" t="str">
        <x:v>N/A</x:v>
      </x:c>
      <x:c r="U35" s="1" t="str">
        <x:v>N/A</x:v>
      </x:c>
      <x:c r="V35" s="1" t="str">
        <x:v>4</x:v>
      </x:c>
      <x:c r="W35" s="1" t="str"/>
      <x:c r="X35" s="1" t="str">
        <x:v>false</x:v>
      </x:c>
      <x:c r="Y35" s="1" t="str">
        <x:v>false</x:v>
      </x:c>
      <x:c r="Z35" s="1" t="str">
        <x:v>[]</x:v>
      </x:c>
    </x:row>
    <x:row r="36" ht="15" hidden="0" customHeight="1">
      <x:c r="A36" s="1" t="str">
        <x:v>7e6kx1w</x:v>
      </x:c>
      <x:c r="B36" s="5" t="str">
        <x:v>Centennial Ridge Student Housing</x:v>
      </x:c>
      <x:c r="C36" s="1" t="str">
        <x:v>2716169</x:v>
      </x:c>
      <x:c r="D36" s="1" t="str">
        <x:v>sn3nrn5</x:v>
      </x:c>
      <x:c r="E36" s="1" t="str">
        <x:v>3x3</x:v>
      </x:c>
      <x:c r="F36" s="1" t="n">
        <x:v>3</x:v>
      </x:c>
      <x:c r="G36" s="1" t="n">
        <x:v>3</x:v>
      </x:c>
      <x:c r="H36" s="1" t="n">
        <x:v>599</x:v>
      </x:c>
      <x:c r="I36" s="1" t="n">
        <x:v>2157</x:v>
      </x:c>
      <x:c r="J36" s="1" t="str">
        <x:v>$599 - $2,157</x:v>
      </x:c>
      <x:c r="K36" s="1" t="str">
        <x:v>$636 - $2,194</x:v>
      </x:c>
      <x:c r="L36" s="1" t="str">
        <x:v>true</x:v>
      </x:c>
      <x:c r="M36" s="1" t="str">
        <x:v>1,212 sq. ft.</x:v>
      </x:c>
      <x:c r="N36" s="1" t="n">
        <x:v>2</x:v>
      </x:c>
      <x:c r="O36" s="1" t="str">
        <x:v>AvailableNow</x:v>
      </x:c>
      <x:c r="P36" s="1" t="str">
        <x:v>Rentals Available</x:v>
      </x:c>
      <x:c r="Q36" s="1" t="n">
        <x:v>46248.99998842592</x:v>
      </x:c>
      <x:c r="R36" s="1" t="str"/>
      <x:c r="S36" s="1" t="str"/>
      <x:c r="T36" s="1" t="str"/>
      <x:c r="U36" s="1" t="str"/>
      <x:c r="V36" s="1" t="str">
        <x:v>3</x:v>
      </x:c>
      <x:c r="W36" s="1" t="str"/>
      <x:c r="X36" s="1" t="str">
        <x:v>false</x:v>
      </x:c>
      <x:c r="Y36" s="1" t="str">
        <x:v>false</x:v>
      </x:c>
      <x:c r="Z36" s="1" t="str">
        <x:v>[]</x:v>
      </x:c>
    </x:row>
    <x:row r="37" ht="24" hidden="0" customHeight="1">
      <x:c r="A37" s="1" t="str">
        <x:v>ocpw46rjcl</x:v>
      </x:c>
      <x:c r="B37" s="5" t="str">
        <x:v>Brand New Luxury Furnished Townhome | 4 Bed /  3.5 Bath | 5 Min to NC State &amp; 3 Mins to Fenton +shop</x:v>
      </x:c>
      <x:c r="C37" s="1" t="str">
        <x:v>1</x:v>
      </x:c>
      <x:c r="D37" s="1" t="str">
        <x:v>q2j0gkx</x:v>
      </x:c>
      <x:c r="E37" s="1" t="str"/>
      <x:c r="F37" s="1" t="n">
        <x:v>3</x:v>
      </x:c>
      <x:c r="G37" s="1" t="n">
        <x:v>2.5</x:v>
      </x:c>
      <x:c r="H37" s="1" t="n">
        <x:v>900</x:v>
      </x:c>
      <x:c r="I37" s="1" t="n">
        <x:v>1050</x:v>
      </x:c>
      <x:c r="J37" s="1" t="str">
        <x:v>$900 - $1,050</x:v>
      </x:c>
      <x:c r="K37" s="1" t="str">
        <x:v>$900 - $1,050</x:v>
      </x:c>
      <x:c r="L37" s="1" t="str">
        <x:v>true</x:v>
      </x:c>
      <x:c r="M37" s="1" t="str">
        <x:v>2,021 sq. ft.</x:v>
      </x:c>
      <x:c r="N37" s="1" t="n">
        <x:v>1</x:v>
      </x:c>
      <x:c r="O37" s="1" t="str">
        <x:v>AvailableNow</x:v>
      </x:c>
      <x:c r="P37" s="1" t="str">
        <x:v>Rentals Available</x:v>
      </x:c>
      <x:c r="Q37" s="1" t="n">
        <x:v>46235.99998842592</x:v>
      </x:c>
      <x:c r="R37" s="1" t="str"/>
      <x:c r="S37" s="1" t="str"/>
      <x:c r="T37" s="1" t="str">
        <x:v>N/A</x:v>
      </x:c>
      <x:c r="U37" s="1" t="str">
        <x:v>N/A</x:v>
      </x:c>
      <x:c r="V37" s="1" t="str">
        <x:v>4</x:v>
      </x:c>
      <x:c r="W37" s="1" t="str"/>
      <x:c r="X37" s="1" t="str">
        <x:v>false</x:v>
      </x:c>
      <x:c r="Y37" s="1" t="str">
        <x:v>false</x:v>
      </x:c>
      <x:c r="Z37" s="1" t="str">
        <x:v>[]</x:v>
      </x:c>
    </x:row>
    <x:row r="38" ht="15" hidden="0" customHeight="1">
      <x:c r="A38" s="1" t="str">
        <x:v>mc0h4yh</x:v>
      </x:c>
      <x:c r="B38" s="5" t="str">
        <x:v>The Reserve at Patterson Place</x:v>
      </x:c>
      <x:c r="C38" s="1" t="str">
        <x:v>2458955</x:v>
      </x:c>
      <x:c r="D38" s="1" t="str">
        <x:v>xx8z6vp</x:v>
      </x:c>
      <x:c r="E38" s="1" t="str">
        <x:v>C3</x:v>
      </x:c>
      <x:c r="F38" s="1" t="n">
        <x:v>1</x:v>
      </x:c>
      <x:c r="G38" s="1" t="n">
        <x:v>1</x:v>
      </x:c>
      <x:c r="H38" s="1" t="n">
        <x:v>1447</x:v>
      </x:c>
      <x:c r="I38" s="1" t="n">
        <x:v>1496</x:v>
      </x:c>
      <x:c r="J38" s="1" t="str">
        <x:v>$1,447 - $1,496</x:v>
      </x:c>
      <x:c r="K38" s="1" t="str">
        <x:v>$1,447 - $1,496</x:v>
      </x:c>
      <x:c r="L38" s="1" t="str">
        <x:v>false</x:v>
      </x:c>
      <x:c r="M38" s="1" t="str">
        <x:v>776 sq. ft.</x:v>
      </x:c>
      <x:c r="N38" s="1" t="n">
        <x:v>7</x:v>
      </x:c>
      <x:c r="O38" s="1" t="str">
        <x:v>AvailableNow</x:v>
      </x:c>
      <x:c r="P38" s="1" t="str">
        <x:v>Rentals Available</x:v>
      </x:c>
      <x:c r="Q38" s="1" t="n">
        <x:v>46267.99998842592</x:v>
      </x:c>
      <x:c r="R38" s="1" t="str">
        <x:v>350</x:v>
      </x:c>
      <x:c r="S38" s="1" t="str"/>
      <x:c r="T38" s="1" t="str"/>
      <x:c r="U38" s="1" t="str"/>
      <x:c r="V38" s="1" t="str"/>
      <x:c r="W38" s="1" t="str"/>
      <x:c r="X38" s="1" t="str">
        <x:v>false</x:v>
      </x:c>
      <x:c r="Y38" s="1" t="str">
        <x:v>false</x:v>
      </x:c>
      <x:c r="Z38" s="1" t="str">
        <x:v>[]</x:v>
      </x:c>
    </x:row>
    <x:row r="39" ht="15" hidden="0" customHeight="1">
      <x:c r="A39" s="1" t="str">
        <x:v>mc0h4yh</x:v>
      </x:c>
      <x:c r="B39" s="5" t="str">
        <x:v>The Reserve at Patterson Place</x:v>
      </x:c>
      <x:c r="C39" s="1" t="str">
        <x:v>3483655</x:v>
      </x:c>
      <x:c r="D39" s="1" t="str">
        <x:v>dz8k6lh</x:v>
      </x:c>
      <x:c r="E39" s="1" t="str">
        <x:v>B1.3</x:v>
      </x:c>
      <x:c r="F39" s="1" t="n">
        <x:v>1</x:v>
      </x:c>
      <x:c r="G39" s="1" t="n">
        <x:v>1</x:v>
      </x:c>
      <x:c r="H39" s="1" t="n">
        <x:v>1288</x:v>
      </x:c>
      <x:c r="I39" s="1" t="n">
        <x:v>1341</x:v>
      </x:c>
      <x:c r="J39" s="1" t="str">
        <x:v>$1,288 - $1,341</x:v>
      </x:c>
      <x:c r="K39" s="1" t="str">
        <x:v>$1,288 - $1,341</x:v>
      </x:c>
      <x:c r="L39" s="1" t="str">
        <x:v>false</x:v>
      </x:c>
      <x:c r="M39" s="1" t="str">
        <x:v>638 sq. ft.</x:v>
      </x:c>
      <x:c r="N39" s="1" t="n">
        <x:v>3</x:v>
      </x:c>
      <x:c r="O39" s="1" t="str">
        <x:v>AvailableNow</x:v>
      </x:c>
      <x:c r="P39" s="1" t="str">
        <x:v>Rentals Available</x:v>
      </x:c>
      <x:c r="Q39" s="1" t="n">
        <x:v>46266.99998842592</x:v>
      </x:c>
      <x:c r="R39" s="1" t="str">
        <x:v>350</x:v>
      </x:c>
      <x:c r="S39" s="1" t="str"/>
      <x:c r="T39" s="1" t="str"/>
      <x:c r="U39" s="1" t="str"/>
      <x:c r="V39" s="1" t="str"/>
      <x:c r="W39" s="1" t="str"/>
      <x:c r="X39" s="1" t="str">
        <x:v>false</x:v>
      </x:c>
      <x:c r="Y39" s="1" t="str">
        <x:v>false</x:v>
      </x:c>
      <x:c r="Z39" s="1" t="str">
        <x:v>[]</x:v>
      </x:c>
    </x:row>
    <x:row r="40" ht="15" hidden="0" customHeight="1">
      <x:c r="A40" s="1" t="str">
        <x:v>mc0h4yh</x:v>
      </x:c>
      <x:c r="B40" s="5" t="str">
        <x:v>The Reserve at Patterson Place</x:v>
      </x:c>
      <x:c r="C40" s="1" t="str">
        <x:v>2458956</x:v>
      </x:c>
      <x:c r="D40" s="1" t="str">
        <x:v>6x8yypr</x:v>
      </x:c>
      <x:c r="E40" s="1" t="str">
        <x:v>C2.2</x:v>
      </x:c>
      <x:c r="F40" s="1" t="n">
        <x:v>1</x:v>
      </x:c>
      <x:c r="G40" s="1" t="n">
        <x:v>1</x:v>
      </x:c>
      <x:c r="H40" s="1" t="n">
        <x:v>1462</x:v>
      </x:c>
      <x:c r="I40" s="1" t="n">
        <x:v>1513</x:v>
      </x:c>
      <x:c r="J40" s="1" t="str">
        <x:v>$1,462 - $1,513</x:v>
      </x:c>
      <x:c r="K40" s="1" t="str">
        <x:v>$1,462 - $1,513</x:v>
      </x:c>
      <x:c r="L40" s="1" t="str">
        <x:v>false</x:v>
      </x:c>
      <x:c r="M40" s="1" t="str">
        <x:v>766 sq. ft.</x:v>
      </x:c>
      <x:c r="N40" s="1" t="n">
        <x:v>3</x:v>
      </x:c>
      <x:c r="O40" s="1" t="str">
        <x:v>AvailableNow</x:v>
      </x:c>
      <x:c r="P40" s="1" t="str">
        <x:v>Rentals Available</x:v>
      </x:c>
      <x:c r="Q40" s="1" t="n">
        <x:v>46192.99998842592</x:v>
      </x:c>
      <x:c r="R40" s="1" t="str">
        <x:v>350</x:v>
      </x:c>
      <x:c r="S40" s="1" t="str"/>
      <x:c r="T40" s="1" t="str"/>
      <x:c r="U40" s="1" t="str"/>
      <x:c r="V40" s="1" t="str"/>
      <x:c r="W40" s="1" t="str"/>
      <x:c r="X40" s="1" t="str">
        <x:v>false</x:v>
      </x:c>
      <x:c r="Y40" s="1" t="str">
        <x:v>false</x:v>
      </x:c>
      <x:c r="Z40" s="1" t="str">
        <x:v>[]</x:v>
      </x:c>
    </x:row>
    <x:row r="41" ht="15" hidden="0" customHeight="1">
      <x:c r="A41" s="1" t="str">
        <x:v>mc0h4yh</x:v>
      </x:c>
      <x:c r="B41" s="5" t="str">
        <x:v>The Reserve at Patterson Place</x:v>
      </x:c>
      <x:c r="C41" s="1" t="str">
        <x:v>3483656</x:v>
      </x:c>
      <x:c r="D41" s="1" t="str">
        <x:v>lg8qyxf</x:v>
      </x:c>
      <x:c r="E41" s="1" t="str">
        <x:v>B1.1</x:v>
      </x:c>
      <x:c r="F41" s="1" t="n">
        <x:v>1</x:v>
      </x:c>
      <x:c r="G41" s="1" t="n">
        <x:v>1</x:v>
      </x:c>
      <x:c r="H41" s="1" t="n">
        <x:v>1238</x:v>
      </x:c>
      <x:c r="I41" s="1" t="n">
        <x:v>1318</x:v>
      </x:c>
      <x:c r="J41" s="1" t="str">
        <x:v>$1,238 - $1,318</x:v>
      </x:c>
      <x:c r="K41" s="1" t="str">
        <x:v>$1,238 - $1,318</x:v>
      </x:c>
      <x:c r="L41" s="1" t="str">
        <x:v>false</x:v>
      </x:c>
      <x:c r="M41" s="1" t="str">
        <x:v>620 sq. ft.</x:v>
      </x:c>
      <x:c r="N41" s="1" t="n">
        <x:v>2</x:v>
      </x:c>
      <x:c r="O41" s="1" t="str">
        <x:v>AvailableNow</x:v>
      </x:c>
      <x:c r="P41" s="1" t="str">
        <x:v>Rentals Available</x:v>
      </x:c>
      <x:c r="Q41" s="1" t="n">
        <x:v>46239.99998842592</x:v>
      </x:c>
      <x:c r="R41" s="1" t="str">
        <x:v>350</x:v>
      </x:c>
      <x:c r="S41" s="1" t="str"/>
      <x:c r="T41" s="1" t="str"/>
      <x:c r="U41" s="1" t="str"/>
      <x:c r="V41" s="1" t="str"/>
      <x:c r="W41" s="1" t="str"/>
      <x:c r="X41" s="1" t="str">
        <x:v>false</x:v>
      </x:c>
      <x:c r="Y41" s="1" t="str">
        <x:v>true</x:v>
      </x:c>
      <x:c r="Z41" s="1" t="str">
        <x:v>[]</x:v>
      </x:c>
    </x:row>
    <x:row r="42" ht="15" hidden="0" customHeight="1">
      <x:c r="A42" s="1" t="str">
        <x:v>mc0h4yh</x:v>
      </x:c>
      <x:c r="B42" s="5" t="str">
        <x:v>The Reserve at Patterson Place</x:v>
      </x:c>
      <x:c r="C42" s="1" t="str">
        <x:v>2458957</x:v>
      </x:c>
      <x:c r="D42" s="1" t="str">
        <x:v>l65jnqg</x:v>
      </x:c>
      <x:c r="E42" s="1" t="str">
        <x:v>C3.1</x:v>
      </x:c>
      <x:c r="F42" s="1" t="n">
        <x:v>1</x:v>
      </x:c>
      <x:c r="G42" s="1" t="n">
        <x:v>1</x:v>
      </x:c>
      <x:c r="H42" s="1" t="n">
        <x:v>1488</x:v>
      </x:c>
      <x:c r="I42" s="1" t="n">
        <x:v>1543</x:v>
      </x:c>
      <x:c r="J42" s="1" t="str">
        <x:v>$1,488 - $1,543</x:v>
      </x:c>
      <x:c r="K42" s="1" t="str">
        <x:v>$1,488 - $1,543</x:v>
      </x:c>
      <x:c r="L42" s="1" t="str">
        <x:v>false</x:v>
      </x:c>
      <x:c r="M42" s="1" t="str">
        <x:v>852 sq. ft.</x:v>
      </x:c>
      <x:c r="N42" s="1" t="n">
        <x:v>2</x:v>
      </x:c>
      <x:c r="O42" s="1" t="str">
        <x:v>AvailableNow</x:v>
      </x:c>
      <x:c r="P42" s="1" t="str">
        <x:v>Rentals Available</x:v>
      </x:c>
      <x:c r="Q42" s="1" t="n">
        <x:v>46271.99998842592</x:v>
      </x:c>
      <x:c r="R42" s="1" t="str">
        <x:v>350</x:v>
      </x:c>
      <x:c r="S42" s="1" t="str"/>
      <x:c r="T42" s="1" t="str"/>
      <x:c r="U42" s="1" t="str"/>
      <x:c r="V42" s="1" t="str"/>
      <x:c r="W42" s="1" t="str"/>
      <x:c r="X42" s="1" t="str">
        <x:v>false</x:v>
      </x:c>
      <x:c r="Y42" s="1" t="str">
        <x:v>false</x:v>
      </x:c>
      <x:c r="Z42" s="1" t="str">
        <x:v>[]</x:v>
      </x:c>
    </x:row>
    <x:row r="43" ht="15" hidden="0" customHeight="1">
      <x:c r="A43" s="1" t="str">
        <x:v>mc0h4yh</x:v>
      </x:c>
      <x:c r="B43" s="5" t="str">
        <x:v>The Reserve at Patterson Place</x:v>
      </x:c>
      <x:c r="C43" s="1" t="str">
        <x:v>3483650</x:v>
      </x:c>
      <x:c r="D43" s="1" t="str">
        <x:v>t2y4l5c</x:v>
      </x:c>
      <x:c r="E43" s="1" t="str">
        <x:v>B1</x:v>
      </x:c>
      <x:c r="F43" s="1" t="n">
        <x:v>1</x:v>
      </x:c>
      <x:c r="G43" s="1" t="n">
        <x:v>1</x:v>
      </x:c>
      <x:c r="H43" s="1" t="n">
        <x:v>1324</x:v>
      </x:c>
      <x:c r="I43" s="1" t="n">
        <x:v>1324</x:v>
      </x:c>
      <x:c r="J43" s="1" t="str">
        <x:v>$1,324</x:v>
      </x:c>
      <x:c r="K43" s="1" t="str">
        <x:v>$1,324</x:v>
      </x:c>
      <x:c r="L43" s="1" t="str">
        <x:v>false</x:v>
      </x:c>
      <x:c r="M43" s="1" t="str">
        <x:v>615 sq. ft.</x:v>
      </x:c>
      <x:c r="N43" s="1" t="n">
        <x:v>1</x:v>
      </x:c>
      <x:c r="O43" s="1" t="str">
        <x:v>FutureDate</x:v>
      </x:c>
      <x:c r="P43" s="1" t="str">
        <x:v>Available Soon</x:v>
      </x:c>
      <x:c r="Q43" s="1" t="n">
        <x:v>46362.99998842592</x:v>
      </x:c>
      <x:c r="R43" s="1" t="str">
        <x:v>350</x:v>
      </x:c>
      <x:c r="S43" s="1" t="str"/>
      <x:c r="T43" s="1" t="str"/>
      <x:c r="U43" s="1" t="str"/>
      <x:c r="V43" s="1" t="str"/>
      <x:c r="W43" s="1" t="str"/>
      <x:c r="X43" s="1" t="str">
        <x:v>false</x:v>
      </x:c>
      <x:c r="Y43" s="1" t="str">
        <x:v>false</x:v>
      </x:c>
      <x:c r="Z43" s="1" t="str">
        <x:v>[]</x:v>
      </x:c>
    </x:row>
    <x:row r="44" ht="15" hidden="0" customHeight="1">
      <x:c r="A44" s="1" t="str">
        <x:v>mc0h4yh</x:v>
      </x:c>
      <x:c r="B44" s="5" t="str">
        <x:v>The Reserve at Patterson Place</x:v>
      </x:c>
      <x:c r="C44" s="1" t="str">
        <x:v>2458953</x:v>
      </x:c>
      <x:c r="D44" s="1" t="str">
        <x:v>fwepz8r</x:v>
      </x:c>
      <x:c r="E44" s="1" t="str">
        <x:v>C1</x:v>
      </x:c>
      <x:c r="F44" s="1" t="n">
        <x:v>1</x:v>
      </x:c>
      <x:c r="G44" s="1" t="n">
        <x:v>1</x:v>
      </x:c>
      <x:c r="H44" s="1" t="n">
        <x:v>1375</x:v>
      </x:c>
      <x:c r="I44" s="1" t="n">
        <x:v>1375</x:v>
      </x:c>
      <x:c r="J44" s="1" t="str">
        <x:v>$1,375</x:v>
      </x:c>
      <x:c r="K44" s="1" t="str">
        <x:v>$1,375</x:v>
      </x:c>
      <x:c r="L44" s="1" t="str">
        <x:v>false</x:v>
      </x:c>
      <x:c r="M44" s="1" t="str">
        <x:v>735 sq. ft.</x:v>
      </x:c>
      <x:c r="N44" s="1" t="n">
        <x:v>1</x:v>
      </x:c>
      <x:c r="O44" s="1" t="str">
        <x:v>FutureDate</x:v>
      </x:c>
      <x:c r="P44" s="1" t="str">
        <x:v>Available Soon</x:v>
      </x:c>
      <x:c r="Q44" s="1" t="n">
        <x:v>46284.99998842592</x:v>
      </x:c>
      <x:c r="R44" s="1" t="str">
        <x:v>350</x:v>
      </x:c>
      <x:c r="S44" s="1" t="str"/>
      <x:c r="T44" s="1" t="str"/>
      <x:c r="U44" s="1" t="str"/>
      <x:c r="V44" s="1" t="str"/>
      <x:c r="W44" s="1" t="str"/>
      <x:c r="X44" s="1" t="str">
        <x:v>false</x:v>
      </x:c>
      <x:c r="Y44" s="1" t="str">
        <x:v>false</x:v>
      </x:c>
      <x:c r="Z44" s="1" t="str">
        <x:v>[]</x:v>
      </x:c>
    </x:row>
    <x:row r="45" ht="15" hidden="0" customHeight="1">
      <x:c r="A45" s="1" t="str">
        <x:v>mc0h4yh</x:v>
      </x:c>
      <x:c r="B45" s="5" t="str">
        <x:v>The Reserve at Patterson Place</x:v>
      </x:c>
      <x:c r="C45" s="1" t="str">
        <x:v>2458954</x:v>
      </x:c>
      <x:c r="D45" s="1" t="str">
        <x:v>c1t9kne</x:v>
      </x:c>
      <x:c r="E45" s="1" t="str">
        <x:v>C2</x:v>
      </x:c>
      <x:c r="F45" s="1" t="n">
        <x:v>1</x:v>
      </x:c>
      <x:c r="G45" s="1" t="n">
        <x:v>1</x:v>
      </x:c>
      <x:c r="H45" s="1" t="str"/>
      <x:c r="I45" s="1" t="str"/>
      <x:c r="J45" s="1" t="str"/>
      <x:c r="K45" s="1" t="str"/>
      <x:c r="L45" s="1" t="str">
        <x:v>false</x:v>
      </x:c>
      <x:c r="M45" s="1" t="str">
        <x:v>742 sq. ft.</x:v>
      </x:c>
      <x:c r="N45" s="1" t="n">
        <x:v>0</x:v>
      </x:c>
      <x:c r="O45" s="1" t="str">
        <x:v>AvailableSoon</x:v>
      </x:c>
      <x:c r="P45" s="1" t="str">
        <x:v>Available Soon</x:v>
      </x:c>
      <x:c r="Q45" s="1" t="str"/>
      <x:c r="R45" s="1" t="str">
        <x:v>350</x:v>
      </x:c>
      <x:c r="S45" s="1" t="str"/>
      <x:c r="T45" s="1" t="str"/>
      <x:c r="U45" s="1" t="str"/>
      <x:c r="V45" s="1" t="str"/>
      <x:c r="W45" s="1" t="str"/>
      <x:c r="X45" s="1" t="str">
        <x:v>false</x:v>
      </x:c>
      <x:c r="Y45" s="1" t="str">
        <x:v>false</x:v>
      </x:c>
      <x:c r="Z45" s="1" t="str">
        <x:v>[]</x:v>
      </x:c>
    </x:row>
    <x:row r="46" ht="15" hidden="0" customHeight="1">
      <x:c r="A46" s="1" t="str">
        <x:v>mc0h4yh</x:v>
      </x:c>
      <x:c r="B46" s="5" t="str">
        <x:v>The Reserve at Patterson Place</x:v>
      </x:c>
      <x:c r="C46" s="1" t="str">
        <x:v>3483654</x:v>
      </x:c>
      <x:c r="D46" s="1" t="str">
        <x:v>t7b4px8</x:v>
      </x:c>
      <x:c r="E46" s="1" t="str">
        <x:v>B1.2</x:v>
      </x:c>
      <x:c r="F46" s="1" t="n">
        <x:v>1</x:v>
      </x:c>
      <x:c r="G46" s="1" t="n">
        <x:v>1</x:v>
      </x:c>
      <x:c r="H46" s="1" t="str"/>
      <x:c r="I46" s="1" t="str"/>
      <x:c r="J46" s="1" t="str"/>
      <x:c r="K46" s="1" t="str"/>
      <x:c r="L46" s="1" t="str">
        <x:v>false</x:v>
      </x:c>
      <x:c r="M46" s="1" t="str">
        <x:v>635 sq. ft.</x:v>
      </x:c>
      <x:c r="N46" s="1" t="n">
        <x:v>0</x:v>
      </x:c>
      <x:c r="O46" s="1" t="str">
        <x:v>AvailableSoon</x:v>
      </x:c>
      <x:c r="P46" s="1" t="str">
        <x:v>Available Soon</x:v>
      </x:c>
      <x:c r="Q46" s="1" t="str"/>
      <x:c r="R46" s="1" t="str">
        <x:v>350</x:v>
      </x:c>
      <x:c r="S46" s="1" t="str"/>
      <x:c r="T46" s="1" t="str"/>
      <x:c r="U46" s="1" t="str"/>
      <x:c r="V46" s="1" t="str"/>
      <x:c r="W46" s="1" t="str"/>
      <x:c r="X46" s="1" t="str">
        <x:v>false</x:v>
      </x:c>
      <x:c r="Y46" s="1" t="str">
        <x:v>false</x:v>
      </x:c>
      <x:c r="Z46" s="1" t="str">
        <x:v>[]</x:v>
      </x:c>
    </x:row>
    <x:row r="47" ht="15" hidden="0" customHeight="1">
      <x:c r="A47" s="1" t="str">
        <x:v>mc0h4yh</x:v>
      </x:c>
      <x:c r="B47" s="5" t="str">
        <x:v>The Reserve at Patterson Place</x:v>
      </x:c>
      <x:c r="C47" s="1" t="str">
        <x:v>3483653</x:v>
      </x:c>
      <x:c r="D47" s="1" t="str">
        <x:v>qrmlspw</x:v>
      </x:c>
      <x:c r="E47" s="1" t="str">
        <x:v>E1</x:v>
      </x:c>
      <x:c r="F47" s="1" t="n">
        <x:v>2</x:v>
      </x:c>
      <x:c r="G47" s="1" t="n">
        <x:v>1</x:v>
      </x:c>
      <x:c r="H47" s="1" t="n">
        <x:v>1788</x:v>
      </x:c>
      <x:c r="I47" s="1" t="n">
        <x:v>1821</x:v>
      </x:c>
      <x:c r="J47" s="1" t="str">
        <x:v>$1,788 - $1,821</x:v>
      </x:c>
      <x:c r="K47" s="1" t="str">
        <x:v>$1,788 - $1,821</x:v>
      </x:c>
      <x:c r="L47" s="1" t="str">
        <x:v>false</x:v>
      </x:c>
      <x:c r="M47" s="1" t="str">
        <x:v>960 sq. ft.</x:v>
      </x:c>
      <x:c r="N47" s="1" t="n">
        <x:v>2</x:v>
      </x:c>
      <x:c r="O47" s="1" t="str">
        <x:v>FutureDate</x:v>
      </x:c>
      <x:c r="P47" s="1" t="str">
        <x:v>Available Soon</x:v>
      </x:c>
      <x:c r="Q47" s="1" t="n">
        <x:v>46290.99998842592</x:v>
      </x:c>
      <x:c r="R47" s="1" t="str">
        <x:v>350</x:v>
      </x:c>
      <x:c r="S47" s="1" t="str"/>
      <x:c r="T47" s="1" t="str"/>
      <x:c r="U47" s="1" t="str"/>
      <x:c r="V47" s="1" t="str"/>
      <x:c r="W47" s="1" t="str"/>
      <x:c r="X47" s="1" t="str">
        <x:v>false</x:v>
      </x:c>
      <x:c r="Y47" s="1" t="str">
        <x:v>false</x:v>
      </x:c>
      <x:c r="Z47" s="1" t="str">
        <x:v>[]</x:v>
      </x:c>
    </x:row>
    <x:row r="48" ht="15" hidden="0" customHeight="1">
      <x:c r="A48" s="1" t="str">
        <x:v>mc0h4yh</x:v>
      </x:c>
      <x:c r="B48" s="5" t="str">
        <x:v>The Reserve at Patterson Place</x:v>
      </x:c>
      <x:c r="C48" s="1" t="str">
        <x:v>3483651</x:v>
      </x:c>
      <x:c r="D48" s="1" t="str">
        <x:v>vg9zyvf</x:v>
      </x:c>
      <x:c r="E48" s="1" t="str">
        <x:v>E1.2</x:v>
      </x:c>
      <x:c r="F48" s="1" t="n">
        <x:v>2</x:v>
      </x:c>
      <x:c r="G48" s="1" t="n">
        <x:v>1</x:v>
      </x:c>
      <x:c r="H48" s="1" t="str"/>
      <x:c r="I48" s="1" t="str"/>
      <x:c r="J48" s="1" t="str"/>
      <x:c r="K48" s="1" t="str"/>
      <x:c r="L48" s="1" t="str">
        <x:v>false</x:v>
      </x:c>
      <x:c r="M48" s="1" t="str">
        <x:v>1,035 sq. ft.</x:v>
      </x:c>
      <x:c r="N48" s="1" t="n">
        <x:v>0</x:v>
      </x:c>
      <x:c r="O48" s="1" t="str">
        <x:v>AvailableSoon</x:v>
      </x:c>
      <x:c r="P48" s="1" t="str">
        <x:v>Available Soon</x:v>
      </x:c>
      <x:c r="Q48" s="1" t="str"/>
      <x:c r="R48" s="1" t="str">
        <x:v>350</x:v>
      </x:c>
      <x:c r="S48" s="1" t="str"/>
      <x:c r="T48" s="1" t="str"/>
      <x:c r="U48" s="1" t="str"/>
      <x:c r="V48" s="1" t="str"/>
      <x:c r="W48" s="1" t="str"/>
      <x:c r="X48" s="1" t="str">
        <x:v>false</x:v>
      </x:c>
      <x:c r="Y48" s="1" t="str">
        <x:v>false</x:v>
      </x:c>
      <x:c r="Z48" s="1" t="str">
        <x:v>[]</x:v>
      </x:c>
    </x:row>
    <x:row r="49" ht="15" hidden="0" customHeight="1">
      <x:c r="A49" s="1" t="str">
        <x:v>mc0h4yh</x:v>
      </x:c>
      <x:c r="B49" s="5" t="str">
        <x:v>The Reserve at Patterson Place</x:v>
      </x:c>
      <x:c r="C49" s="1" t="str">
        <x:v>3483652</x:v>
      </x:c>
      <x:c r="D49" s="1" t="str">
        <x:v>fn0hm2s</x:v>
      </x:c>
      <x:c r="E49" s="1" t="str">
        <x:v>E1.1</x:v>
      </x:c>
      <x:c r="F49" s="1" t="n">
        <x:v>2</x:v>
      </x:c>
      <x:c r="G49" s="1" t="n">
        <x:v>1</x:v>
      </x:c>
      <x:c r="H49" s="1" t="str"/>
      <x:c r="I49" s="1" t="str"/>
      <x:c r="J49" s="1" t="str"/>
      <x:c r="K49" s="1" t="str"/>
      <x:c r="L49" s="1" t="str">
        <x:v>false</x:v>
      </x:c>
      <x:c r="M49" s="1" t="str">
        <x:v>997 sq. ft.</x:v>
      </x:c>
      <x:c r="N49" s="1" t="n">
        <x:v>0</x:v>
      </x:c>
      <x:c r="O49" s="1" t="str">
        <x:v>AvailableSoon</x:v>
      </x:c>
      <x:c r="P49" s="1" t="str">
        <x:v>Available Soon</x:v>
      </x:c>
      <x:c r="Q49" s="1" t="str"/>
      <x:c r="R49" s="1" t="str">
        <x:v>350</x:v>
      </x:c>
      <x:c r="S49" s="1" t="str"/>
      <x:c r="T49" s="1" t="str"/>
      <x:c r="U49" s="1" t="str"/>
      <x:c r="V49" s="1" t="str"/>
      <x:c r="W49" s="1" t="str"/>
      <x:c r="X49" s="1" t="str">
        <x:v>false</x:v>
      </x:c>
      <x:c r="Y49" s="1" t="str">
        <x:v>false</x:v>
      </x:c>
      <x:c r="Z49" s="1" t="str">
        <x:v>[]</x:v>
      </x:c>
    </x:row>
    <x:row r="50" ht="15" hidden="0" customHeight="1">
      <x:c r="A50" s="1" t="str">
        <x:v>mc0h4yh</x:v>
      </x:c>
      <x:c r="B50" s="5" t="str">
        <x:v>The Reserve at Patterson Place</x:v>
      </x:c>
      <x:c r="C50" s="1" t="str">
        <x:v>2458964</x:v>
      </x:c>
      <x:c r="D50" s="1" t="str">
        <x:v>83jh822</x:v>
      </x:c>
      <x:c r="E50" s="1" t="str">
        <x:v>F1.1</x:v>
      </x:c>
      <x:c r="F50" s="1" t="n">
        <x:v>2</x:v>
      </x:c>
      <x:c r="G50" s="1" t="n">
        <x:v>2</x:v>
      </x:c>
      <x:c r="H50" s="1" t="n">
        <x:v>1795</x:v>
      </x:c>
      <x:c r="I50" s="1" t="n">
        <x:v>1820</x:v>
      </x:c>
      <x:c r="J50" s="1" t="str">
        <x:v>$1,795 - $1,820</x:v>
      </x:c>
      <x:c r="K50" s="1" t="str">
        <x:v>$1,795 - $1,820</x:v>
      </x:c>
      <x:c r="L50" s="1" t="str">
        <x:v>false</x:v>
      </x:c>
      <x:c r="M50" s="1" t="str">
        <x:v>1,260 sq. ft.</x:v>
      </x:c>
      <x:c r="N50" s="1" t="n">
        <x:v>2</x:v>
      </x:c>
      <x:c r="O50" s="1" t="str">
        <x:v>AvailableNow</x:v>
      </x:c>
      <x:c r="P50" s="1" t="str">
        <x:v>Rentals Available</x:v>
      </x:c>
      <x:c r="Q50" s="1" t="n">
        <x:v>46267.99998842592</x:v>
      </x:c>
      <x:c r="R50" s="1" t="str">
        <x:v>350</x:v>
      </x:c>
      <x:c r="S50" s="1" t="str"/>
      <x:c r="T50" s="1" t="str"/>
      <x:c r="U50" s="1" t="str"/>
      <x:c r="V50" s="1" t="str"/>
      <x:c r="W50" s="1" t="str"/>
      <x:c r="X50" s="1" t="str">
        <x:v>false</x:v>
      </x:c>
      <x:c r="Y50" s="1" t="str">
        <x:v>false</x:v>
      </x:c>
      <x:c r="Z50" s="1" t="str">
        <x:v>[]</x:v>
      </x:c>
    </x:row>
    <x:row r="51" ht="15" hidden="0" customHeight="1">
      <x:c r="A51" s="1" t="str">
        <x:v>mc0h4yh</x:v>
      </x:c>
      <x:c r="B51" s="5" t="str">
        <x:v>The Reserve at Patterson Place</x:v>
      </x:c>
      <x:c r="C51" s="1" t="str">
        <x:v>2458963</x:v>
      </x:c>
      <x:c r="D51" s="1" t="str">
        <x:v>nx9q6xp</x:v>
      </x:c>
      <x:c r="E51" s="1" t="str">
        <x:v>F1.3</x:v>
      </x:c>
      <x:c r="F51" s="1" t="n">
        <x:v>2</x:v>
      </x:c>
      <x:c r="G51" s="1" t="n">
        <x:v>2</x:v>
      </x:c>
      <x:c r="H51" s="1" t="n">
        <x:v>1841</x:v>
      </x:c>
      <x:c r="I51" s="1" t="n">
        <x:v>1850</x:v>
      </x:c>
      <x:c r="J51" s="1" t="str">
        <x:v>$1,841 - $1,850</x:v>
      </x:c>
      <x:c r="K51" s="1" t="str">
        <x:v>$1,841 - $1,850</x:v>
      </x:c>
      <x:c r="L51" s="1" t="str">
        <x:v>false</x:v>
      </x:c>
      <x:c r="M51" s="1" t="str">
        <x:v>1,278 sq. ft.</x:v>
      </x:c>
      <x:c r="N51" s="1" t="n">
        <x:v>2</x:v>
      </x:c>
      <x:c r="O51" s="1" t="str">
        <x:v>AvailableNow</x:v>
      </x:c>
      <x:c r="P51" s="1" t="str">
        <x:v>Rentals Available</x:v>
      </x:c>
      <x:c r="Q51" s="1" t="n">
        <x:v>46272.99998842592</x:v>
      </x:c>
      <x:c r="R51" s="1" t="str">
        <x:v>350</x:v>
      </x:c>
      <x:c r="S51" s="1" t="str"/>
      <x:c r="T51" s="1" t="str"/>
      <x:c r="U51" s="1" t="str"/>
      <x:c r="V51" s="1" t="str"/>
      <x:c r="W51" s="1" t="str"/>
      <x:c r="X51" s="1" t="str">
        <x:v>false</x:v>
      </x:c>
      <x:c r="Y51" s="1" t="str">
        <x:v>false</x:v>
      </x:c>
      <x:c r="Z51" s="1" t="str">
        <x:v>[]</x:v>
      </x:c>
    </x:row>
    <x:row r="52" ht="15" hidden="0" customHeight="1">
      <x:c r="A52" s="1" t="str">
        <x:v>mc0h4yh</x:v>
      </x:c>
      <x:c r="B52" s="5" t="str">
        <x:v>The Reserve at Patterson Place</x:v>
      </x:c>
      <x:c r="C52" s="1" t="str">
        <x:v>2458961</x:v>
      </x:c>
      <x:c r="D52" s="1" t="str">
        <x:v>7nc5phy</x:v>
      </x:c>
      <x:c r="E52" s="1" t="str">
        <x:v>F1</x:v>
      </x:c>
      <x:c r="F52" s="1" t="n">
        <x:v>2</x:v>
      </x:c>
      <x:c r="G52" s="1" t="n">
        <x:v>2</x:v>
      </x:c>
      <x:c r="H52" s="1" t="n">
        <x:v>1986</x:v>
      </x:c>
      <x:c r="I52" s="1" t="n">
        <x:v>1986</x:v>
      </x:c>
      <x:c r="J52" s="1" t="str">
        <x:v>$1,986</x:v>
      </x:c>
      <x:c r="K52" s="1" t="str">
        <x:v>$1,986</x:v>
      </x:c>
      <x:c r="L52" s="1" t="str">
        <x:v>false</x:v>
      </x:c>
      <x:c r="M52" s="1" t="str">
        <x:v>1,260 sq. ft.</x:v>
      </x:c>
      <x:c r="N52" s="1" t="n">
        <x:v>1</x:v>
      </x:c>
      <x:c r="O52" s="1" t="str">
        <x:v>FutureDate</x:v>
      </x:c>
      <x:c r="P52" s="1" t="str">
        <x:v>Available Soon</x:v>
      </x:c>
      <x:c r="Q52" s="1" t="n">
        <x:v>46277.99998842592</x:v>
      </x:c>
      <x:c r="R52" s="1" t="str">
        <x:v>350</x:v>
      </x:c>
      <x:c r="S52" s="1" t="str"/>
      <x:c r="T52" s="1" t="str"/>
      <x:c r="U52" s="1" t="str"/>
      <x:c r="V52" s="1" t="str"/>
      <x:c r="W52" s="1" t="str"/>
      <x:c r="X52" s="1" t="str">
        <x:v>false</x:v>
      </x:c>
      <x:c r="Y52" s="1" t="str">
        <x:v>true</x:v>
      </x:c>
      <x:c r="Z52" s="1" t="str">
        <x:v>[]</x:v>
      </x:c>
    </x:row>
    <x:row r="53" ht="15" hidden="0" customHeight="1">
      <x:c r="A53" s="1" t="str">
        <x:v>mc0h4yh</x:v>
      </x:c>
      <x:c r="B53" s="5" t="str">
        <x:v>The Reserve at Patterson Place</x:v>
      </x:c>
      <x:c r="C53" s="1" t="str">
        <x:v>2458962</x:v>
      </x:c>
      <x:c r="D53" s="1" t="str">
        <x:v>zn8xpty</x:v>
      </x:c>
      <x:c r="E53" s="1" t="str">
        <x:v>F1.2</x:v>
      </x:c>
      <x:c r="F53" s="1" t="n">
        <x:v>2</x:v>
      </x:c>
      <x:c r="G53" s="1" t="n">
        <x:v>2</x:v>
      </x:c>
      <x:c r="H53" s="1" t="str"/>
      <x:c r="I53" s="1" t="str"/>
      <x:c r="J53" s="1" t="str"/>
      <x:c r="K53" s="1" t="str"/>
      <x:c r="L53" s="1" t="str">
        <x:v>false</x:v>
      </x:c>
      <x:c r="M53" s="1" t="str">
        <x:v>1,278 sq. ft.</x:v>
      </x:c>
      <x:c r="N53" s="1" t="n">
        <x:v>0</x:v>
      </x:c>
      <x:c r="O53" s="1" t="str">
        <x:v>AvailableSoon</x:v>
      </x:c>
      <x:c r="P53" s="1" t="str">
        <x:v>Available Soon</x:v>
      </x:c>
      <x:c r="Q53" s="1" t="str"/>
      <x:c r="R53" s="1" t="str">
        <x:v>350</x:v>
      </x:c>
      <x:c r="S53" s="1" t="str"/>
      <x:c r="T53" s="1" t="str"/>
      <x:c r="U53" s="1" t="str"/>
      <x:c r="V53" s="1" t="str"/>
      <x:c r="W53" s="1" t="str"/>
      <x:c r="X53" s="1" t="str">
        <x:v>false</x:v>
      </x:c>
      <x:c r="Y53" s="1" t="str">
        <x:v>false</x:v>
      </x:c>
      <x:c r="Z53" s="1" t="str">
        <x:v>[]</x:v>
      </x:c>
    </x:row>
    <x:row r="54" ht="15" hidden="0" customHeight="1">
      <x:c r="A54" s="1" t="str">
        <x:v>mc0h4yh</x:v>
      </x:c>
      <x:c r="B54" s="5" t="str">
        <x:v>The Reserve at Patterson Place</x:v>
      </x:c>
      <x:c r="C54" s="1" t="str">
        <x:v>2458965</x:v>
      </x:c>
      <x:c r="D54" s="1" t="str">
        <x:v>2chtr5b</x:v>
      </x:c>
      <x:c r="E54" s="1" t="str">
        <x:v>F2</x:v>
      </x:c>
      <x:c r="F54" s="1" t="n">
        <x:v>2</x:v>
      </x:c>
      <x:c r="G54" s="1" t="n">
        <x:v>2</x:v>
      </x:c>
      <x:c r="H54" s="1" t="str"/>
      <x:c r="I54" s="1" t="str"/>
      <x:c r="J54" s="1" t="str"/>
      <x:c r="K54" s="1" t="str"/>
      <x:c r="L54" s="1" t="str">
        <x:v>false</x:v>
      </x:c>
      <x:c r="M54" s="1" t="str">
        <x:v>1,294 sq. ft.</x:v>
      </x:c>
      <x:c r="N54" s="1" t="n">
        <x:v>0</x:v>
      </x:c>
      <x:c r="O54" s="1" t="str">
        <x:v>AvailableSoon</x:v>
      </x:c>
      <x:c r="P54" s="1" t="str">
        <x:v>Available Soon</x:v>
      </x:c>
      <x:c r="Q54" s="1" t="str"/>
      <x:c r="R54" s="1" t="str">
        <x:v>350</x:v>
      </x:c>
      <x:c r="S54" s="1" t="str"/>
      <x:c r="T54" s="1" t="str"/>
      <x:c r="U54" s="1" t="str"/>
      <x:c r="V54" s="1" t="str"/>
      <x:c r="W54" s="1" t="str"/>
      <x:c r="X54" s="1" t="str">
        <x:v>false</x:v>
      </x:c>
      <x:c r="Y54" s="1" t="str">
        <x:v>false</x:v>
      </x:c>
      <x:c r="Z54" s="1" t="str">
        <x:v>[]</x:v>
      </x:c>
    </x:row>
    <x:row r="55" ht="15" hidden="0" customHeight="1">
      <x:c r="A55" s="1" t="str">
        <x:v>mc0h4yh</x:v>
      </x:c>
      <x:c r="B55" s="5" t="str">
        <x:v>The Reserve at Patterson Place</x:v>
      </x:c>
      <x:c r="C55" s="1" t="str">
        <x:v>2458966</x:v>
      </x:c>
      <x:c r="D55" s="1" t="str">
        <x:v>estg2qn</x:v>
      </x:c>
      <x:c r="E55" s="1" t="str">
        <x:v>F3</x:v>
      </x:c>
      <x:c r="F55" s="1" t="n">
        <x:v>2</x:v>
      </x:c>
      <x:c r="G55" s="1" t="n">
        <x:v>2</x:v>
      </x:c>
      <x:c r="H55" s="1" t="str"/>
      <x:c r="I55" s="1" t="str"/>
      <x:c r="J55" s="1" t="str"/>
      <x:c r="K55" s="1" t="str"/>
      <x:c r="L55" s="1" t="str">
        <x:v>false</x:v>
      </x:c>
      <x:c r="M55" s="1" t="str">
        <x:v>1,337 sq. ft.</x:v>
      </x:c>
      <x:c r="N55" s="1" t="n">
        <x:v>0</x:v>
      </x:c>
      <x:c r="O55" s="1" t="str">
        <x:v>AvailableSoon</x:v>
      </x:c>
      <x:c r="P55" s="1" t="str">
        <x:v>Available Soon</x:v>
      </x:c>
      <x:c r="Q55" s="1" t="str"/>
      <x:c r="R55" s="1" t="str">
        <x:v>350</x:v>
      </x:c>
      <x:c r="S55" s="1" t="str"/>
      <x:c r="T55" s="1" t="str"/>
      <x:c r="U55" s="1" t="str"/>
      <x:c r="V55" s="1" t="str"/>
      <x:c r="W55" s="1" t="str"/>
      <x:c r="X55" s="1" t="str">
        <x:v>false</x:v>
      </x:c>
      <x:c r="Y55" s="1" t="str">
        <x:v>false</x:v>
      </x:c>
      <x:c r="Z55" s="1" t="str">
        <x:v>[]</x:v>
      </x:c>
    </x:row>
    <x:row r="56" ht="15" hidden="0" customHeight="1">
      <x:c r="A56" s="1" t="str">
        <x:v>mc0h4yh</x:v>
      </x:c>
      <x:c r="B56" s="5" t="str">
        <x:v>The Reserve at Patterson Place</x:v>
      </x:c>
      <x:c r="C56" s="1" t="str">
        <x:v>2458968</x:v>
      </x:c>
      <x:c r="D56" s="1" t="str">
        <x:v>wmg4g5h</x:v>
      </x:c>
      <x:c r="E56" s="1" t="str">
        <x:v>G1.1</x:v>
      </x:c>
      <x:c r="F56" s="1" t="n">
        <x:v>3</x:v>
      </x:c>
      <x:c r="G56" s="1" t="n">
        <x:v>2</x:v>
      </x:c>
      <x:c r="H56" s="1" t="n">
        <x:v>2422</x:v>
      </x:c>
      <x:c r="I56" s="1" t="n">
        <x:v>2422</x:v>
      </x:c>
      <x:c r="J56" s="1" t="str">
        <x:v>$2,422</x:v>
      </x:c>
      <x:c r="K56" s="1" t="str">
        <x:v>$2,422</x:v>
      </x:c>
      <x:c r="L56" s="1" t="str">
        <x:v>false</x:v>
      </x:c>
      <x:c r="M56" s="1" t="str">
        <x:v>1,486 sq. ft.</x:v>
      </x:c>
      <x:c r="N56" s="1" t="n">
        <x:v>2</x:v>
      </x:c>
      <x:c r="O56" s="1" t="str">
        <x:v>FutureDate</x:v>
      </x:c>
      <x:c r="P56" s="1" t="str">
        <x:v>Available Soon</x:v>
      </x:c>
      <x:c r="Q56" s="1" t="n">
        <x:v>46289.99998842592</x:v>
      </x:c>
      <x:c r="R56" s="1" t="str">
        <x:v>350</x:v>
      </x:c>
      <x:c r="S56" s="1" t="str"/>
      <x:c r="T56" s="1" t="str"/>
      <x:c r="U56" s="1" t="str"/>
      <x:c r="V56" s="1" t="str"/>
      <x:c r="W56" s="1" t="str"/>
      <x:c r="X56" s="1" t="str">
        <x:v>false</x:v>
      </x:c>
      <x:c r="Y56" s="1" t="str">
        <x:v>false</x:v>
      </x:c>
      <x:c r="Z56" s="1" t="str">
        <x:v>[]</x:v>
      </x:c>
    </x:row>
    <x:row r="57" ht="15" hidden="0" customHeight="1">
      <x:c r="A57" s="1" t="str">
        <x:v>mc0h4yh</x:v>
      </x:c>
      <x:c r="B57" s="5" t="str">
        <x:v>The Reserve at Patterson Place</x:v>
      </x:c>
      <x:c r="C57" s="1" t="str">
        <x:v>2458967</x:v>
      </x:c>
      <x:c r="D57" s="1" t="str">
        <x:v>sf4v5h7</x:v>
      </x:c>
      <x:c r="E57" s="1" t="str">
        <x:v>G1</x:v>
      </x:c>
      <x:c r="F57" s="1" t="n">
        <x:v>3</x:v>
      </x:c>
      <x:c r="G57" s="1" t="n">
        <x:v>2</x:v>
      </x:c>
      <x:c r="H57" s="1" t="str"/>
      <x:c r="I57" s="1" t="str"/>
      <x:c r="J57" s="1" t="str"/>
      <x:c r="K57" s="1" t="str"/>
      <x:c r="L57" s="1" t="str">
        <x:v>false</x:v>
      </x:c>
      <x:c r="M57" s="1" t="str">
        <x:v>1,471 sq. ft.</x:v>
      </x:c>
      <x:c r="N57" s="1" t="n">
        <x:v>0</x:v>
      </x:c>
      <x:c r="O57" s="1" t="str">
        <x:v>AvailableSoon</x:v>
      </x:c>
      <x:c r="P57" s="1" t="str">
        <x:v>Available Soon</x:v>
      </x:c>
      <x:c r="Q57" s="1" t="str"/>
      <x:c r="R57" s="1" t="str">
        <x:v>350</x:v>
      </x:c>
      <x:c r="S57" s="1" t="str"/>
      <x:c r="T57" s="1" t="str"/>
      <x:c r="U57" s="1" t="str"/>
      <x:c r="V57" s="1" t="str"/>
      <x:c r="W57" s="1" t="str"/>
      <x:c r="X57" s="1" t="str">
        <x:v>false</x:v>
      </x:c>
      <x:c r="Y57" s="1" t="str">
        <x:v>false</x:v>
      </x:c>
      <x:c r="Z57" s="1" t="str">
        <x:v>[]</x:v>
      </x:c>
    </x:row>
    <x:row r="58" ht="15" hidden="0" customHeight="1">
      <x:c r="A58" s="1" t="str">
        <x:v>mc0h4yh</x:v>
      </x:c>
      <x:c r="B58" s="5" t="str">
        <x:v>The Reserve at Patterson Place</x:v>
      </x:c>
      <x:c r="C58" s="1" t="str">
        <x:v>2458969</x:v>
      </x:c>
      <x:c r="D58" s="1" t="str">
        <x:v>7q35m0z</x:v>
      </x:c>
      <x:c r="E58" s="1" t="str">
        <x:v>TG1</x:v>
      </x:c>
      <x:c r="F58" s="1" t="n">
        <x:v>3</x:v>
      </x:c>
      <x:c r="G58" s="1" t="n">
        <x:v>3</x:v>
      </x:c>
      <x:c r="H58" s="1" t="str"/>
      <x:c r="I58" s="1" t="str"/>
      <x:c r="J58" s="1" t="str"/>
      <x:c r="K58" s="1" t="str"/>
      <x:c r="L58" s="1" t="str">
        <x:v>false</x:v>
      </x:c>
      <x:c r="M58" s="1" t="str">
        <x:v>1,726 sq. ft.</x:v>
      </x:c>
      <x:c r="N58" s="1" t="n">
        <x:v>0</x:v>
      </x:c>
      <x:c r="O58" s="1" t="str">
        <x:v>AvailableSoon</x:v>
      </x:c>
      <x:c r="P58" s="1" t="str">
        <x:v>Available Soon</x:v>
      </x:c>
      <x:c r="Q58" s="1" t="str"/>
      <x:c r="R58" s="1" t="str">
        <x:v>350</x:v>
      </x:c>
      <x:c r="S58" s="1" t="str"/>
      <x:c r="T58" s="1" t="str"/>
      <x:c r="U58" s="1" t="str"/>
      <x:c r="V58" s="1" t="str"/>
      <x:c r="W58" s="1" t="str"/>
      <x:c r="X58" s="1" t="str">
        <x:v>false</x:v>
      </x:c>
      <x:c r="Y58" s="1" t="str">
        <x:v>false</x:v>
      </x:c>
      <x:c r="Z58" s="1" t="str">
        <x:v>[]</x:v>
      </x:c>
    </x:row>
    <x:row r="59" ht="24" hidden="0" customHeight="1">
      <x:c r="A59" s="1" t="str">
        <x:v>ocpchygggd</x:v>
      </x:c>
      <x:c r="B59" s="5" t="str">
        <x:v>Hurry 2 Rooms Left! – 4BR/4BA Condo Near NC State  – All Utilities &amp; Internet Included!</x:v>
      </x:c>
      <x:c r="C59" s="1" t="str">
        <x:v>1</x:v>
      </x:c>
      <x:c r="D59" s="1" t="str">
        <x:v>q2j0gkx</x:v>
      </x:c>
      <x:c r="E59" s="1" t="str"/>
      <x:c r="F59" s="1" t="n">
        <x:v>2</x:v>
      </x:c>
      <x:c r="G59" s="1" t="n">
        <x:v>2</x:v>
      </x:c>
      <x:c r="H59" s="1" t="n">
        <x:v>695</x:v>
      </x:c>
      <x:c r="I59" s="1" t="n">
        <x:v>695</x:v>
      </x:c>
      <x:c r="J59" s="1" t="str">
        <x:v>$695</x:v>
      </x:c>
      <x:c r="K59" s="1" t="str">
        <x:v>$695</x:v>
      </x:c>
      <x:c r="L59" s="1" t="str">
        <x:v>true</x:v>
      </x:c>
      <x:c r="M59" s="1" t="str">
        <x:v>1,250 sq. ft.</x:v>
      </x:c>
      <x:c r="N59" s="1" t="n">
        <x:v>1</x:v>
      </x:c>
      <x:c r="O59" s="1" t="str">
        <x:v>AvailableNow</x:v>
      </x:c>
      <x:c r="P59" s="1" t="str">
        <x:v>Rentals Available</x:v>
      </x:c>
      <x:c r="Q59" s="1" t="n">
        <x:v>25569.999988425927</x:v>
      </x:c>
      <x:c r="R59" s="1" t="str"/>
      <x:c r="S59" s="1" t="str"/>
      <x:c r="T59" s="1" t="str">
        <x:v>N/A</x:v>
      </x:c>
      <x:c r="U59" s="1" t="str">
        <x:v>N/A</x:v>
      </x:c>
      <x:c r="V59" s="1" t="str">
        <x:v>2</x:v>
      </x:c>
      <x:c r="W59" s="1" t="str"/>
      <x:c r="X59" s="1" t="str">
        <x:v>false</x:v>
      </x:c>
      <x:c r="Y59" s="1" t="str">
        <x:v>false</x:v>
      </x:c>
      <x:c r="Z59" s="1" t="str">
        <x:v>[]</x:v>
      </x:c>
    </x:row>
    <x:row r="60" ht="15" hidden="0" customHeight="1">
      <x:c r="A60" s="1" t="str">
        <x:v>es0855q</x:v>
      </x:c>
      <x:c r="B60" s="5" t="str">
        <x:v>Maxwell Raleigh</x:v>
      </x:c>
      <x:c r="C60" s="1" t="str">
        <x:v>2750739</x:v>
      </x:c>
      <x:c r="D60" s="1" t="str">
        <x:v>srdz1v7</x:v>
      </x:c>
      <x:c r="E60" s="1" t="str">
        <x:v>Soho - S1</x:v>
      </x:c>
      <x:c r="F60" s="1" t="n">
        <x:v>0</x:v>
      </x:c>
      <x:c r="G60" s="1" t="n">
        <x:v>1</x:v>
      </x:c>
      <x:c r="H60" s="1" t="n">
        <x:v>1549</x:v>
      </x:c>
      <x:c r="I60" s="1" t="n">
        <x:v>1549</x:v>
      </x:c>
      <x:c r="J60" s="1" t="str">
        <x:v>$1,549</x:v>
      </x:c>
      <x:c r="K60" s="1" t="str">
        <x:v>$1,549</x:v>
      </x:c>
      <x:c r="L60" s="1" t="str">
        <x:v>true</x:v>
      </x:c>
      <x:c r="M60" s="1" t="str">
        <x:v>391 sq. ft.</x:v>
      </x:c>
      <x:c r="N60" s="1" t="n">
        <x:v>1</x:v>
      </x:c>
      <x:c r="O60" s="1" t="str">
        <x:v>FutureDate</x:v>
      </x:c>
      <x:c r="P60" s="1" t="str">
        <x:v>Available Soon</x:v>
      </x:c>
      <x:c r="Q60" s="1" t="n">
        <x:v>46612.99998842592</x:v>
      </x:c>
      <x:c r="R60" s="1" t="str"/>
      <x:c r="S60" s="1" t="str"/>
      <x:c r="T60" s="1" t="str"/>
      <x:c r="U60" s="1" t="str"/>
      <x:c r="V60" s="1" t="str"/>
      <x:c r="W60" s="1" t="str"/>
      <x:c r="X60" s="1" t="str">
        <x:v>false</x:v>
      </x:c>
      <x:c r="Y60" s="1" t="str">
        <x:v>false</x:v>
      </x:c>
      <x:c r="Z60" s="1" t="str">
        <x:v>[]</x:v>
      </x:c>
    </x:row>
    <x:row r="61" ht="15" hidden="0" customHeight="1">
      <x:c r="A61" s="1" t="str">
        <x:v>es0855q</x:v>
      </x:c>
      <x:c r="B61" s="5" t="str">
        <x:v>Maxwell Raleigh</x:v>
      </x:c>
      <x:c r="C61" s="1" t="str">
        <x:v>5768681</x:v>
      </x:c>
      <x:c r="D61" s="1" t="str">
        <x:v>8tkv0l1</x:v>
      </x:c>
      <x:c r="E61" s="1" t="str">
        <x:v>Soho - S1 Alt</x:v>
      </x:c>
      <x:c r="F61" s="1" t="n">
        <x:v>0</x:v>
      </x:c>
      <x:c r="G61" s="1" t="n">
        <x:v>1</x:v>
      </x:c>
      <x:c r="H61" s="1" t="n">
        <x:v>1549</x:v>
      </x:c>
      <x:c r="I61" s="1" t="n">
        <x:v>1549</x:v>
      </x:c>
      <x:c r="J61" s="1" t="str">
        <x:v>$1,549</x:v>
      </x:c>
      <x:c r="K61" s="1" t="str">
        <x:v>$1,549</x:v>
      </x:c>
      <x:c r="L61" s="1" t="str">
        <x:v>false</x:v>
      </x:c>
      <x:c r="M61" s="1" t="str">
        <x:v>391 sq. ft.</x:v>
      </x:c>
      <x:c r="N61" s="1" t="n">
        <x:v>1</x:v>
      </x:c>
      <x:c r="O61" s="1" t="str">
        <x:v>FutureDate</x:v>
      </x:c>
      <x:c r="P61" s="1" t="str">
        <x:v>Available Soon</x:v>
      </x:c>
      <x:c r="Q61" s="1" t="n">
        <x:v>46612.99998842592</x:v>
      </x:c>
      <x:c r="R61" s="1" t="str"/>
      <x:c r="S61" s="1" t="str"/>
      <x:c r="T61" s="1" t="str"/>
      <x:c r="U61" s="1" t="str"/>
      <x:c r="V61" s="1" t="str"/>
      <x:c r="W61" s="1" t="str"/>
      <x:c r="X61" s="1" t="str">
        <x:v>false</x:v>
      </x:c>
      <x:c r="Y61" s="1" t="str">
        <x:v>false</x:v>
      </x:c>
      <x:c r="Z61" s="1" t="str">
        <x:v>[]</x:v>
      </x:c>
    </x:row>
    <x:row r="62" ht="15" hidden="0" customHeight="1">
      <x:c r="A62" s="1" t="str">
        <x:v>es0855q</x:v>
      </x:c>
      <x:c r="B62" s="5" t="str">
        <x:v>Maxwell Raleigh</x:v>
      </x:c>
      <x:c r="C62" s="1" t="str">
        <x:v>5768682</x:v>
      </x:c>
      <x:c r="D62" s="1" t="str">
        <x:v>vtlkrrg</x:v>
      </x:c>
      <x:c r="E62" s="1" t="str">
        <x:v>Soho - S2</x:v>
      </x:c>
      <x:c r="F62" s="1" t="n">
        <x:v>0</x:v>
      </x:c>
      <x:c r="G62" s="1" t="n">
        <x:v>1</x:v>
      </x:c>
      <x:c r="H62" s="1" t="n">
        <x:v>1549</x:v>
      </x:c>
      <x:c r="I62" s="1" t="n">
        <x:v>1549</x:v>
      </x:c>
      <x:c r="J62" s="1" t="str">
        <x:v>$1,549</x:v>
      </x:c>
      <x:c r="K62" s="1" t="str">
        <x:v>$1,549</x:v>
      </x:c>
      <x:c r="L62" s="1" t="str">
        <x:v>false</x:v>
      </x:c>
      <x:c r="M62" s="1" t="str">
        <x:v>391 sq. ft.</x:v>
      </x:c>
      <x:c r="N62" s="1" t="n">
        <x:v>1</x:v>
      </x:c>
      <x:c r="O62" s="1" t="str">
        <x:v>FutureDate</x:v>
      </x:c>
      <x:c r="P62" s="1" t="str">
        <x:v>Available Soon</x:v>
      </x:c>
      <x:c r="Q62" s="1" t="n">
        <x:v>46612.99998842592</x:v>
      </x:c>
      <x:c r="R62" s="1" t="str"/>
      <x:c r="S62" s="1" t="str"/>
      <x:c r="T62" s="1" t="str"/>
      <x:c r="U62" s="1" t="str"/>
      <x:c r="V62" s="1" t="str"/>
      <x:c r="W62" s="1" t="str"/>
      <x:c r="X62" s="1" t="str">
        <x:v>false</x:v>
      </x:c>
      <x:c r="Y62" s="1" t="str">
        <x:v>false</x:v>
      </x:c>
      <x:c r="Z62" s="1" t="str">
        <x:v>[]</x:v>
      </x:c>
    </x:row>
    <x:row r="63" ht="15" hidden="0" customHeight="1">
      <x:c r="A63" s="1" t="str">
        <x:v>es0855q</x:v>
      </x:c>
      <x:c r="B63" s="5" t="str">
        <x:v>Maxwell Raleigh</x:v>
      </x:c>
      <x:c r="C63" s="1" t="str">
        <x:v>5768683</x:v>
      </x:c>
      <x:c r="D63" s="1" t="str">
        <x:v>slqh917</x:v>
      </x:c>
      <x:c r="E63" s="1" t="str">
        <x:v>Soho - S2 Alt</x:v>
      </x:c>
      <x:c r="F63" s="1" t="n">
        <x:v>0</x:v>
      </x:c>
      <x:c r="G63" s="1" t="n">
        <x:v>1</x:v>
      </x:c>
      <x:c r="H63" s="1" t="n">
        <x:v>1549</x:v>
      </x:c>
      <x:c r="I63" s="1" t="n">
        <x:v>1549</x:v>
      </x:c>
      <x:c r="J63" s="1" t="str">
        <x:v>$1,549</x:v>
      </x:c>
      <x:c r="K63" s="1" t="str">
        <x:v>$1,549</x:v>
      </x:c>
      <x:c r="L63" s="1" t="str">
        <x:v>false</x:v>
      </x:c>
      <x:c r="M63" s="1" t="str">
        <x:v>391 sq. ft.</x:v>
      </x:c>
      <x:c r="N63" s="1" t="n">
        <x:v>1</x:v>
      </x:c>
      <x:c r="O63" s="1" t="str">
        <x:v>FutureDate</x:v>
      </x:c>
      <x:c r="P63" s="1" t="str">
        <x:v>Available Soon</x:v>
      </x:c>
      <x:c r="Q63" s="1" t="n">
        <x:v>46612.99998842592</x:v>
      </x:c>
      <x:c r="R63" s="1" t="str"/>
      <x:c r="S63" s="1" t="str"/>
      <x:c r="T63" s="1" t="str"/>
      <x:c r="U63" s="1" t="str"/>
      <x:c r="V63" s="1" t="str"/>
      <x:c r="W63" s="1" t="str"/>
      <x:c r="X63" s="1" t="str">
        <x:v>false</x:v>
      </x:c>
      <x:c r="Y63" s="1" t="str">
        <x:v>false</x:v>
      </x:c>
      <x:c r="Z63" s="1" t="str">
        <x:v>[]</x:v>
      </x:c>
    </x:row>
    <x:row r="64" ht="15" hidden="0" customHeight="1">
      <x:c r="A64" s="1" t="str">
        <x:v>es0855q</x:v>
      </x:c>
      <x:c r="B64" s="5" t="str">
        <x:v>Maxwell Raleigh</x:v>
      </x:c>
      <x:c r="C64" s="1" t="str">
        <x:v>5858347</x:v>
      </x:c>
      <x:c r="D64" s="1" t="str">
        <x:v>ccqnf7d</x:v>
      </x:c>
      <x:c r="E64" s="1" t="str">
        <x:v>Soho - S3</x:v>
      </x:c>
      <x:c r="F64" s="1" t="n">
        <x:v>0</x:v>
      </x:c>
      <x:c r="G64" s="1" t="n">
        <x:v>1</x:v>
      </x:c>
      <x:c r="H64" s="1" t="n">
        <x:v>1549</x:v>
      </x:c>
      <x:c r="I64" s="1" t="n">
        <x:v>1549</x:v>
      </x:c>
      <x:c r="J64" s="1" t="str">
        <x:v>$1,549</x:v>
      </x:c>
      <x:c r="K64" s="1" t="str">
        <x:v>$1,549</x:v>
      </x:c>
      <x:c r="L64" s="1" t="str">
        <x:v>false</x:v>
      </x:c>
      <x:c r="M64" s="1" t="str">
        <x:v>391 sq. ft.</x:v>
      </x:c>
      <x:c r="N64" s="1" t="n">
        <x:v>1</x:v>
      </x:c>
      <x:c r="O64" s="1" t="str">
        <x:v>FutureDate</x:v>
      </x:c>
      <x:c r="P64" s="1" t="str">
        <x:v>Available Soon</x:v>
      </x:c>
      <x:c r="Q64" s="1" t="n">
        <x:v>46612.99998842592</x:v>
      </x:c>
      <x:c r="R64" s="1" t="str"/>
      <x:c r="S64" s="1" t="str"/>
      <x:c r="T64" s="1" t="str"/>
      <x:c r="U64" s="1" t="str"/>
      <x:c r="V64" s="1" t="str"/>
      <x:c r="W64" s="1" t="str"/>
      <x:c r="X64" s="1" t="str">
        <x:v>false</x:v>
      </x:c>
      <x:c r="Y64" s="1" t="str">
        <x:v>false</x:v>
      </x:c>
      <x:c r="Z64" s="1" t="str">
        <x:v>[]</x:v>
      </x:c>
    </x:row>
    <x:row r="65" ht="15" hidden="0" customHeight="1">
      <x:c r="A65" s="1" t="str">
        <x:v>es0855q</x:v>
      </x:c>
      <x:c r="B65" s="5" t="str">
        <x:v>Maxwell Raleigh</x:v>
      </x:c>
      <x:c r="C65" s="1" t="str">
        <x:v>5858350</x:v>
      </x:c>
      <x:c r="D65" s="1" t="str">
        <x:v>zrs1e0x</x:v>
      </x:c>
      <x:c r="E65" s="1" t="str">
        <x:v>Soho - S Type A</x:v>
      </x:c>
      <x:c r="F65" s="1" t="n">
        <x:v>0</x:v>
      </x:c>
      <x:c r="G65" s="1" t="n">
        <x:v>1</x:v>
      </x:c>
      <x:c r="H65" s="1" t="n">
        <x:v>1549</x:v>
      </x:c>
      <x:c r="I65" s="1" t="n">
        <x:v>1549</x:v>
      </x:c>
      <x:c r="J65" s="1" t="str">
        <x:v>$1,549</x:v>
      </x:c>
      <x:c r="K65" s="1" t="str">
        <x:v>$1,549</x:v>
      </x:c>
      <x:c r="L65" s="1" t="str">
        <x:v>false</x:v>
      </x:c>
      <x:c r="M65" s="1" t="str">
        <x:v>391 sq. ft.</x:v>
      </x:c>
      <x:c r="N65" s="1" t="n">
        <x:v>0</x:v>
      </x:c>
      <x:c r="O65" s="1" t="str">
        <x:v>AvailableSoon</x:v>
      </x:c>
      <x:c r="P65" s="1" t="str">
        <x:v>Available Soon</x:v>
      </x:c>
      <x:c r="Q65" s="1" t="str"/>
      <x:c r="R65" s="1" t="str"/>
      <x:c r="S65" s="1" t="str"/>
      <x:c r="T65" s="1" t="str"/>
      <x:c r="U65" s="1" t="str"/>
      <x:c r="V65" s="1" t="str"/>
      <x:c r="W65" s="1" t="str"/>
      <x:c r="X65" s="1" t="str">
        <x:v>false</x:v>
      </x:c>
      <x:c r="Y65" s="1" t="str">
        <x:v>false</x:v>
      </x:c>
      <x:c r="Z65" s="1" t="str">
        <x:v>[]</x:v>
      </x:c>
    </x:row>
    <x:row r="66" ht="15" hidden="0" customHeight="1">
      <x:c r="A66" s="1" t="str">
        <x:v>es0855q</x:v>
      </x:c>
      <x:c r="B66" s="5" t="str">
        <x:v>Maxwell Raleigh</x:v>
      </x:c>
      <x:c r="C66" s="1" t="str">
        <x:v>5858348</x:v>
      </x:c>
      <x:c r="D66" s="1" t="str">
        <x:v>mz7hk9j</x:v>
      </x:c>
      <x:c r="E66" s="1" t="str">
        <x:v>Arden - A1</x:v>
      </x:c>
      <x:c r="F66" s="1" t="n">
        <x:v>1</x:v>
      </x:c>
      <x:c r="G66" s="1" t="n">
        <x:v>1</x:v>
      </x:c>
      <x:c r="H66" s="1" t="n">
        <x:v>799</x:v>
      </x:c>
      <x:c r="I66" s="1" t="n">
        <x:v>799</x:v>
      </x:c>
      <x:c r="J66" s="1" t="str">
        <x:v>$799</x:v>
      </x:c>
      <x:c r="K66" s="1" t="str">
        <x:v>$799</x:v>
      </x:c>
      <x:c r="L66" s="1" t="str">
        <x:v>false</x:v>
      </x:c>
      <x:c r="M66" s="1" t="str">
        <x:v>578 sq. ft.</x:v>
      </x:c>
      <x:c r="N66" s="1" t="n">
        <x:v>1</x:v>
      </x:c>
      <x:c r="O66" s="1" t="str">
        <x:v>FutureDate</x:v>
      </x:c>
      <x:c r="P66" s="1" t="str">
        <x:v>Available Soon</x:v>
      </x:c>
      <x:c r="Q66" s="1" t="n">
        <x:v>46612.99998842592</x:v>
      </x:c>
      <x:c r="R66" s="1" t="str"/>
      <x:c r="S66" s="1" t="str"/>
      <x:c r="T66" s="1" t="str"/>
      <x:c r="U66" s="1" t="str"/>
      <x:c r="V66" s="1" t="str"/>
      <x:c r="W66" s="1" t="str"/>
      <x:c r="X66" s="1" t="str">
        <x:v>false</x:v>
      </x:c>
      <x:c r="Y66" s="1" t="str">
        <x:v>false</x:v>
      </x:c>
      <x:c r="Z66" s="1" t="str">
        <x:v>[]</x:v>
      </x:c>
    </x:row>
    <x:row r="67" ht="15" hidden="0" customHeight="1">
      <x:c r="A67" s="1" t="str">
        <x:v>es0855q</x:v>
      </x:c>
      <x:c r="B67" s="5" t="str">
        <x:v>Maxwell Raleigh</x:v>
      </x:c>
      <x:c r="C67" s="1" t="str">
        <x:v>6051725</x:v>
      </x:c>
      <x:c r="D67" s="1" t="str">
        <x:v>w8rcpxj</x:v>
      </x:c>
      <x:c r="E67" s="1" t="str">
        <x:v>Astoria - A1</x:v>
      </x:c>
      <x:c r="F67" s="1" t="n">
        <x:v>1</x:v>
      </x:c>
      <x:c r="G67" s="1" t="n">
        <x:v>1</x:v>
      </x:c>
      <x:c r="H67" s="1" t="n">
        <x:v>1899</x:v>
      </x:c>
      <x:c r="I67" s="1" t="n">
        <x:v>1899</x:v>
      </x:c>
      <x:c r="J67" s="1" t="str">
        <x:v>$1,899</x:v>
      </x:c>
      <x:c r="K67" s="1" t="str">
        <x:v>$1,899</x:v>
      </x:c>
      <x:c r="L67" s="1" t="str">
        <x:v>false</x:v>
      </x:c>
      <x:c r="M67" s="1" t="str">
        <x:v>571 sq. ft.</x:v>
      </x:c>
      <x:c r="N67" s="1" t="n">
        <x:v>1</x:v>
      </x:c>
      <x:c r="O67" s="1" t="str">
        <x:v>FutureDate</x:v>
      </x:c>
      <x:c r="P67" s="1" t="str">
        <x:v>Available Soon</x:v>
      </x:c>
      <x:c r="Q67" s="1" t="n">
        <x:v>46612.99998842592</x:v>
      </x:c>
      <x:c r="R67" s="1" t="str"/>
      <x:c r="S67" s="1" t="str"/>
      <x:c r="T67" s="1" t="str"/>
      <x:c r="U67" s="1" t="str"/>
      <x:c r="V67" s="1" t="str"/>
      <x:c r="W67" s="1" t="str"/>
      <x:c r="X67" s="1" t="str">
        <x:v>false</x:v>
      </x:c>
      <x:c r="Y67" s="1" t="str">
        <x:v>false</x:v>
      </x:c>
      <x:c r="Z67" s="1" t="str">
        <x:v>[]</x:v>
      </x:c>
    </x:row>
    <x:row r="68" ht="15" hidden="0" customHeight="1">
      <x:c r="A68" s="1" t="str">
        <x:v>es0855q</x:v>
      </x:c>
      <x:c r="B68" s="5" t="str">
        <x:v>Maxwell Raleigh</x:v>
      </x:c>
      <x:c r="C68" s="1" t="str">
        <x:v>6051726</x:v>
      </x:c>
      <x:c r="D68" s="1" t="str">
        <x:v>p5e132t</x:v>
      </x:c>
      <x:c r="E68" s="1" t="str">
        <x:v>Astoria - A2</x:v>
      </x:c>
      <x:c r="F68" s="1" t="n">
        <x:v>1</x:v>
      </x:c>
      <x:c r="G68" s="1" t="n">
        <x:v>1</x:v>
      </x:c>
      <x:c r="H68" s="1" t="n">
        <x:v>1899</x:v>
      </x:c>
      <x:c r="I68" s="1" t="n">
        <x:v>1899</x:v>
      </x:c>
      <x:c r="J68" s="1" t="str">
        <x:v>$1,899</x:v>
      </x:c>
      <x:c r="K68" s="1" t="str">
        <x:v>$1,899</x:v>
      </x:c>
      <x:c r="L68" s="1" t="str">
        <x:v>false</x:v>
      </x:c>
      <x:c r="M68" s="1" t="str">
        <x:v>571 sq. ft.</x:v>
      </x:c>
      <x:c r="N68" s="1" t="n">
        <x:v>1</x:v>
      </x:c>
      <x:c r="O68" s="1" t="str">
        <x:v>FutureDate</x:v>
      </x:c>
      <x:c r="P68" s="1" t="str">
        <x:v>Available Soon</x:v>
      </x:c>
      <x:c r="Q68" s="1" t="n">
        <x:v>46612.99998842592</x:v>
      </x:c>
      <x:c r="R68" s="1" t="str"/>
      <x:c r="S68" s="1" t="str"/>
      <x:c r="T68" s="1" t="str"/>
      <x:c r="U68" s="1" t="str"/>
      <x:c r="V68" s="1" t="str"/>
      <x:c r="W68" s="1" t="str"/>
      <x:c r="X68" s="1" t="str">
        <x:v>false</x:v>
      </x:c>
      <x:c r="Y68" s="1" t="str">
        <x:v>false</x:v>
      </x:c>
      <x:c r="Z68" s="1" t="str">
        <x:v>[]</x:v>
      </x:c>
    </x:row>
    <x:row r="69" ht="15" hidden="0" customHeight="1">
      <x:c r="A69" s="1" t="str">
        <x:v>es0855q</x:v>
      </x:c>
      <x:c r="B69" s="5" t="str">
        <x:v>Maxwell Raleigh</x:v>
      </x:c>
      <x:c r="C69" s="1" t="str">
        <x:v>2750743</x:v>
      </x:c>
      <x:c r="D69" s="1" t="str">
        <x:v>2xrywfb</x:v>
      </x:c>
      <x:c r="E69" s="1" t="str">
        <x:v>Astoria - A Type A</x:v>
      </x:c>
      <x:c r="F69" s="1" t="n">
        <x:v>1</x:v>
      </x:c>
      <x:c r="G69" s="1" t="n">
        <x:v>1</x:v>
      </x:c>
      <x:c r="H69" s="1" t="n">
        <x:v>1899</x:v>
      </x:c>
      <x:c r="I69" s="1" t="n">
        <x:v>1899</x:v>
      </x:c>
      <x:c r="J69" s="1" t="str">
        <x:v>$1,899</x:v>
      </x:c>
      <x:c r="K69" s="1" t="str">
        <x:v>$1,899</x:v>
      </x:c>
      <x:c r="L69" s="1" t="str">
        <x:v>true</x:v>
      </x:c>
      <x:c r="M69" s="1" t="str">
        <x:v>571 sq. ft.</x:v>
      </x:c>
      <x:c r="N69" s="1" t="n">
        <x:v>0</x:v>
      </x:c>
      <x:c r="O69" s="1" t="str">
        <x:v>AvailableSoon</x:v>
      </x:c>
      <x:c r="P69" s="1" t="str">
        <x:v>Available Soon</x:v>
      </x:c>
      <x:c r="Q69" s="1" t="str"/>
      <x:c r="R69" s="1" t="str"/>
      <x:c r="S69" s="1" t="str"/>
      <x:c r="T69" s="1" t="str"/>
      <x:c r="U69" s="1" t="str"/>
      <x:c r="V69" s="1" t="str">
        <x:v>1</x:v>
      </x:c>
      <x:c r="W69" s="1" t="str"/>
      <x:c r="X69" s="1" t="str">
        <x:v>false</x:v>
      </x:c>
      <x:c r="Y69" s="1" t="str">
        <x:v>false</x:v>
      </x:c>
      <x:c r="Z69" s="1" t="str">
        <x:v>[]</x:v>
      </x:c>
    </x:row>
    <x:row r="70" ht="15" hidden="0" customHeight="1">
      <x:c r="A70" s="1" t="str">
        <x:v>es0855q</x:v>
      </x:c>
      <x:c r="B70" s="5" t="str">
        <x:v>Maxwell Raleigh</x:v>
      </x:c>
      <x:c r="C70" s="1" t="str">
        <x:v>2750745</x:v>
      </x:c>
      <x:c r="D70" s="1" t="str">
        <x:v>8l1mbs0</x:v>
      </x:c>
      <x:c r="E70" s="1" t="str">
        <x:v>Brookhaven</x:v>
      </x:c>
      <x:c r="F70" s="1" t="n">
        <x:v>2</x:v>
      </x:c>
      <x:c r="G70" s="1" t="n">
        <x:v>1</x:v>
      </x:c>
      <x:c r="H70" s="1" t="n">
        <x:v>1109</x:v>
      </x:c>
      <x:c r="I70" s="1" t="n">
        <x:v>1109</x:v>
      </x:c>
      <x:c r="J70" s="1" t="str">
        <x:v>$1,109</x:v>
      </x:c>
      <x:c r="K70" s="1" t="str">
        <x:v>$1,109</x:v>
      </x:c>
      <x:c r="L70" s="1" t="str">
        <x:v>true</x:v>
      </x:c>
      <x:c r="M70" s="1" t="str">
        <x:v>989 sq. ft.</x:v>
      </x:c>
      <x:c r="N70" s="1" t="n">
        <x:v>1</x:v>
      </x:c>
      <x:c r="O70" s="1" t="str">
        <x:v>FutureDate</x:v>
      </x:c>
      <x:c r="P70" s="1" t="str">
        <x:v>Available Soon</x:v>
      </x:c>
      <x:c r="Q70" s="1" t="n">
        <x:v>46612.99998842592</x:v>
      </x:c>
      <x:c r="R70" s="1" t="str"/>
      <x:c r="S70" s="1" t="str"/>
      <x:c r="T70" s="1" t="str"/>
      <x:c r="U70" s="1" t="str"/>
      <x:c r="V70" s="1" t="str">
        <x:v>2</x:v>
      </x:c>
      <x:c r="W70" s="1" t="str"/>
      <x:c r="X70" s="1" t="str">
        <x:v>false</x:v>
      </x:c>
      <x:c r="Y70" s="1" t="str">
        <x:v>false</x:v>
      </x:c>
      <x:c r="Z70" s="1" t="str">
        <x:v>[]</x:v>
      </x:c>
    </x:row>
    <x:row r="71" ht="15" hidden="0" customHeight="1">
      <x:c r="A71" s="1" t="str">
        <x:v>es0855q</x:v>
      </x:c>
      <x:c r="B71" s="5" t="str">
        <x:v>Maxwell Raleigh</x:v>
      </x:c>
      <x:c r="C71" s="1" t="str">
        <x:v>5858351</x:v>
      </x:c>
      <x:c r="D71" s="1" t="str">
        <x:v>j60gvm7</x:v>
      </x:c>
      <x:c r="E71" s="1" t="str">
        <x:v>Bradford</x:v>
      </x:c>
      <x:c r="F71" s="1" t="n">
        <x:v>2</x:v>
      </x:c>
      <x:c r="G71" s="1" t="n">
        <x:v>2</x:v>
      </x:c>
      <x:c r="H71" s="1" t="n">
        <x:v>799</x:v>
      </x:c>
      <x:c r="I71" s="1" t="n">
        <x:v>899</x:v>
      </x:c>
      <x:c r="J71" s="1" t="str">
        <x:v>$799 - $899</x:v>
      </x:c>
      <x:c r="K71" s="1" t="str">
        <x:v>$799 - $899</x:v>
      </x:c>
      <x:c r="L71" s="1" t="str">
        <x:v>false</x:v>
      </x:c>
      <x:c r="M71" s="1" t="str">
        <x:v>800 sq. ft.</x:v>
      </x:c>
      <x:c r="N71" s="1" t="n">
        <x:v>2</x:v>
      </x:c>
      <x:c r="O71" s="1" t="str">
        <x:v>FutureDate</x:v>
      </x:c>
      <x:c r="P71" s="1" t="str">
        <x:v>Available Soon</x:v>
      </x:c>
      <x:c r="Q71" s="1" t="n">
        <x:v>46612.99998842592</x:v>
      </x:c>
      <x:c r="R71" s="1" t="str"/>
      <x:c r="S71" s="1" t="str"/>
      <x:c r="T71" s="1" t="str"/>
      <x:c r="U71" s="1" t="str"/>
      <x:c r="V71" s="1" t="str"/>
      <x:c r="W71" s="1" t="str"/>
      <x:c r="X71" s="1" t="str">
        <x:v>false</x:v>
      </x:c>
      <x:c r="Y71" s="1" t="str">
        <x:v>false</x:v>
      </x:c>
      <x:c r="Z71" s="1" t="str">
        <x:v>[]</x:v>
      </x:c>
    </x:row>
    <x:row r="72" ht="15" hidden="0" customHeight="1">
      <x:c r="A72" s="1" t="str">
        <x:v>es0855q</x:v>
      </x:c>
      <x:c r="B72" s="5" t="str">
        <x:v>Maxwell Raleigh</x:v>
      </x:c>
      <x:c r="C72" s="1" t="str">
        <x:v>2021129</x:v>
      </x:c>
      <x:c r="D72" s="1" t="str">
        <x:v>38ygmve</x:v>
      </x:c>
      <x:c r="E72" s="1" t="str">
        <x:v>Bexley - B1</x:v>
      </x:c>
      <x:c r="F72" s="1" t="n">
        <x:v>2</x:v>
      </x:c>
      <x:c r="G72" s="1" t="n">
        <x:v>2</x:v>
      </x:c>
      <x:c r="H72" s="1" t="n">
        <x:v>1249</x:v>
      </x:c>
      <x:c r="I72" s="1" t="n">
        <x:v>1249</x:v>
      </x:c>
      <x:c r="J72" s="1" t="str">
        <x:v>$1,249</x:v>
      </x:c>
      <x:c r="K72" s="1" t="str">
        <x:v>$1,249</x:v>
      </x:c>
      <x:c r="L72" s="1" t="str">
        <x:v>true</x:v>
      </x:c>
      <x:c r="M72" s="1" t="str">
        <x:v>800 sq. ft.</x:v>
      </x:c>
      <x:c r="N72" s="1" t="n">
        <x:v>1</x:v>
      </x:c>
      <x:c r="O72" s="1" t="str">
        <x:v>FutureDate</x:v>
      </x:c>
      <x:c r="P72" s="1" t="str">
        <x:v>Available Soon</x:v>
      </x:c>
      <x:c r="Q72" s="1" t="n">
        <x:v>46612.99998842592</x:v>
      </x:c>
      <x:c r="R72" s="1" t="str"/>
      <x:c r="S72" s="1" t="str"/>
      <x:c r="T72" s="1" t="str"/>
      <x:c r="U72" s="1" t="str"/>
      <x:c r="V72" s="1" t="str">
        <x:v>2</x:v>
      </x:c>
      <x:c r="W72" s="1" t="str"/>
      <x:c r="X72" s="1" t="str">
        <x:v>false</x:v>
      </x:c>
      <x:c r="Y72" s="1" t="str">
        <x:v>false</x:v>
      </x:c>
      <x:c r="Z72" s="1" t="str">
        <x:v>[]</x:v>
      </x:c>
    </x:row>
    <x:row r="73" ht="15" hidden="0" customHeight="1">
      <x:c r="A73" s="1" t="str">
        <x:v>es0855q</x:v>
      </x:c>
      <x:c r="B73" s="5" t="str">
        <x:v>Maxwell Raleigh</x:v>
      </x:c>
      <x:c r="C73" s="1" t="str">
        <x:v>2750746</x:v>
      </x:c>
      <x:c r="D73" s="1" t="str">
        <x:v>jwxq5x4</x:v>
      </x:c>
      <x:c r="E73" s="1" t="str">
        <x:v>Bexley - B3</x:v>
      </x:c>
      <x:c r="F73" s="1" t="n">
        <x:v>2</x:v>
      </x:c>
      <x:c r="G73" s="1" t="n">
        <x:v>2</x:v>
      </x:c>
      <x:c r="H73" s="1" t="n">
        <x:v>1249</x:v>
      </x:c>
      <x:c r="I73" s="1" t="n">
        <x:v>1249</x:v>
      </x:c>
      <x:c r="J73" s="1" t="str">
        <x:v>$1,249</x:v>
      </x:c>
      <x:c r="K73" s="1" t="str">
        <x:v>$1,249</x:v>
      </x:c>
      <x:c r="L73" s="1" t="str">
        <x:v>true</x:v>
      </x:c>
      <x:c r="M73" s="1" t="str">
        <x:v>800 sq. ft.</x:v>
      </x:c>
      <x:c r="N73" s="1" t="n">
        <x:v>1</x:v>
      </x:c>
      <x:c r="O73" s="1" t="str">
        <x:v>FutureDate</x:v>
      </x:c>
      <x:c r="P73" s="1" t="str">
        <x:v>Available Soon</x:v>
      </x:c>
      <x:c r="Q73" s="1" t="n">
        <x:v>46612.99998842592</x:v>
      </x:c>
      <x:c r="R73" s="1" t="str"/>
      <x:c r="S73" s="1" t="str"/>
      <x:c r="T73" s="1" t="str"/>
      <x:c r="U73" s="1" t="str"/>
      <x:c r="V73" s="1" t="str">
        <x:v>2</x:v>
      </x:c>
      <x:c r="W73" s="1" t="str"/>
      <x:c r="X73" s="1" t="str">
        <x:v>false</x:v>
      </x:c>
      <x:c r="Y73" s="1" t="str">
        <x:v>false</x:v>
      </x:c>
      <x:c r="Z73" s="1" t="str">
        <x:v>[]</x:v>
      </x:c>
    </x:row>
    <x:row r="74" ht="15" hidden="0" customHeight="1">
      <x:c r="A74" s="1" t="str">
        <x:v>es0855q</x:v>
      </x:c>
      <x:c r="B74" s="5" t="str">
        <x:v>Maxwell Raleigh</x:v>
      </x:c>
      <x:c r="C74" s="1" t="str">
        <x:v>5858352</x:v>
      </x:c>
      <x:c r="D74" s="1" t="str">
        <x:v>gvqjf4w</x:v>
      </x:c>
      <x:c r="E74" s="1" t="str">
        <x:v>Bexley - B1 Alt</x:v>
      </x:c>
      <x:c r="F74" s="1" t="n">
        <x:v>2</x:v>
      </x:c>
      <x:c r="G74" s="1" t="n">
        <x:v>2</x:v>
      </x:c>
      <x:c r="H74" s="1" t="n">
        <x:v>1249</x:v>
      </x:c>
      <x:c r="I74" s="1" t="n">
        <x:v>1249</x:v>
      </x:c>
      <x:c r="J74" s="1" t="str">
        <x:v>$1,249</x:v>
      </x:c>
      <x:c r="K74" s="1" t="str">
        <x:v>$1,249</x:v>
      </x:c>
      <x:c r="L74" s="1" t="str">
        <x:v>false</x:v>
      </x:c>
      <x:c r="M74" s="1" t="str">
        <x:v>800 - 880 sq. ft.</x:v>
      </x:c>
      <x:c r="N74" s="1" t="n">
        <x:v>1</x:v>
      </x:c>
      <x:c r="O74" s="1" t="str">
        <x:v>FutureDate</x:v>
      </x:c>
      <x:c r="P74" s="1" t="str">
        <x:v>Available Soon</x:v>
      </x:c>
      <x:c r="Q74" s="1" t="n">
        <x:v>46612.99998842592</x:v>
      </x:c>
      <x:c r="R74" s="1" t="str"/>
      <x:c r="S74" s="1" t="str"/>
      <x:c r="T74" s="1" t="str"/>
      <x:c r="U74" s="1" t="str"/>
      <x:c r="V74" s="1" t="str"/>
      <x:c r="W74" s="1" t="str"/>
      <x:c r="X74" s="1" t="str">
        <x:v>false</x:v>
      </x:c>
      <x:c r="Y74" s="1" t="str">
        <x:v>false</x:v>
      </x:c>
      <x:c r="Z74" s="1" t="str">
        <x:v>[]</x:v>
      </x:c>
    </x:row>
    <x:row r="75" ht="15" hidden="0" customHeight="1">
      <x:c r="A75" s="1" t="str">
        <x:v>es0855q</x:v>
      </x:c>
      <x:c r="B75" s="5" t="str">
        <x:v>Maxwell Raleigh</x:v>
      </x:c>
      <x:c r="C75" s="1" t="str">
        <x:v>5909103</x:v>
      </x:c>
      <x:c r="D75" s="1" t="str">
        <x:v>wjfmewl</x:v>
      </x:c>
      <x:c r="E75" s="1" t="str">
        <x:v>Bexley - B Type A</x:v>
      </x:c>
      <x:c r="F75" s="1" t="n">
        <x:v>2</x:v>
      </x:c>
      <x:c r="G75" s="1" t="n">
        <x:v>2</x:v>
      </x:c>
      <x:c r="H75" s="1" t="n">
        <x:v>1249</x:v>
      </x:c>
      <x:c r="I75" s="1" t="n">
        <x:v>1249</x:v>
      </x:c>
      <x:c r="J75" s="1" t="str">
        <x:v>$1,249</x:v>
      </x:c>
      <x:c r="K75" s="1" t="str">
        <x:v>$1,249</x:v>
      </x:c>
      <x:c r="L75" s="1" t="str">
        <x:v>false</x:v>
      </x:c>
      <x:c r="M75" s="1" t="str">
        <x:v>800 sq. ft.</x:v>
      </x:c>
      <x:c r="N75" s="1" t="n">
        <x:v>1</x:v>
      </x:c>
      <x:c r="O75" s="1" t="str">
        <x:v>FutureDate</x:v>
      </x:c>
      <x:c r="P75" s="1" t="str">
        <x:v>Available Soon</x:v>
      </x:c>
      <x:c r="Q75" s="1" t="n">
        <x:v>46612.99998842592</x:v>
      </x:c>
      <x:c r="R75" s="1" t="str"/>
      <x:c r="S75" s="1" t="str"/>
      <x:c r="T75" s="1" t="str"/>
      <x:c r="U75" s="1" t="str"/>
      <x:c r="V75" s="1" t="str"/>
      <x:c r="W75" s="1" t="str"/>
      <x:c r="X75" s="1" t="str">
        <x:v>false</x:v>
      </x:c>
      <x:c r="Y75" s="1" t="str">
        <x:v>false</x:v>
      </x:c>
      <x:c r="Z75" s="1" t="str">
        <x:v>[]</x:v>
      </x:c>
    </x:row>
    <x:row r="76" ht="15" hidden="0" customHeight="1">
      <x:c r="A76" s="1" t="str">
        <x:v>es0855q</x:v>
      </x:c>
      <x:c r="B76" s="5" t="str">
        <x:v>Maxwell Raleigh</x:v>
      </x:c>
      <x:c r="C76" s="1" t="str">
        <x:v>2750756</x:v>
      </x:c>
      <x:c r="D76" s="1" t="str">
        <x:v>7331kvy</x:v>
      </x:c>
      <x:c r="E76" s="1" t="str">
        <x:v>Belmont</x:v>
      </x:c>
      <x:c r="F76" s="1" t="n">
        <x:v>2</x:v>
      </x:c>
      <x:c r="G76" s="1" t="n">
        <x:v>3</x:v>
      </x:c>
      <x:c r="H76" s="1" t="n">
        <x:v>1299</x:v>
      </x:c>
      <x:c r="I76" s="1" t="n">
        <x:v>1299</x:v>
      </x:c>
      <x:c r="J76" s="1" t="str">
        <x:v>$1,299</x:v>
      </x:c>
      <x:c r="K76" s="1" t="str">
        <x:v>$1,299</x:v>
      </x:c>
      <x:c r="L76" s="1" t="str">
        <x:v>true</x:v>
      </x:c>
      <x:c r="M76" s="1" t="str">
        <x:v>940 sq. ft.</x:v>
      </x:c>
      <x:c r="N76" s="1" t="n">
        <x:v>1</x:v>
      </x:c>
      <x:c r="O76" s="1" t="str">
        <x:v>FutureDate</x:v>
      </x:c>
      <x:c r="P76" s="1" t="str">
        <x:v>Available Soon</x:v>
      </x:c>
      <x:c r="Q76" s="1" t="n">
        <x:v>46612.99998842592</x:v>
      </x:c>
      <x:c r="R76" s="1" t="str"/>
      <x:c r="S76" s="1" t="str"/>
      <x:c r="T76" s="1" t="str"/>
      <x:c r="U76" s="1" t="str"/>
      <x:c r="V76" s="1" t="str">
        <x:v>3</x:v>
      </x:c>
      <x:c r="W76" s="1" t="str"/>
      <x:c r="X76" s="1" t="str">
        <x:v>false</x:v>
      </x:c>
      <x:c r="Y76" s="1" t="str">
        <x:v>false</x:v>
      </x:c>
      <x:c r="Z76" s="1" t="str">
        <x:v>[]</x:v>
      </x:c>
    </x:row>
    <x:row r="77" ht="15" hidden="0" customHeight="1">
      <x:c r="A77" s="1" t="str">
        <x:v>es0855q</x:v>
      </x:c>
      <x:c r="B77" s="5" t="str">
        <x:v>Maxwell Raleigh</x:v>
      </x:c>
      <x:c r="C77" s="1" t="str">
        <x:v>5858354</x:v>
      </x:c>
      <x:c r="D77" s="1" t="str">
        <x:v>j2hgzm4</x:v>
      </x:c>
      <x:c r="E77" s="1" t="str">
        <x:v>Chelsea- Premium</x:v>
      </x:c>
      <x:c r="F77" s="1" t="n">
        <x:v>3</x:v>
      </x:c>
      <x:c r="G77" s="1" t="n">
        <x:v>3</x:v>
      </x:c>
      <x:c r="H77" s="1" t="n">
        <x:v>799</x:v>
      </x:c>
      <x:c r="I77" s="1" t="n">
        <x:v>899</x:v>
      </x:c>
      <x:c r="J77" s="1" t="str">
        <x:v>$799 - $899</x:v>
      </x:c>
      <x:c r="K77" s="1" t="str">
        <x:v>$799 - $899</x:v>
      </x:c>
      <x:c r="L77" s="1" t="str">
        <x:v>false</x:v>
      </x:c>
      <x:c r="M77" s="1" t="str">
        <x:v>1,199 sq. ft.</x:v>
      </x:c>
      <x:c r="N77" s="1" t="n">
        <x:v>2</x:v>
      </x:c>
      <x:c r="O77" s="1" t="str">
        <x:v>FutureDate</x:v>
      </x:c>
      <x:c r="P77" s="1" t="str">
        <x:v>Available Soon</x:v>
      </x:c>
      <x:c r="Q77" s="1" t="n">
        <x:v>46612.99998842592</x:v>
      </x:c>
      <x:c r="R77" s="1" t="str"/>
      <x:c r="S77" s="1" t="str"/>
      <x:c r="T77" s="1" t="str"/>
      <x:c r="U77" s="1" t="str"/>
      <x:c r="V77" s="1" t="str"/>
      <x:c r="W77" s="1" t="str"/>
      <x:c r="X77" s="1" t="str">
        <x:v>false</x:v>
      </x:c>
      <x:c r="Y77" s="1" t="str">
        <x:v>false</x:v>
      </x:c>
      <x:c r="Z77" s="1" t="str">
        <x:v>[]</x:v>
      </x:c>
    </x:row>
    <x:row r="78" ht="15" hidden="0" customHeight="1">
      <x:c r="A78" s="1" t="str">
        <x:v>es0855q</x:v>
      </x:c>
      <x:c r="B78" s="5" t="str">
        <x:v>Maxwell Raleigh</x:v>
      </x:c>
      <x:c r="C78" s="1" t="str">
        <x:v>2750750</x:v>
      </x:c>
      <x:c r="D78" s="1" t="str">
        <x:v>m0f89rj</x:v>
      </x:c>
      <x:c r="E78" s="1" t="str">
        <x:v>Camden C1</x:v>
      </x:c>
      <x:c r="F78" s="1" t="n">
        <x:v>3</x:v>
      </x:c>
      <x:c r="G78" s="1" t="n">
        <x:v>3</x:v>
      </x:c>
      <x:c r="H78" s="1" t="n">
        <x:v>1149</x:v>
      </x:c>
      <x:c r="I78" s="1" t="n">
        <x:v>1169</x:v>
      </x:c>
      <x:c r="J78" s="1" t="str">
        <x:v>$1,149 - $1,169</x:v>
      </x:c>
      <x:c r="K78" s="1" t="str">
        <x:v>$1,149 - $1,169</x:v>
      </x:c>
      <x:c r="L78" s="1" t="str">
        <x:v>true</x:v>
      </x:c>
      <x:c r="M78" s="1" t="str">
        <x:v>1,115 sq. ft.</x:v>
      </x:c>
      <x:c r="N78" s="1" t="n">
        <x:v>2</x:v>
      </x:c>
      <x:c r="O78" s="1" t="str">
        <x:v>FutureDate</x:v>
      </x:c>
      <x:c r="P78" s="1" t="str">
        <x:v>Available Soon</x:v>
      </x:c>
      <x:c r="Q78" s="1" t="n">
        <x:v>46612.99998842592</x:v>
      </x:c>
      <x:c r="R78" s="1" t="str"/>
      <x:c r="S78" s="1" t="str"/>
      <x:c r="T78" s="1" t="str"/>
      <x:c r="U78" s="1" t="str"/>
      <x:c r="V78" s="1" t="str">
        <x:v>3</x:v>
      </x:c>
      <x:c r="W78" s="1" t="str"/>
      <x:c r="X78" s="1" t="str">
        <x:v>false</x:v>
      </x:c>
      <x:c r="Y78" s="1" t="str">
        <x:v>false</x:v>
      </x:c>
      <x:c r="Z78" s="1" t="str">
        <x:v>[]</x:v>
      </x:c>
    </x:row>
    <x:row r="79" ht="15" hidden="0" customHeight="1">
      <x:c r="A79" s="1" t="str">
        <x:v>es0855q</x:v>
      </x:c>
      <x:c r="B79" s="5" t="str">
        <x:v>Maxwell Raleigh</x:v>
      </x:c>
      <x:c r="C79" s="1" t="str">
        <x:v>2750752</x:v>
      </x:c>
      <x:c r="D79" s="1" t="str">
        <x:v>vhdxjtg</x:v>
      </x:c>
      <x:c r="E79" s="1" t="str">
        <x:v>Camden C5</x:v>
      </x:c>
      <x:c r="F79" s="1" t="n">
        <x:v>3</x:v>
      </x:c>
      <x:c r="G79" s="1" t="n">
        <x:v>3</x:v>
      </x:c>
      <x:c r="H79" s="1" t="n">
        <x:v>1149</x:v>
      </x:c>
      <x:c r="I79" s="1" t="n">
        <x:v>1169</x:v>
      </x:c>
      <x:c r="J79" s="1" t="str">
        <x:v>$1,149 - $1,169</x:v>
      </x:c>
      <x:c r="K79" s="1" t="str">
        <x:v>$1,149 - $1,169</x:v>
      </x:c>
      <x:c r="L79" s="1" t="str">
        <x:v>true</x:v>
      </x:c>
      <x:c r="M79" s="1" t="str">
        <x:v>1,199 sq. ft.</x:v>
      </x:c>
      <x:c r="N79" s="1" t="n">
        <x:v>2</x:v>
      </x:c>
      <x:c r="O79" s="1" t="str">
        <x:v>FutureDate</x:v>
      </x:c>
      <x:c r="P79" s="1" t="str">
        <x:v>Available Soon</x:v>
      </x:c>
      <x:c r="Q79" s="1" t="n">
        <x:v>46612.99998842592</x:v>
      </x:c>
      <x:c r="R79" s="1" t="str"/>
      <x:c r="S79" s="1" t="str"/>
      <x:c r="T79" s="1" t="str"/>
      <x:c r="U79" s="1" t="str"/>
      <x:c r="V79" s="1" t="str">
        <x:v>3</x:v>
      </x:c>
      <x:c r="W79" s="1" t="str"/>
      <x:c r="X79" s="1" t="str">
        <x:v>false</x:v>
      </x:c>
      <x:c r="Y79" s="1" t="str">
        <x:v>false</x:v>
      </x:c>
      <x:c r="Z79" s="1" t="str">
        <x:v>[]</x:v>
      </x:c>
    </x:row>
    <x:row r="80" ht="15" hidden="0" customHeight="1">
      <x:c r="A80" s="1" t="str">
        <x:v>es0855q</x:v>
      </x:c>
      <x:c r="B80" s="5" t="str">
        <x:v>Maxwell Raleigh</x:v>
      </x:c>
      <x:c r="C80" s="1" t="str">
        <x:v>2750753</x:v>
      </x:c>
      <x:c r="D80" s="1" t="str">
        <x:v>rjc4851</x:v>
      </x:c>
      <x:c r="E80" s="1" t="str">
        <x:v>Chatham - Premium</x:v>
      </x:c>
      <x:c r="F80" s="1" t="n">
        <x:v>3</x:v>
      </x:c>
      <x:c r="G80" s="1" t="n">
        <x:v>3</x:v>
      </x:c>
      <x:c r="H80" s="1" t="n">
        <x:v>1149</x:v>
      </x:c>
      <x:c r="I80" s="1" t="n">
        <x:v>1149</x:v>
      </x:c>
      <x:c r="J80" s="1" t="str">
        <x:v>$1,149</x:v>
      </x:c>
      <x:c r="K80" s="1" t="str">
        <x:v>$1,149</x:v>
      </x:c>
      <x:c r="L80" s="1" t="str">
        <x:v>true</x:v>
      </x:c>
      <x:c r="M80" s="1" t="str">
        <x:v>1,250 sq. ft.</x:v>
      </x:c>
      <x:c r="N80" s="1" t="n">
        <x:v>1</x:v>
      </x:c>
      <x:c r="O80" s="1" t="str">
        <x:v>FutureDate</x:v>
      </x:c>
      <x:c r="P80" s="1" t="str">
        <x:v>Available Soon</x:v>
      </x:c>
      <x:c r="Q80" s="1" t="n">
        <x:v>46612.99998842592</x:v>
      </x:c>
      <x:c r="R80" s="1" t="str"/>
      <x:c r="S80" s="1" t="str"/>
      <x:c r="T80" s="1" t="str"/>
      <x:c r="U80" s="1" t="str"/>
      <x:c r="V80" s="1" t="str">
        <x:v>3</x:v>
      </x:c>
      <x:c r="W80" s="1" t="str"/>
      <x:c r="X80" s="1" t="str">
        <x:v>false</x:v>
      </x:c>
      <x:c r="Y80" s="1" t="str">
        <x:v>false</x:v>
      </x:c>
      <x:c r="Z80" s="1" t="str">
        <x:v>[]</x:v>
      </x:c>
    </x:row>
    <x:row r="81" ht="15" hidden="0" customHeight="1">
      <x:c r="A81" s="1" t="str">
        <x:v>es0855q</x:v>
      </x:c>
      <x:c r="B81" s="5" t="str">
        <x:v>Maxwell Raleigh</x:v>
      </x:c>
      <x:c r="C81" s="1" t="str">
        <x:v>2750754</x:v>
      </x:c>
      <x:c r="D81" s="1" t="str">
        <x:v>cjbehfg</x:v>
      </x:c>
      <x:c r="E81" s="1" t="str">
        <x:v>Concord - C2</x:v>
      </x:c>
      <x:c r="F81" s="1" t="n">
        <x:v>3</x:v>
      </x:c>
      <x:c r="G81" s="1" t="n">
        <x:v>3</x:v>
      </x:c>
      <x:c r="H81" s="1" t="n">
        <x:v>1149</x:v>
      </x:c>
      <x:c r="I81" s="1" t="n">
        <x:v>1149</x:v>
      </x:c>
      <x:c r="J81" s="1" t="str">
        <x:v>$1,149</x:v>
      </x:c>
      <x:c r="K81" s="1" t="str">
        <x:v>$1,149</x:v>
      </x:c>
      <x:c r="L81" s="1" t="str">
        <x:v>true</x:v>
      </x:c>
      <x:c r="M81" s="1" t="str">
        <x:v>940 sq. ft.</x:v>
      </x:c>
      <x:c r="N81" s="1" t="n">
        <x:v>1</x:v>
      </x:c>
      <x:c r="O81" s="1" t="str">
        <x:v>FutureDate</x:v>
      </x:c>
      <x:c r="P81" s="1" t="str">
        <x:v>Available Soon</x:v>
      </x:c>
      <x:c r="Q81" s="1" t="n">
        <x:v>46612.99998842592</x:v>
      </x:c>
      <x:c r="R81" s="1" t="str"/>
      <x:c r="S81" s="1" t="str"/>
      <x:c r="T81" s="1" t="str"/>
      <x:c r="U81" s="1" t="str"/>
      <x:c r="V81" s="1" t="str">
        <x:v>3</x:v>
      </x:c>
      <x:c r="W81" s="1" t="str"/>
      <x:c r="X81" s="1" t="str">
        <x:v>false</x:v>
      </x:c>
      <x:c r="Y81" s="1" t="str">
        <x:v>false</x:v>
      </x:c>
      <x:c r="Z81" s="1" t="str">
        <x:v>[]</x:v>
      </x:c>
    </x:row>
    <x:row r="82" ht="15" hidden="0" customHeight="1">
      <x:c r="A82" s="1" t="str">
        <x:v>es0855q</x:v>
      </x:c>
      <x:c r="B82" s="5" t="str">
        <x:v>Maxwell Raleigh</x:v>
      </x:c>
      <x:c r="C82" s="1" t="str">
        <x:v>2692085</x:v>
      </x:c>
      <x:c r="D82" s="1" t="str">
        <x:v>y314blr</x:v>
      </x:c>
      <x:c r="E82" s="1" t="str">
        <x:v>Dover</x:v>
      </x:c>
      <x:c r="F82" s="1" t="n">
        <x:v>4</x:v>
      </x:c>
      <x:c r="G82" s="1" t="n">
        <x:v>3</x:v>
      </x:c>
      <x:c r="H82" s="1" t="n">
        <x:v>999</x:v>
      </x:c>
      <x:c r="I82" s="1" t="n">
        <x:v>1019</x:v>
      </x:c>
      <x:c r="J82" s="1" t="str">
        <x:v>$999 - $1,019</x:v>
      </x:c>
      <x:c r="K82" s="1" t="str">
        <x:v>$999 - $1,019</x:v>
      </x:c>
      <x:c r="L82" s="1" t="str">
        <x:v>true</x:v>
      </x:c>
      <x:c r="M82" s="1" t="str">
        <x:v>1,403 sq. ft.</x:v>
      </x:c>
      <x:c r="N82" s="1" t="n">
        <x:v>2</x:v>
      </x:c>
      <x:c r="O82" s="1" t="str">
        <x:v>FutureDate</x:v>
      </x:c>
      <x:c r="P82" s="1" t="str">
        <x:v>Available Soon</x:v>
      </x:c>
      <x:c r="Q82" s="1" t="n">
        <x:v>46612.99998842592</x:v>
      </x:c>
      <x:c r="R82" s="1" t="str"/>
      <x:c r="S82" s="1" t="str"/>
      <x:c r="T82" s="1" t="str"/>
      <x:c r="U82" s="1" t="str"/>
      <x:c r="V82" s="1" t="str">
        <x:v>4</x:v>
      </x:c>
      <x:c r="W82" s="1" t="str"/>
      <x:c r="X82" s="1" t="str">
        <x:v>false</x:v>
      </x:c>
      <x:c r="Y82" s="1" t="str">
        <x:v>false</x:v>
      </x:c>
      <x:c r="Z82" s="1" t="str">
        <x:v>[]</x:v>
      </x:c>
    </x:row>
    <x:row r="83" ht="15" hidden="0" customHeight="1">
      <x:c r="A83" s="1" t="str">
        <x:v>es0855q</x:v>
      </x:c>
      <x:c r="B83" s="5" t="str">
        <x:v>Maxwell Raleigh</x:v>
      </x:c>
      <x:c r="C83" s="1" t="str">
        <x:v>2750758</x:v>
      </x:c>
      <x:c r="D83" s="1" t="str">
        <x:v>ngjl6pn</x:v>
      </x:c>
      <x:c r="E83" s="1" t="str">
        <x:v>Derby - D3</x:v>
      </x:c>
      <x:c r="F83" s="1" t="n">
        <x:v>4</x:v>
      </x:c>
      <x:c r="G83" s="1" t="n">
        <x:v>4</x:v>
      </x:c>
      <x:c r="H83" s="1" t="n">
        <x:v>999</x:v>
      </x:c>
      <x:c r="I83" s="1" t="n">
        <x:v>1019</x:v>
      </x:c>
      <x:c r="J83" s="1" t="str">
        <x:v>$999 - $1,019</x:v>
      </x:c>
      <x:c r="K83" s="1" t="str">
        <x:v>$999 - $1,019</x:v>
      </x:c>
      <x:c r="L83" s="1" t="str">
        <x:v>true</x:v>
      </x:c>
      <x:c r="M83" s="1" t="str">
        <x:v>1,536 sq. ft.</x:v>
      </x:c>
      <x:c r="N83" s="1" t="n">
        <x:v>2</x:v>
      </x:c>
      <x:c r="O83" s="1" t="str">
        <x:v>FutureDate</x:v>
      </x:c>
      <x:c r="P83" s="1" t="str">
        <x:v>Available Soon</x:v>
      </x:c>
      <x:c r="Q83" s="1" t="n">
        <x:v>46612.99998842592</x:v>
      </x:c>
      <x:c r="R83" s="1" t="str"/>
      <x:c r="S83" s="1" t="str"/>
      <x:c r="T83" s="1" t="str"/>
      <x:c r="U83" s="1" t="str"/>
      <x:c r="V83" s="1" t="str">
        <x:v>4</x:v>
      </x:c>
      <x:c r="W83" s="1" t="str"/>
      <x:c r="X83" s="1" t="str">
        <x:v>false</x:v>
      </x:c>
      <x:c r="Y83" s="1" t="str">
        <x:v>false</x:v>
      </x:c>
      <x:c r="Z83" s="1" t="str">
        <x:v>[]</x:v>
      </x:c>
    </x:row>
    <x:row r="84" ht="15" hidden="0" customHeight="1">
      <x:c r="A84" s="1" t="str">
        <x:v>es0855q</x:v>
      </x:c>
      <x:c r="B84" s="5" t="str">
        <x:v>Maxwell Raleigh</x:v>
      </x:c>
      <x:c r="C84" s="1" t="str">
        <x:v>2692084</x:v>
      </x:c>
      <x:c r="D84" s="1" t="str">
        <x:v>cs8c0bg</x:v>
      </x:c>
      <x:c r="E84" s="1" t="str">
        <x:v>Dawson - Premium</x:v>
      </x:c>
      <x:c r="F84" s="1" t="n">
        <x:v>4</x:v>
      </x:c>
      <x:c r="G84" s="1" t="n">
        <x:v>4</x:v>
      </x:c>
      <x:c r="H84" s="1" t="n">
        <x:v>999</x:v>
      </x:c>
      <x:c r="I84" s="1" t="n">
        <x:v>999</x:v>
      </x:c>
      <x:c r="J84" s="1" t="str">
        <x:v>$999</x:v>
      </x:c>
      <x:c r="K84" s="1" t="str">
        <x:v>$999</x:v>
      </x:c>
      <x:c r="L84" s="1" t="str">
        <x:v>true</x:v>
      </x:c>
      <x:c r="M84" s="1" t="str">
        <x:v>1,642 sq. ft.</x:v>
      </x:c>
      <x:c r="N84" s="1" t="n">
        <x:v>1</x:v>
      </x:c>
      <x:c r="O84" s="1" t="str">
        <x:v>FutureDate</x:v>
      </x:c>
      <x:c r="P84" s="1" t="str">
        <x:v>Available Soon</x:v>
      </x:c>
      <x:c r="Q84" s="1" t="n">
        <x:v>46612.99998842592</x:v>
      </x:c>
      <x:c r="R84" s="1" t="str"/>
      <x:c r="S84" s="1" t="str"/>
      <x:c r="T84" s="1" t="str"/>
      <x:c r="U84" s="1" t="str"/>
      <x:c r="V84" s="1" t="str">
        <x:v>4</x:v>
      </x:c>
      <x:c r="W84" s="1" t="str"/>
      <x:c r="X84" s="1" t="str">
        <x:v>false</x:v>
      </x:c>
      <x:c r="Y84" s="1" t="str">
        <x:v>false</x:v>
      </x:c>
      <x:c r="Z84" s="1" t="str">
        <x:v>[]</x:v>
      </x:c>
    </x:row>
    <x:row r="85" ht="15" hidden="0" customHeight="1">
      <x:c r="A85" s="1" t="str">
        <x:v>es0855q</x:v>
      </x:c>
      <x:c r="B85" s="5" t="str">
        <x:v>Maxwell Raleigh</x:v>
      </x:c>
      <x:c r="C85" s="1" t="str">
        <x:v>2750765</x:v>
      </x:c>
      <x:c r="D85" s="1" t="str">
        <x:v>70g1jlz</x:v>
      </x:c>
      <x:c r="E85" s="1" t="str">
        <x:v>Derby D3 Alt 1</x:v>
      </x:c>
      <x:c r="F85" s="1" t="n">
        <x:v>4</x:v>
      </x:c>
      <x:c r="G85" s="1" t="n">
        <x:v>4</x:v>
      </x:c>
      <x:c r="H85" s="1" t="n">
        <x:v>999</x:v>
      </x:c>
      <x:c r="I85" s="1" t="n">
        <x:v>999</x:v>
      </x:c>
      <x:c r="J85" s="1" t="str">
        <x:v>$999</x:v>
      </x:c>
      <x:c r="K85" s="1" t="str">
        <x:v>$999</x:v>
      </x:c>
      <x:c r="L85" s="1" t="str">
        <x:v>true</x:v>
      </x:c>
      <x:c r="M85" s="1" t="str">
        <x:v>1,536 sq. ft.</x:v>
      </x:c>
      <x:c r="N85" s="1" t="n">
        <x:v>1</x:v>
      </x:c>
      <x:c r="O85" s="1" t="str">
        <x:v>FutureDate</x:v>
      </x:c>
      <x:c r="P85" s="1" t="str">
        <x:v>Available Soon</x:v>
      </x:c>
      <x:c r="Q85" s="1" t="n">
        <x:v>46612.99998842592</x:v>
      </x:c>
      <x:c r="R85" s="1" t="str"/>
      <x:c r="S85" s="1" t="str"/>
      <x:c r="T85" s="1" t="str"/>
      <x:c r="U85" s="1" t="str"/>
      <x:c r="V85" s="1" t="str">
        <x:v>4</x:v>
      </x:c>
      <x:c r="W85" s="1" t="str"/>
      <x:c r="X85" s="1" t="str">
        <x:v>false</x:v>
      </x:c>
      <x:c r="Y85" s="1" t="str">
        <x:v>false</x:v>
      </x:c>
      <x:c r="Z85" s="1" t="str">
        <x:v>[]</x:v>
      </x:c>
    </x:row>
    <x:row r="86" ht="15" hidden="0" customHeight="1">
      <x:c r="A86" s="1" t="str">
        <x:v>es0855q</x:v>
      </x:c>
      <x:c r="B86" s="5" t="str">
        <x:v>Maxwell Raleigh</x:v>
      </x:c>
      <x:c r="C86" s="1" t="str">
        <x:v>2750768</x:v>
      </x:c>
      <x:c r="D86" s="1" t="str">
        <x:v>m7k8fhl</x:v>
      </x:c>
      <x:c r="E86" s="1" t="str">
        <x:v>Denmark - D1</x:v>
      </x:c>
      <x:c r="F86" s="1" t="n">
        <x:v>4</x:v>
      </x:c>
      <x:c r="G86" s="1" t="n">
        <x:v>4</x:v>
      </x:c>
      <x:c r="H86" s="1" t="n">
        <x:v>999</x:v>
      </x:c>
      <x:c r="I86" s="1" t="n">
        <x:v>999</x:v>
      </x:c>
      <x:c r="J86" s="1" t="str">
        <x:v>$999</x:v>
      </x:c>
      <x:c r="K86" s="1" t="str">
        <x:v>$999</x:v>
      </x:c>
      <x:c r="L86" s="1" t="str">
        <x:v>true</x:v>
      </x:c>
      <x:c r="M86" s="1" t="str">
        <x:v>1,343 sq. ft.</x:v>
      </x:c>
      <x:c r="N86" s="1" t="n">
        <x:v>1</x:v>
      </x:c>
      <x:c r="O86" s="1" t="str">
        <x:v>FutureDate</x:v>
      </x:c>
      <x:c r="P86" s="1" t="str">
        <x:v>Available Soon</x:v>
      </x:c>
      <x:c r="Q86" s="1" t="n">
        <x:v>46612.99998842592</x:v>
      </x:c>
      <x:c r="R86" s="1" t="str"/>
      <x:c r="S86" s="1" t="str"/>
      <x:c r="T86" s="1" t="str"/>
      <x:c r="U86" s="1" t="str"/>
      <x:c r="V86" s="1" t="str">
        <x:v>4</x:v>
      </x:c>
      <x:c r="W86" s="1" t="str"/>
      <x:c r="X86" s="1" t="str">
        <x:v>false</x:v>
      </x:c>
      <x:c r="Y86" s="1" t="str">
        <x:v>false</x:v>
      </x:c>
      <x:c r="Z86" s="1" t="str">
        <x:v>[]</x:v>
      </x:c>
    </x:row>
    <x:row r="87" ht="15" hidden="0" customHeight="1">
      <x:c r="A87" s="1" t="str">
        <x:v>es0855q</x:v>
      </x:c>
      <x:c r="B87" s="5" t="str">
        <x:v>Maxwell Raleigh</x:v>
      </x:c>
      <x:c r="C87" s="1" t="str">
        <x:v>5858355</x:v>
      </x:c>
      <x:c r="D87" s="1" t="str">
        <x:v>xhs3x1n</x:v>
      </x:c>
      <x:c r="E87" s="1" t="str">
        <x:v>Denmark - D1 Alt</x:v>
      </x:c>
      <x:c r="F87" s="1" t="n">
        <x:v>4</x:v>
      </x:c>
      <x:c r="G87" s="1" t="n">
        <x:v>4</x:v>
      </x:c>
      <x:c r="H87" s="1" t="n">
        <x:v>999</x:v>
      </x:c>
      <x:c r="I87" s="1" t="n">
        <x:v>999</x:v>
      </x:c>
      <x:c r="J87" s="1" t="str">
        <x:v>$999</x:v>
      </x:c>
      <x:c r="K87" s="1" t="str">
        <x:v>$999</x:v>
      </x:c>
      <x:c r="L87" s="1" t="str">
        <x:v>false</x:v>
      </x:c>
      <x:c r="M87" s="1" t="str">
        <x:v>1,343 sq. ft.</x:v>
      </x:c>
      <x:c r="N87" s="1" t="n">
        <x:v>1</x:v>
      </x:c>
      <x:c r="O87" s="1" t="str">
        <x:v>FutureDate</x:v>
      </x:c>
      <x:c r="P87" s="1" t="str">
        <x:v>Available Soon</x:v>
      </x:c>
      <x:c r="Q87" s="1" t="n">
        <x:v>46612.99998842592</x:v>
      </x:c>
      <x:c r="R87" s="1" t="str"/>
      <x:c r="S87" s="1" t="str"/>
      <x:c r="T87" s="1" t="str"/>
      <x:c r="U87" s="1" t="str"/>
      <x:c r="V87" s="1" t="str"/>
      <x:c r="W87" s="1" t="str"/>
      <x:c r="X87" s="1" t="str">
        <x:v>false</x:v>
      </x:c>
      <x:c r="Y87" s="1" t="str">
        <x:v>false</x:v>
      </x:c>
      <x:c r="Z87" s="1" t="str">
        <x:v>[]</x:v>
      </x:c>
    </x:row>
    <x:row r="88" ht="15" hidden="0" customHeight="1">
      <x:c r="A88" s="1" t="str">
        <x:v>es0855q</x:v>
      </x:c>
      <x:c r="B88" s="5" t="str">
        <x:v>Maxwell Raleigh</x:v>
      </x:c>
      <x:c r="C88" s="1" t="str">
        <x:v>5858357</x:v>
      </x:c>
      <x:c r="D88" s="1" t="str">
        <x:v>5lpvy3m</x:v>
      </x:c>
      <x:c r="E88" s="1" t="str">
        <x:v>Derby - D3 Alt 2</x:v>
      </x:c>
      <x:c r="F88" s="1" t="n">
        <x:v>4</x:v>
      </x:c>
      <x:c r="G88" s="1" t="n">
        <x:v>4</x:v>
      </x:c>
      <x:c r="H88" s="1" t="n">
        <x:v>999</x:v>
      </x:c>
      <x:c r="I88" s="1" t="n">
        <x:v>999</x:v>
      </x:c>
      <x:c r="J88" s="1" t="str">
        <x:v>$999</x:v>
      </x:c>
      <x:c r="K88" s="1" t="str">
        <x:v>$999</x:v>
      </x:c>
      <x:c r="L88" s="1" t="str">
        <x:v>false</x:v>
      </x:c>
      <x:c r="M88" s="1" t="str">
        <x:v>1,536 sq. ft.</x:v>
      </x:c>
      <x:c r="N88" s="1" t="n">
        <x:v>1</x:v>
      </x:c>
      <x:c r="O88" s="1" t="str">
        <x:v>FutureDate</x:v>
      </x:c>
      <x:c r="P88" s="1" t="str">
        <x:v>Available Soon</x:v>
      </x:c>
      <x:c r="Q88" s="1" t="n">
        <x:v>46612.99998842592</x:v>
      </x:c>
      <x:c r="R88" s="1" t="str"/>
      <x:c r="S88" s="1" t="str"/>
      <x:c r="T88" s="1" t="str"/>
      <x:c r="U88" s="1" t="str"/>
      <x:c r="V88" s="1" t="str"/>
      <x:c r="W88" s="1" t="str"/>
      <x:c r="X88" s="1" t="str">
        <x:v>false</x:v>
      </x:c>
      <x:c r="Y88" s="1" t="str">
        <x:v>false</x:v>
      </x:c>
      <x:c r="Z88" s="1" t="str">
        <x:v>[]</x:v>
      </x:c>
    </x:row>
    <x:row r="89" ht="15" hidden="0" customHeight="1">
      <x:c r="A89" s="1" t="str">
        <x:v>es0855q</x:v>
      </x:c>
      <x:c r="B89" s="5" t="str">
        <x:v>Maxwell Raleigh</x:v>
      </x:c>
      <x:c r="C89" s="1" t="str">
        <x:v>5858358</x:v>
      </x:c>
      <x:c r="D89" s="1" t="str">
        <x:v>ymbt16r</x:v>
      </x:c>
      <x:c r="E89" s="1" t="str">
        <x:v>Derby - D3 Type A</x:v>
      </x:c>
      <x:c r="F89" s="1" t="n">
        <x:v>4</x:v>
      </x:c>
      <x:c r="G89" s="1" t="n">
        <x:v>4</x:v>
      </x:c>
      <x:c r="H89" s="1" t="n">
        <x:v>999</x:v>
      </x:c>
      <x:c r="I89" s="1" t="n">
        <x:v>999</x:v>
      </x:c>
      <x:c r="J89" s="1" t="str">
        <x:v>$999</x:v>
      </x:c>
      <x:c r="K89" s="1" t="str">
        <x:v>$999</x:v>
      </x:c>
      <x:c r="L89" s="1" t="str">
        <x:v>false</x:v>
      </x:c>
      <x:c r="M89" s="1" t="str">
        <x:v>1,536 sq. ft.</x:v>
      </x:c>
      <x:c r="N89" s="1" t="n">
        <x:v>1</x:v>
      </x:c>
      <x:c r="O89" s="1" t="str">
        <x:v>FutureDate</x:v>
      </x:c>
      <x:c r="P89" s="1" t="str">
        <x:v>Available Soon</x:v>
      </x:c>
      <x:c r="Q89" s="1" t="n">
        <x:v>46612.99998842592</x:v>
      </x:c>
      <x:c r="R89" s="1" t="str"/>
      <x:c r="S89" s="1" t="str"/>
      <x:c r="T89" s="1" t="str"/>
      <x:c r="U89" s="1" t="str"/>
      <x:c r="V89" s="1" t="str"/>
      <x:c r="W89" s="1" t="str"/>
      <x:c r="X89" s="1" t="str">
        <x:v>false</x:v>
      </x:c>
      <x:c r="Y89" s="1" t="str">
        <x:v>false</x:v>
      </x:c>
      <x:c r="Z89" s="1" t="str">
        <x:v>[]</x:v>
      </x:c>
    </x:row>
    <x:row r="90" ht="15" hidden="0" customHeight="1">
      <x:c r="A90" s="1" t="str">
        <x:v>es0855q</x:v>
      </x:c>
      <x:c r="B90" s="5" t="str">
        <x:v>Maxwell Raleigh</x:v>
      </x:c>
      <x:c r="C90" s="1" t="str">
        <x:v>5858360</x:v>
      </x:c>
      <x:c r="D90" s="1" t="str">
        <x:v>cdcn9gf</x:v>
      </x:c>
      <x:c r="E90" s="1" t="str">
        <x:v>Derby - D9</x:v>
      </x:c>
      <x:c r="F90" s="1" t="n">
        <x:v>4</x:v>
      </x:c>
      <x:c r="G90" s="1" t="n">
        <x:v>4</x:v>
      </x:c>
      <x:c r="H90" s="1" t="n">
        <x:v>999</x:v>
      </x:c>
      <x:c r="I90" s="1" t="n">
        <x:v>999</x:v>
      </x:c>
      <x:c r="J90" s="1" t="str">
        <x:v>$999</x:v>
      </x:c>
      <x:c r="K90" s="1" t="str">
        <x:v>$999</x:v>
      </x:c>
      <x:c r="L90" s="1" t="str">
        <x:v>false</x:v>
      </x:c>
      <x:c r="M90" s="1" t="str">
        <x:v>1,536 sq. ft.</x:v>
      </x:c>
      <x:c r="N90" s="1" t="n">
        <x:v>1</x:v>
      </x:c>
      <x:c r="O90" s="1" t="str">
        <x:v>FutureDate</x:v>
      </x:c>
      <x:c r="P90" s="1" t="str">
        <x:v>Available Soon</x:v>
      </x:c>
      <x:c r="Q90" s="1" t="n">
        <x:v>46612.99998842592</x:v>
      </x:c>
      <x:c r="R90" s="1" t="str"/>
      <x:c r="S90" s="1" t="str"/>
      <x:c r="T90" s="1" t="str"/>
      <x:c r="U90" s="1" t="str"/>
      <x:c r="V90" s="1" t="str"/>
      <x:c r="W90" s="1" t="str"/>
      <x:c r="X90" s="1" t="str">
        <x:v>false</x:v>
      </x:c>
      <x:c r="Y90" s="1" t="str">
        <x:v>false</x:v>
      </x:c>
      <x:c r="Z90" s="1" t="str">
        <x:v>[]</x:v>
      </x:c>
    </x:row>
    <x:row r="91" ht="15" hidden="0" customHeight="1">
      <x:c r="A91" s="1" t="str">
        <x:v>es0855q</x:v>
      </x:c>
      <x:c r="B91" s="5" t="str">
        <x:v>Maxwell Raleigh</x:v>
      </x:c>
      <x:c r="C91" s="1" t="str">
        <x:v>5858359</x:v>
      </x:c>
      <x:c r="D91" s="1" t="str">
        <x:v>nndcrzp</x:v>
      </x:c>
      <x:c r="E91" s="1" t="str">
        <x:v>Derby - D6</x:v>
      </x:c>
      <x:c r="F91" s="1" t="n">
        <x:v>4</x:v>
      </x:c>
      <x:c r="G91" s="1" t="n">
        <x:v>4</x:v>
      </x:c>
      <x:c r="H91" s="1" t="n">
        <x:v>1009</x:v>
      </x:c>
      <x:c r="I91" s="1" t="n">
        <x:v>1009</x:v>
      </x:c>
      <x:c r="J91" s="1" t="str">
        <x:v>$1,009</x:v>
      </x:c>
      <x:c r="K91" s="1" t="str">
        <x:v>$1,009</x:v>
      </x:c>
      <x:c r="L91" s="1" t="str">
        <x:v>false</x:v>
      </x:c>
      <x:c r="M91" s="1" t="str">
        <x:v>1,536 sq. ft.</x:v>
      </x:c>
      <x:c r="N91" s="1" t="n">
        <x:v>1</x:v>
      </x:c>
      <x:c r="O91" s="1" t="str">
        <x:v>FutureDate</x:v>
      </x:c>
      <x:c r="P91" s="1" t="str">
        <x:v>Available Soon</x:v>
      </x:c>
      <x:c r="Q91" s="1" t="n">
        <x:v>46612.99998842592</x:v>
      </x:c>
      <x:c r="R91" s="1" t="str"/>
      <x:c r="S91" s="1" t="str"/>
      <x:c r="T91" s="1" t="str"/>
      <x:c r="U91" s="1" t="str"/>
      <x:c r="V91" s="1" t="str"/>
      <x:c r="W91" s="1" t="str"/>
      <x:c r="X91" s="1" t="str">
        <x:v>false</x:v>
      </x:c>
      <x:c r="Y91" s="1" t="str">
        <x:v>false</x:v>
      </x:c>
      <x:c r="Z91" s="1" t="str">
        <x:v>[]</x:v>
      </x:c>
    </x:row>
    <x:row r="92" ht="15" hidden="0" customHeight="1">
      <x:c r="A92" s="1" t="str">
        <x:v>es0855q</x:v>
      </x:c>
      <x:c r="B92" s="5" t="str">
        <x:v>Maxwell Raleigh</x:v>
      </x:c>
      <x:c r="C92" s="1" t="str">
        <x:v>2750773</x:v>
      </x:c>
      <x:c r="D92" s="1" t="str">
        <x:v>ygl2yqv</x:v>
      </x:c>
      <x:c r="E92" s="1" t="str">
        <x:v>Deerwood - D7 Premium</x:v>
      </x:c>
      <x:c r="F92" s="1" t="n">
        <x:v>4</x:v>
      </x:c>
      <x:c r="G92" s="1" t="n">
        <x:v>4</x:v>
      </x:c>
      <x:c r="H92" s="1" t="n">
        <x:v>1059</x:v>
      </x:c>
      <x:c r="I92" s="1" t="n">
        <x:v>1059</x:v>
      </x:c>
      <x:c r="J92" s="1" t="str">
        <x:v>$1,059</x:v>
      </x:c>
      <x:c r="K92" s="1" t="str">
        <x:v>$1,059</x:v>
      </x:c>
      <x:c r="L92" s="1" t="str">
        <x:v>true</x:v>
      </x:c>
      <x:c r="M92" s="1" t="str">
        <x:v>1,535 sq. ft.</x:v>
      </x:c>
      <x:c r="N92" s="1" t="n">
        <x:v>1</x:v>
      </x:c>
      <x:c r="O92" s="1" t="str">
        <x:v>FutureDate</x:v>
      </x:c>
      <x:c r="P92" s="1" t="str">
        <x:v>Available Soon</x:v>
      </x:c>
      <x:c r="Q92" s="1" t="n">
        <x:v>46612.99998842592</x:v>
      </x:c>
      <x:c r="R92" s="1" t="str"/>
      <x:c r="S92" s="1" t="str"/>
      <x:c r="T92" s="1" t="str"/>
      <x:c r="U92" s="1" t="str"/>
      <x:c r="V92" s="1" t="str">
        <x:v>4</x:v>
      </x:c>
      <x:c r="W92" s="1" t="str"/>
      <x:c r="X92" s="1" t="str">
        <x:v>false</x:v>
      </x:c>
      <x:c r="Y92" s="1" t="str">
        <x:v>false</x:v>
      </x:c>
      <x:c r="Z92" s="1" t="str">
        <x:v>[]</x:v>
      </x:c>
    </x:row>
    <x:row r="93" ht="15" hidden="0" customHeight="1">
      <x:c r="A93" s="1" t="str">
        <x:v>es0855q</x:v>
      </x:c>
      <x:c r="B93" s="5" t="str">
        <x:v>Maxwell Raleigh</x:v>
      </x:c>
      <x:c r="C93" s="1" t="str">
        <x:v>2750775</x:v>
      </x:c>
      <x:c r="D93" s="1" t="str">
        <x:v>f99krcs</x:v>
      </x:c>
      <x:c r="E93" s="1" t="str">
        <x:v>Downing - D4 Premium</x:v>
      </x:c>
      <x:c r="F93" s="1" t="n">
        <x:v>4</x:v>
      </x:c>
      <x:c r="G93" s="1" t="n">
        <x:v>4</x:v>
      </x:c>
      <x:c r="H93" s="1" t="n">
        <x:v>1059</x:v>
      </x:c>
      <x:c r="I93" s="1" t="n">
        <x:v>1059</x:v>
      </x:c>
      <x:c r="J93" s="1" t="str">
        <x:v>$1,059</x:v>
      </x:c>
      <x:c r="K93" s="1" t="str">
        <x:v>$1,059</x:v>
      </x:c>
      <x:c r="L93" s="1" t="str">
        <x:v>true</x:v>
      </x:c>
      <x:c r="M93" s="1" t="str">
        <x:v>1,638 sq. ft.</x:v>
      </x:c>
      <x:c r="N93" s="1" t="n">
        <x:v>1</x:v>
      </x:c>
      <x:c r="O93" s="1" t="str">
        <x:v>FutureDate</x:v>
      </x:c>
      <x:c r="P93" s="1" t="str">
        <x:v>Available Soon</x:v>
      </x:c>
      <x:c r="Q93" s="1" t="n">
        <x:v>46612.99998842592</x:v>
      </x:c>
      <x:c r="R93" s="1" t="str"/>
      <x:c r="S93" s="1" t="str"/>
      <x:c r="T93" s="1" t="str"/>
      <x:c r="U93" s="1" t="str"/>
      <x:c r="V93" s="1" t="str">
        <x:v>4</x:v>
      </x:c>
      <x:c r="W93" s="1" t="str"/>
      <x:c r="X93" s="1" t="str">
        <x:v>false</x:v>
      </x:c>
      <x:c r="Y93" s="1" t="str">
        <x:v>false</x:v>
      </x:c>
      <x:c r="Z93" s="1" t="str">
        <x:v>[]</x:v>
      </x:c>
    </x:row>
    <x:row r="94" ht="15" hidden="0" customHeight="1">
      <x:c r="A94" s="1" t="str">
        <x:v>es0855q</x:v>
      </x:c>
      <x:c r="B94" s="5" t="str">
        <x:v>Maxwell Raleigh</x:v>
      </x:c>
      <x:c r="C94" s="1" t="str">
        <x:v>6065457</x:v>
      </x:c>
      <x:c r="D94" s="1" t="str">
        <x:v>44rd0jj</x:v>
      </x:c>
      <x:c r="E94" s="1" t="str">
        <x:v>Deerwood - D7 Alt Premium</x:v>
      </x:c>
      <x:c r="F94" s="1" t="n">
        <x:v>4</x:v>
      </x:c>
      <x:c r="G94" s="1" t="n">
        <x:v>4</x:v>
      </x:c>
      <x:c r="H94" s="1" t="n">
        <x:v>1059</x:v>
      </x:c>
      <x:c r="I94" s="1" t="n">
        <x:v>1059</x:v>
      </x:c>
      <x:c r="J94" s="1" t="str">
        <x:v>$1,059</x:v>
      </x:c>
      <x:c r="K94" s="1" t="str">
        <x:v>$1,059</x:v>
      </x:c>
      <x:c r="L94" s="1" t="str">
        <x:v>false</x:v>
      </x:c>
      <x:c r="M94" s="1" t="str">
        <x:v>1,535 sq. ft.</x:v>
      </x:c>
      <x:c r="N94" s="1" t="n">
        <x:v>1</x:v>
      </x:c>
      <x:c r="O94" s="1" t="str">
        <x:v>FutureDate</x:v>
      </x:c>
      <x:c r="P94" s="1" t="str">
        <x:v>Available Soon</x:v>
      </x:c>
      <x:c r="Q94" s="1" t="n">
        <x:v>46612.99998842592</x:v>
      </x:c>
      <x:c r="R94" s="1" t="str"/>
      <x:c r="S94" s="1" t="str"/>
      <x:c r="T94" s="1" t="str"/>
      <x:c r="U94" s="1" t="str"/>
      <x:c r="V94" s="1" t="str"/>
      <x:c r="W94" s="1" t="str"/>
      <x:c r="X94" s="1" t="str">
        <x:v>false</x:v>
      </x:c>
      <x:c r="Y94" s="1" t="str">
        <x:v>false</x:v>
      </x:c>
      <x:c r="Z94" s="1" t="str">
        <x:v>[]</x:v>
      </x:c>
    </x:row>
    <x:row r="95" ht="15" hidden="0" customHeight="1">
      <x:c r="A95" s="1" t="str">
        <x:v>es0855q</x:v>
      </x:c>
      <x:c r="B95" s="5" t="str">
        <x:v>Maxwell Raleigh</x:v>
      </x:c>
      <x:c r="C95" s="1" t="str">
        <x:v>5858353</x:v>
      </x:c>
      <x:c r="D95" s="1" t="str">
        <x:v>np0cvqq</x:v>
      </x:c>
      <x:c r="E95" s="1" t="str">
        <x:v>Downing - D5 Premium</x:v>
      </x:c>
      <x:c r="F95" s="1" t="n">
        <x:v>4</x:v>
      </x:c>
      <x:c r="G95" s="1" t="n">
        <x:v>4</x:v>
      </x:c>
      <x:c r="H95" s="1" t="n">
        <x:v>1069</x:v>
      </x:c>
      <x:c r="I95" s="1" t="n">
        <x:v>1069</x:v>
      </x:c>
      <x:c r="J95" s="1" t="str">
        <x:v>$1,069</x:v>
      </x:c>
      <x:c r="K95" s="1" t="str">
        <x:v>$1,069</x:v>
      </x:c>
      <x:c r="L95" s="1" t="str">
        <x:v>false</x:v>
      </x:c>
      <x:c r="M95" s="1" t="str">
        <x:v>1,638 sq. ft.</x:v>
      </x:c>
      <x:c r="N95" s="1" t="n">
        <x:v>1</x:v>
      </x:c>
      <x:c r="O95" s="1" t="str">
        <x:v>FutureDate</x:v>
      </x:c>
      <x:c r="P95" s="1" t="str">
        <x:v>Available Soon</x:v>
      </x:c>
      <x:c r="Q95" s="1" t="n">
        <x:v>46612.99998842592</x:v>
      </x:c>
      <x:c r="R95" s="1" t="str"/>
      <x:c r="S95" s="1" t="str"/>
      <x:c r="T95" s="1" t="str"/>
      <x:c r="U95" s="1" t="str"/>
      <x:c r="V95" s="1" t="str"/>
      <x:c r="W95" s="1" t="str"/>
      <x:c r="X95" s="1" t="str">
        <x:v>false</x:v>
      </x:c>
      <x:c r="Y95" s="1" t="str">
        <x:v>false</x:v>
      </x:c>
      <x:c r="Z95" s="1" t="str">
        <x:v>[]</x:v>
      </x:c>
    </x:row>
    <x:row r="96" ht="24" hidden="0" customHeight="1">
      <x:c r="A96" s="1" t="str">
        <x:v>ocpesl9n3p</x:v>
      </x:c>
      <x:c r="B96" s="5" t="str">
        <x:v>maisonNC --- Fully Furnished minutes away from Wolfline and Shopping</x:v>
      </x:c>
      <x:c r="C96" s="1" t="str">
        <x:v>1</x:v>
      </x:c>
      <x:c r="D96" s="1" t="str">
        <x:v>q2j0gkx</x:v>
      </x:c>
      <x:c r="E96" s="1" t="str"/>
      <x:c r="F96" s="1" t="n">
        <x:v>4</x:v>
      </x:c>
      <x:c r="G96" s="1" t="n">
        <x:v>4</x:v>
      </x:c>
      <x:c r="H96" s="1" t="n">
        <x:v>750</x:v>
      </x:c>
      <x:c r="I96" s="1" t="n">
        <x:v>750</x:v>
      </x:c>
      <x:c r="J96" s="1" t="str">
        <x:v>$750</x:v>
      </x:c>
      <x:c r="K96" s="1" t="str">
        <x:v>$750</x:v>
      </x:c>
      <x:c r="L96" s="1" t="str">
        <x:v>true</x:v>
      </x:c>
      <x:c r="M96" s="1" t="str">
        <x:v>1,220 sq. ft.</x:v>
      </x:c>
      <x:c r="N96" s="1" t="n">
        <x:v>1</x:v>
      </x:c>
      <x:c r="O96" s="1" t="str">
        <x:v>AvailableNow</x:v>
      </x:c>
      <x:c r="P96" s="1" t="str">
        <x:v>Rentals Available</x:v>
      </x:c>
      <x:c r="Q96" s="1" t="n">
        <x:v>25569.999988425927</x:v>
      </x:c>
      <x:c r="R96" s="1" t="str"/>
      <x:c r="S96" s="1" t="str"/>
      <x:c r="T96" s="1" t="str">
        <x:v>N/A</x:v>
      </x:c>
      <x:c r="U96" s="1" t="str">
        <x:v>N/A</x:v>
      </x:c>
      <x:c r="V96" s="1" t="str">
        <x:v>4</x:v>
      </x:c>
      <x:c r="W96" s="1" t="str"/>
      <x:c r="X96" s="1" t="str">
        <x:v>false</x:v>
      </x:c>
      <x:c r="Y96" s="1" t="str">
        <x:v>false</x:v>
      </x:c>
      <x:c r="Z96" s="1" t="str">
        <x:v>[]</x:v>
      </x:c>
    </x:row>
    <x:row r="97" ht="15" hidden="0" customHeight="1">
      <x:c r="A97" s="1" t="str">
        <x:v>lvqgnje</x:v>
      </x:c>
      <x:c r="B97" s="5" t="str">
        <x:v>Trellis-University Hill</x:v>
      </x:c>
      <x:c r="C97" s="1" t="str">
        <x:v>5980092</x:v>
      </x:c>
      <x:c r="D97" s="1" t="str">
        <x:v>0e6zhs3</x:v>
      </x:c>
      <x:c r="E97" s="1" t="str">
        <x:v>1 Bed 1 Bath</x:v>
      </x:c>
      <x:c r="F97" s="1" t="n">
        <x:v>1</x:v>
      </x:c>
      <x:c r="G97" s="1" t="n">
        <x:v>1</x:v>
      </x:c>
      <x:c r="H97" s="1" t="n">
        <x:v>1400</x:v>
      </x:c>
      <x:c r="I97" s="1" t="n">
        <x:v>1400</x:v>
      </x:c>
      <x:c r="J97" s="1" t="str">
        <x:v>$1,400</x:v>
      </x:c>
      <x:c r="K97" s="1" t="str">
        <x:v>$1,400</x:v>
      </x:c>
      <x:c r="L97" s="1" t="str">
        <x:v>false</x:v>
      </x:c>
      <x:c r="M97" s="1" t="str">
        <x:v>743 sq. ft.</x:v>
      </x:c>
      <x:c r="N97" s="1" t="n">
        <x:v>6</x:v>
      </x:c>
      <x:c r="O97" s="1" t="str">
        <x:v>AvailableNow</x:v>
      </x:c>
      <x:c r="P97" s="1" t="str">
        <x:v>Rentals Available</x:v>
      </x:c>
      <x:c r="Q97" s="1" t="n">
        <x:v>46259.99998842592</x:v>
      </x:c>
      <x:c r="R97" s="1" t="str"/>
      <x:c r="S97" s="1" t="str"/>
      <x:c r="T97" s="1" t="str"/>
      <x:c r="U97" s="1" t="str"/>
      <x:c r="V97" s="1" t="str">
        <x:v>2</x:v>
      </x:c>
      <x:c r="W97" s="1" t="str"/>
      <x:c r="X97" s="1" t="str">
        <x:v>false</x:v>
      </x:c>
      <x:c r="Y97" s="1" t="str">
        <x:v>false</x:v>
      </x:c>
      <x:c r="Z97" s="1" t="str">
        <x:v>[]</x:v>
      </x:c>
    </x:row>
    <x:row r="98" ht="15" hidden="0" customHeight="1">
      <x:c r="A98" s="1" t="str">
        <x:v>lvqgnje</x:v>
      </x:c>
      <x:c r="B98" s="5" t="str">
        <x:v>Trellis-University Hill</x:v>
      </x:c>
      <x:c r="C98" s="1" t="str">
        <x:v>5980089</x:v>
      </x:c>
      <x:c r="D98" s="1" t="str">
        <x:v>dsqlmwh</x:v>
      </x:c>
      <x:c r="E98" s="1" t="str">
        <x:v>2 Bed 2 Bath</x:v>
      </x:c>
      <x:c r="F98" s="1" t="n">
        <x:v>2</x:v>
      </x:c>
      <x:c r="G98" s="1" t="n">
        <x:v>2</x:v>
      </x:c>
      <x:c r="H98" s="1" t="n">
        <x:v>1625</x:v>
      </x:c>
      <x:c r="I98" s="1" t="n">
        <x:v>1625</x:v>
      </x:c>
      <x:c r="J98" s="1" t="str">
        <x:v>$1,625</x:v>
      </x:c>
      <x:c r="K98" s="1" t="str">
        <x:v>$1,625</x:v>
      </x:c>
      <x:c r="L98" s="1" t="str">
        <x:v>false</x:v>
      </x:c>
      <x:c r="M98" s="1" t="str">
        <x:v>1,048 sq. ft.</x:v>
      </x:c>
      <x:c r="N98" s="1" t="n">
        <x:v>0</x:v>
      </x:c>
      <x:c r="O98" s="1" t="str">
        <x:v>AvailableSoon</x:v>
      </x:c>
      <x:c r="P98" s="1" t="str">
        <x:v>Available Soon</x:v>
      </x:c>
      <x:c r="Q98" s="1" t="str"/>
      <x:c r="R98" s="1" t="str"/>
      <x:c r="S98" s="1" t="str"/>
      <x:c r="T98" s="1" t="str"/>
      <x:c r="U98" s="1" t="str"/>
      <x:c r="V98" s="1" t="str">
        <x:v>4</x:v>
      </x:c>
      <x:c r="W98" s="1" t="str"/>
      <x:c r="X98" s="1" t="str">
        <x:v>false</x:v>
      </x:c>
      <x:c r="Y98" s="1" t="str">
        <x:v>false</x:v>
      </x:c>
      <x:c r="Z98" s="1" t="str">
        <x:v>[]</x:v>
      </x:c>
    </x:row>
    <x:row r="99" ht="24" hidden="0" customHeight="1">
      <x:c r="A99" s="1" t="str">
        <x:v>ocpcm3jede</x:v>
      </x:c>
      <x:c r="B99" s="5" t="str">
        <x:v>maisonNC --- Fully Furnished minutes away from Wolfline and Shopping</x:v>
      </x:c>
      <x:c r="C99" s="1" t="str">
        <x:v>1</x:v>
      </x:c>
      <x:c r="D99" s="1" t="str">
        <x:v>q2j0gkx</x:v>
      </x:c>
      <x:c r="E99" s="1" t="str"/>
      <x:c r="F99" s="1" t="n">
        <x:v>4</x:v>
      </x:c>
      <x:c r="G99" s="1" t="n">
        <x:v>4</x:v>
      </x:c>
      <x:c r="H99" s="1" t="n">
        <x:v>750</x:v>
      </x:c>
      <x:c r="I99" s="1" t="n">
        <x:v>750</x:v>
      </x:c>
      <x:c r="J99" s="1" t="str">
        <x:v>$750</x:v>
      </x:c>
      <x:c r="K99" s="1" t="str">
        <x:v>$750</x:v>
      </x:c>
      <x:c r="L99" s="1" t="str">
        <x:v>true</x:v>
      </x:c>
      <x:c r="M99" s="1" t="str">
        <x:v>1,220 sq. ft.</x:v>
      </x:c>
      <x:c r="N99" s="1" t="n">
        <x:v>1</x:v>
      </x:c>
      <x:c r="O99" s="1" t="str">
        <x:v>AvailableNow</x:v>
      </x:c>
      <x:c r="P99" s="1" t="str">
        <x:v>Rentals Available</x:v>
      </x:c>
      <x:c r="Q99" s="1" t="n">
        <x:v>46266.99998842592</x:v>
      </x:c>
      <x:c r="R99" s="1" t="str"/>
      <x:c r="S99" s="1" t="str"/>
      <x:c r="T99" s="1" t="str">
        <x:v>N/A</x:v>
      </x:c>
      <x:c r="U99" s="1" t="str">
        <x:v>N/A</x:v>
      </x:c>
      <x:c r="V99" s="1" t="str">
        <x:v>4</x:v>
      </x:c>
      <x:c r="W99" s="1" t="str"/>
      <x:c r="X99" s="1" t="str">
        <x:v>false</x:v>
      </x:c>
      <x:c r="Y99" s="1" t="str">
        <x:v>false</x:v>
      </x:c>
      <x:c r="Z99" s="1" t="str">
        <x:v>[]</x:v>
      </x:c>
    </x:row>
    <x:row r="100" ht="15" hidden="0" customHeight="1">
      <x:c r="A100" s="1" t="str">
        <x:v>seyb987</x:v>
      </x:c>
      <x:c r="B100" s="5" t="str">
        <x:v>Wesley</x:v>
      </x:c>
      <x:c r="C100" s="1" t="str">
        <x:v>1876886</x:v>
      </x:c>
      <x:c r="D100" s="1" t="str">
        <x:v>c7wxpqd</x:v>
      </x:c>
      <x:c r="E100" s="1" t="str">
        <x:v>A2</x:v>
      </x:c>
      <x:c r="F100" s="1" t="n">
        <x:v>1</x:v>
      </x:c>
      <x:c r="G100" s="1" t="n">
        <x:v>1</x:v>
      </x:c>
      <x:c r="H100" s="1" t="n">
        <x:v>1270</x:v>
      </x:c>
      <x:c r="I100" s="1" t="n">
        <x:v>1455</x:v>
      </x:c>
      <x:c r="J100" s="1" t="str">
        <x:v>$1,270 - $1,455</x:v>
      </x:c>
      <x:c r="K100" s="1" t="str">
        <x:v>$1,385 - $1,570</x:v>
      </x:c>
      <x:c r="L100" s="1" t="str">
        <x:v>false</x:v>
      </x:c>
      <x:c r="M100" s="1" t="str">
        <x:v>805 sq. ft.</x:v>
      </x:c>
      <x:c r="N100" s="1" t="n">
        <x:v>7</x:v>
      </x:c>
      <x:c r="O100" s="1" t="str">
        <x:v>AvailableNow</x:v>
      </x:c>
      <x:c r="P100" s="1" t="str">
        <x:v>Rentals Available</x:v>
      </x:c>
      <x:c r="Q100" s="1" t="n">
        <x:v>46239.99998842592</x:v>
      </x:c>
      <x:c r="R100" s="1" t="str"/>
      <x:c r="S100" s="1" t="str"/>
      <x:c r="T100" s="1" t="str"/>
      <x:c r="U100" s="1" t="str"/>
      <x:c r="V100" s="1" t="str"/>
      <x:c r="W100" s="1" t="str"/>
      <x:c r="X100" s="1" t="str">
        <x:v>false</x:v>
      </x:c>
      <x:c r="Y100" s="1" t="str">
        <x:v>false</x:v>
      </x:c>
      <x:c r="Z100" s="1" t="str">
        <x:v>[]</x:v>
      </x:c>
    </x:row>
    <x:row r="101" ht="15" hidden="0" customHeight="1">
      <x:c r="A101" s="1" t="str">
        <x:v>seyb987</x:v>
      </x:c>
      <x:c r="B101" s="5" t="str">
        <x:v>Wesley</x:v>
      </x:c>
      <x:c r="C101" s="1" t="str">
        <x:v>985992</x:v>
      </x:c>
      <x:c r="D101" s="1" t="str">
        <x:v>49gsb1k</x:v>
      </x:c>
      <x:c r="E101" s="1" t="str">
        <x:v>A1</x:v>
      </x:c>
      <x:c r="F101" s="1" t="n">
        <x:v>1</x:v>
      </x:c>
      <x:c r="G101" s="1" t="n">
        <x:v>1</x:v>
      </x:c>
      <x:c r="H101" s="1" t="n">
        <x:v>1240</x:v>
      </x:c>
      <x:c r="I101" s="1" t="n">
        <x:v>1474</x:v>
      </x:c>
      <x:c r="J101" s="1" t="str">
        <x:v>$1,240 - $1,474</x:v>
      </x:c>
      <x:c r="K101" s="1" t="str">
        <x:v>$1,355 - $1,589</x:v>
      </x:c>
      <x:c r="L101" s="1" t="str">
        <x:v>false</x:v>
      </x:c>
      <x:c r="M101" s="1" t="str">
        <x:v>722 - 772 sq. ft.</x:v>
      </x:c>
      <x:c r="N101" s="1" t="n">
        <x:v>6</x:v>
      </x:c>
      <x:c r="O101" s="1" t="str">
        <x:v>AvailableNow</x:v>
      </x:c>
      <x:c r="P101" s="1" t="str">
        <x:v>Rentals Available</x:v>
      </x:c>
      <x:c r="Q101" s="1" t="n">
        <x:v>46212.99998842592</x:v>
      </x:c>
      <x:c r="R101" s="1" t="str"/>
      <x:c r="S101" s="1" t="str"/>
      <x:c r="T101" s="1" t="str"/>
      <x:c r="U101" s="1" t="str"/>
      <x:c r="V101" s="1" t="str"/>
      <x:c r="W101" s="1" t="str"/>
      <x:c r="X101" s="1" t="str">
        <x:v>false</x:v>
      </x:c>
      <x:c r="Y101" s="1" t="str">
        <x:v>false</x:v>
      </x:c>
      <x:c r="Z101" s="1" t="str">
        <x:v>[]</x:v>
      </x:c>
    </x:row>
    <x:row r="102" ht="15" hidden="0" customHeight="1">
      <x:c r="A102" s="1" t="str">
        <x:v>seyb987</x:v>
      </x:c>
      <x:c r="B102" s="5" t="str">
        <x:v>Wesley</x:v>
      </x:c>
      <x:c r="C102" s="1" t="str">
        <x:v>3035957</x:v>
      </x:c>
      <x:c r="D102" s="1" t="str">
        <x:v>gf5j0ty</x:v>
      </x:c>
      <x:c r="E102" s="1" t="str">
        <x:v>A3</x:v>
      </x:c>
      <x:c r="F102" s="1" t="n">
        <x:v>1</x:v>
      </x:c>
      <x:c r="G102" s="1" t="n">
        <x:v>1</x:v>
      </x:c>
      <x:c r="H102" s="1" t="n">
        <x:v>1530</x:v>
      </x:c>
      <x:c r="I102" s="1" t="n">
        <x:v>1685</x:v>
      </x:c>
      <x:c r="J102" s="1" t="str">
        <x:v>$1,530 - $1,685</x:v>
      </x:c>
      <x:c r="K102" s="1" t="str">
        <x:v>$1,645 - $1,800</x:v>
      </x:c>
      <x:c r="L102" s="1" t="str">
        <x:v>false</x:v>
      </x:c>
      <x:c r="M102" s="1" t="str">
        <x:v>890 sq. ft.</x:v>
      </x:c>
      <x:c r="N102" s="1" t="n">
        <x:v>3</x:v>
      </x:c>
      <x:c r="O102" s="1" t="str">
        <x:v>AvailableNow</x:v>
      </x:c>
      <x:c r="P102" s="1" t="str">
        <x:v>Rentals Available</x:v>
      </x:c>
      <x:c r="Q102" s="1" t="n">
        <x:v>46230.99998842592</x:v>
      </x:c>
      <x:c r="R102" s="1" t="str"/>
      <x:c r="S102" s="1" t="str"/>
      <x:c r="T102" s="1" t="str"/>
      <x:c r="U102" s="1" t="str"/>
      <x:c r="V102" s="1" t="str"/>
      <x:c r="W102" s="1" t="str"/>
      <x:c r="X102" s="1" t="str">
        <x:v>false</x:v>
      </x:c>
      <x:c r="Y102" s="1" t="str">
        <x:v>false</x:v>
      </x:c>
      <x:c r="Z102" s="1" t="str">
        <x:v>[]</x:v>
      </x:c>
    </x:row>
    <x:row r="103" ht="15" hidden="0" customHeight="1">
      <x:c r="A103" s="1" t="str">
        <x:v>seyb987</x:v>
      </x:c>
      <x:c r="B103" s="5" t="str">
        <x:v>Wesley</x:v>
      </x:c>
      <x:c r="C103" s="1" t="str">
        <x:v>986008</x:v>
      </x:c>
      <x:c r="D103" s="1" t="str">
        <x:v>p09cvmt</x:v>
      </x:c>
      <x:c r="E103" s="1" t="str">
        <x:v>B2</x:v>
      </x:c>
      <x:c r="F103" s="1" t="n">
        <x:v>2</x:v>
      </x:c>
      <x:c r="G103" s="1" t="n">
        <x:v>2</x:v>
      </x:c>
      <x:c r="H103" s="1" t="n">
        <x:v>1659</x:v>
      </x:c>
      <x:c r="I103" s="1" t="n">
        <x:v>1760</x:v>
      </x:c>
      <x:c r="J103" s="1" t="str">
        <x:v>$1,659 - $1,760</x:v>
      </x:c>
      <x:c r="K103" s="1" t="str">
        <x:v>$1,774 - $1,875</x:v>
      </x:c>
      <x:c r="L103" s="1" t="str">
        <x:v>false</x:v>
      </x:c>
      <x:c r="M103" s="1" t="str">
        <x:v>1,117 sq. ft.</x:v>
      </x:c>
      <x:c r="N103" s="1" t="n">
        <x:v>8</x:v>
      </x:c>
      <x:c r="O103" s="1" t="str">
        <x:v>AvailableNow</x:v>
      </x:c>
      <x:c r="P103" s="1" t="str">
        <x:v>Rentals Available</x:v>
      </x:c>
      <x:c r="Q103" s="1" t="n">
        <x:v>46262.99998842592</x:v>
      </x:c>
      <x:c r="R103" s="1" t="str"/>
      <x:c r="S103" s="1" t="str"/>
      <x:c r="T103" s="1" t="str"/>
      <x:c r="U103" s="1" t="str"/>
      <x:c r="V103" s="1" t="str"/>
      <x:c r="W103" s="1" t="str"/>
      <x:c r="X103" s="1" t="str">
        <x:v>false</x:v>
      </x:c>
      <x:c r="Y103" s="1" t="str">
        <x:v>false</x:v>
      </x:c>
      <x:c r="Z103" s="1" t="str">
        <x:v>[]</x:v>
      </x:c>
    </x:row>
    <x:row r="104" ht="15" hidden="0" customHeight="1">
      <x:c r="A104" s="1" t="str">
        <x:v>seyb987</x:v>
      </x:c>
      <x:c r="B104" s="5" t="str">
        <x:v>Wesley</x:v>
      </x:c>
      <x:c r="C104" s="1" t="str">
        <x:v>986006</x:v>
      </x:c>
      <x:c r="D104" s="1" t="str">
        <x:v>4c7s8jl</x:v>
      </x:c>
      <x:c r="E104" s="1" t="str">
        <x:v>B1</x:v>
      </x:c>
      <x:c r="F104" s="1" t="n">
        <x:v>2</x:v>
      </x:c>
      <x:c r="G104" s="1" t="n">
        <x:v>2</x:v>
      </x:c>
      <x:c r="H104" s="1" t="n">
        <x:v>1595</x:v>
      </x:c>
      <x:c r="I104" s="1" t="n">
        <x:v>1780</x:v>
      </x:c>
      <x:c r="J104" s="1" t="str">
        <x:v>$1,595 - $1,780</x:v>
      </x:c>
      <x:c r="K104" s="1" t="str">
        <x:v>$1,710 - $1,895</x:v>
      </x:c>
      <x:c r="L104" s="1" t="str">
        <x:v>false</x:v>
      </x:c>
      <x:c r="M104" s="1" t="str">
        <x:v>1,021 sq. ft.</x:v>
      </x:c>
      <x:c r="N104" s="1" t="n">
        <x:v>6</x:v>
      </x:c>
      <x:c r="O104" s="1" t="str">
        <x:v>AvailableNow</x:v>
      </x:c>
      <x:c r="P104" s="1" t="str">
        <x:v>Rentals Available</x:v>
      </x:c>
      <x:c r="Q104" s="1" t="n">
        <x:v>46248.99998842592</x:v>
      </x:c>
      <x:c r="R104" s="1" t="str"/>
      <x:c r="S104" s="1" t="str"/>
      <x:c r="T104" s="1" t="str"/>
      <x:c r="U104" s="1" t="str"/>
      <x:c r="V104" s="1" t="str"/>
      <x:c r="W104" s="1" t="str"/>
      <x:c r="X104" s="1" t="str">
        <x:v>false</x:v>
      </x:c>
      <x:c r="Y104" s="1" t="str">
        <x:v>false</x:v>
      </x:c>
      <x:c r="Z104" s="1" t="str">
        <x:v>[]</x:v>
      </x:c>
    </x:row>
    <x:row r="105" ht="15" hidden="0" customHeight="1">
      <x:c r="A105" s="1" t="str">
        <x:v>seyb987</x:v>
      </x:c>
      <x:c r="B105" s="5" t="str">
        <x:v>Wesley</x:v>
      </x:c>
      <x:c r="C105" s="1" t="str">
        <x:v>986010</x:v>
      </x:c>
      <x:c r="D105" s="1" t="str">
        <x:v>3v44hne</x:v>
      </x:c>
      <x:c r="E105" s="1" t="str">
        <x:v>C1</x:v>
      </x:c>
      <x:c r="F105" s="1" t="n">
        <x:v>3</x:v>
      </x:c>
      <x:c r="G105" s="1" t="n">
        <x:v>2</x:v>
      </x:c>
      <x:c r="H105" s="1" t="n">
        <x:v>1885</x:v>
      </x:c>
      <x:c r="I105" s="1" t="n">
        <x:v>2160</x:v>
      </x:c>
      <x:c r="J105" s="1" t="str">
        <x:v>$1,885 - $2,160</x:v>
      </x:c>
      <x:c r="K105" s="1" t="str">
        <x:v>$2,000 - $2,275</x:v>
      </x:c>
      <x:c r="L105" s="1" t="str">
        <x:v>false</x:v>
      </x:c>
      <x:c r="M105" s="1" t="str">
        <x:v>1,289 sq. ft.</x:v>
      </x:c>
      <x:c r="N105" s="1" t="n">
        <x:v>5</x:v>
      </x:c>
      <x:c r="O105" s="1" t="str">
        <x:v>AvailableNow</x:v>
      </x:c>
      <x:c r="P105" s="1" t="str">
        <x:v>Rentals Available</x:v>
      </x:c>
      <x:c r="Q105" s="1" t="n">
        <x:v>46261.99998842592</x:v>
      </x:c>
      <x:c r="R105" s="1" t="str"/>
      <x:c r="S105" s="1" t="str"/>
      <x:c r="T105" s="1" t="str"/>
      <x:c r="U105" s="1" t="str"/>
      <x:c r="V105" s="1" t="str"/>
      <x:c r="W105" s="1" t="str"/>
      <x:c r="X105" s="1" t="str">
        <x:v>false</x:v>
      </x:c>
      <x:c r="Y105" s="1" t="str">
        <x:v>false</x:v>
      </x:c>
      <x:c r="Z105" s="1" t="str">
        <x:v>[]</x:v>
      </x:c>
    </x:row>
    <x:row r="106" ht="15" hidden="0" customHeight="1">
      <x:c r="A106" s="1" t="str">
        <x:v>ocpnx5c0kn</x:v>
      </x:c>
      <x:c r="B106" s="5" t="str">
        <x:v>Modern &amp; spacious 3BR/3BA Apartment w/View</x:v>
      </x:c>
      <x:c r="C106" s="1" t="str">
        <x:v>1</x:v>
      </x:c>
      <x:c r="D106" s="1" t="str">
        <x:v>q2j0gkx</x:v>
      </x:c>
      <x:c r="E106" s="1" t="str"/>
      <x:c r="F106" s="1" t="n">
        <x:v>3</x:v>
      </x:c>
      <x:c r="G106" s="1" t="n">
        <x:v>3</x:v>
      </x:c>
      <x:c r="H106" s="1" t="n">
        <x:v>1000</x:v>
      </x:c>
      <x:c r="I106" s="1" t="n">
        <x:v>1000</x:v>
      </x:c>
      <x:c r="J106" s="1" t="str">
        <x:v>$1,000</x:v>
      </x:c>
      <x:c r="K106" s="1" t="str">
        <x:v>$1,000</x:v>
      </x:c>
      <x:c r="L106" s="1" t="str">
        <x:v>true</x:v>
      </x:c>
      <x:c r="M106" s="1" t="str">
        <x:v>1,500 sq. ft.</x:v>
      </x:c>
      <x:c r="N106" s="1" t="n">
        <x:v>1</x:v>
      </x:c>
      <x:c r="O106" s="1" t="str">
        <x:v>AvailableNow</x:v>
      </x:c>
      <x:c r="P106" s="1" t="str">
        <x:v>Rentals Available</x:v>
      </x:c>
      <x:c r="Q106" s="1" t="n">
        <x:v>25569.999988425927</x:v>
      </x:c>
      <x:c r="R106" s="1" t="str"/>
      <x:c r="S106" s="1" t="str"/>
      <x:c r="T106" s="1" t="str">
        <x:v>N/A</x:v>
      </x:c>
      <x:c r="U106" s="1" t="str">
        <x:v>N/A</x:v>
      </x:c>
      <x:c r="V106" s="1" t="str">
        <x:v>3</x:v>
      </x:c>
      <x:c r="W106" s="1" t="str"/>
      <x:c r="X106" s="1" t="str">
        <x:v>false</x:v>
      </x:c>
      <x:c r="Y106" s="1" t="str">
        <x:v>false</x:v>
      </x:c>
      <x:c r="Z106" s="1" t="str">
        <x:v>[]</x:v>
      </x:c>
    </x:row>
    <x:row r="107" ht="15" hidden="0" customHeight="1">
      <x:c r="A107" s="1" t="str">
        <x:v>ll5gb9f</x:v>
      </x:c>
      <x:c r="B107" s="5" t="str">
        <x:v>Rhyne's Gate Apartments</x:v>
      </x:c>
      <x:c r="C107" s="1" t="str">
        <x:v>1042825</x:v>
      </x:c>
      <x:c r="D107" s="1" t="str">
        <x:v>47k8mvk</x:v>
      </x:c>
      <x:c r="E107" s="1" t="str">
        <x:v>Standard Model</x:v>
      </x:c>
      <x:c r="F107" s="1" t="n">
        <x:v>2</x:v>
      </x:c>
      <x:c r="G107" s="1" t="n">
        <x:v>2</x:v>
      </x:c>
      <x:c r="H107" s="1" t="n">
        <x:v>1150</x:v>
      </x:c>
      <x:c r="I107" s="1" t="n">
        <x:v>1150</x:v>
      </x:c>
      <x:c r="J107" s="1" t="str">
        <x:v>$1,150</x:v>
      </x:c>
      <x:c r="K107" s="1" t="str">
        <x:v>$1,150</x:v>
      </x:c>
      <x:c r="L107" s="1" t="str">
        <x:v>false</x:v>
      </x:c>
      <x:c r="M107" s="1" t="str">
        <x:v>950 sq. ft.</x:v>
      </x:c>
      <x:c r="N107" s="1" t="n">
        <x:v>4</x:v>
      </x:c>
      <x:c r="O107" s="1" t="str">
        <x:v>AvailableNow</x:v>
      </x:c>
      <x:c r="P107" s="1" t="str">
        <x:v>Rentals Available</x:v>
      </x:c>
      <x:c r="Q107" s="1" t="str"/>
      <x:c r="R107" s="1" t="str"/>
      <x:c r="S107" s="1" t="str"/>
      <x:c r="T107" s="1" t="str"/>
      <x:c r="U107" s="1" t="str"/>
      <x:c r="V107" s="1" t="str">
        <x:v>4</x:v>
      </x:c>
      <x:c r="W107" s="1" t="str"/>
      <x:c r="X107" s="1" t="str">
        <x:v>false</x:v>
      </x:c>
      <x:c r="Y107" s="1" t="str">
        <x:v>false</x:v>
      </x:c>
      <x:c r="Z107" s="1" t="str">
        <x:v>[]</x:v>
      </x:c>
    </x:row>
    <x:row r="108" ht="15" hidden="0" customHeight="1">
      <x:c r="A108" s="1" t="str">
        <x:v>ocp5ey2bmq</x:v>
      </x:c>
      <x:c r="B108" s="5" t="str">
        <x:v>Furnished Studio/ADU | Olde Raleigh | Parking | Fast Wi-Fi</x:v>
      </x:c>
      <x:c r="C108" s="1" t="str">
        <x:v>1</x:v>
      </x:c>
      <x:c r="D108" s="1" t="str">
        <x:v>q2j0gkx</x:v>
      </x:c>
      <x:c r="E108" s="1" t="str"/>
      <x:c r="F108" s="1" t="n">
        <x:v>0</x:v>
      </x:c>
      <x:c r="G108" s="1" t="n">
        <x:v>1</x:v>
      </x:c>
      <x:c r="H108" s="1" t="n">
        <x:v>1875</x:v>
      </x:c>
      <x:c r="I108" s="1" t="n">
        <x:v>1875</x:v>
      </x:c>
      <x:c r="J108" s="1" t="str">
        <x:v>$1,875</x:v>
      </x:c>
      <x:c r="K108" s="1" t="str">
        <x:v>$1,875</x:v>
      </x:c>
      <x:c r="L108" s="1" t="str">
        <x:v>false</x:v>
      </x:c>
      <x:c r="M108" s="1" t="str">
        <x:v>670 sq. ft.</x:v>
      </x:c>
      <x:c r="N108" s="1" t="n">
        <x:v>1</x:v>
      </x:c>
      <x:c r="O108" s="1" t="str">
        <x:v>AvailableNow</x:v>
      </x:c>
      <x:c r="P108" s="1" t="str">
        <x:v>Rentals Available</x:v>
      </x:c>
      <x:c r="Q108" s="1" t="n">
        <x:v>25569.999988425927</x:v>
      </x:c>
      <x:c r="R108" s="1" t="str"/>
      <x:c r="S108" s="1" t="str"/>
      <x:c r="T108" s="1" t="str">
        <x:v>N/A</x:v>
      </x:c>
      <x:c r="U108" s="1" t="str">
        <x:v>N/A</x:v>
      </x:c>
      <x:c r="V108" s="1" t="str">
        <x:v>2</x:v>
      </x:c>
      <x:c r="W108" s="1" t="str"/>
      <x:c r="X108" s="1" t="str">
        <x:v>false</x:v>
      </x:c>
      <x:c r="Y108" s="1" t="str">
        <x:v>false</x:v>
      </x:c>
      <x:c r="Z108" s="1" t="str">
        <x:v>[]</x:v>
      </x:c>
    </x:row>
    <x:row r="109" ht="15" hidden="0" customHeight="1">
      <x:c r="A109" s="1" t="str">
        <x:v>70rqkwy</x:v>
      </x:c>
      <x:c r="B109" s="5" t="str">
        <x:v>Brook Hill Townhouse - Students Save Up to 10%</x:v>
      </x:c>
      <x:c r="C109" s="1" t="str">
        <x:v>2661427</x:v>
      </x:c>
      <x:c r="D109" s="1" t="str">
        <x:v>1ejxmv6</x:v>
      </x:c>
      <x:c r="E109" s="1" t="str">
        <x:v>Cherry Birch</x:v>
      </x:c>
      <x:c r="F109" s="1" t="n">
        <x:v>1</x:v>
      </x:c>
      <x:c r="G109" s="1" t="n">
        <x:v>1.5</x:v>
      </x:c>
      <x:c r="H109" s="1" t="n">
        <x:v>1350</x:v>
      </x:c>
      <x:c r="I109" s="1" t="n">
        <x:v>1610</x:v>
      </x:c>
      <x:c r="J109" s="1" t="str">
        <x:v>$1,350 - $1,610</x:v>
      </x:c>
      <x:c r="K109" s="1" t="str">
        <x:v>$1,379 - $1,639</x:v>
      </x:c>
      <x:c r="L109" s="1" t="str">
        <x:v>false</x:v>
      </x:c>
      <x:c r="M109" s="1" t="str">
        <x:v>645 sq. ft.</x:v>
      </x:c>
      <x:c r="N109" s="1" t="n">
        <x:v>0</x:v>
      </x:c>
      <x:c r="O109" s="1" t="str">
        <x:v>AvailableSoon</x:v>
      </x:c>
      <x:c r="P109" s="1" t="str">
        <x:v>Available Soon</x:v>
      </x:c>
      <x:c r="Q109" s="1" t="str"/>
      <x:c r="R109" s="1" t="str"/>
      <x:c r="S109" s="1" t="str"/>
      <x:c r="T109" s="1" t="str"/>
      <x:c r="U109" s="1" t="str"/>
      <x:c r="V109" s="1" t="str"/>
      <x:c r="W109" s="1" t="str"/>
      <x:c r="X109" s="1" t="str">
        <x:v>false</x:v>
      </x:c>
      <x:c r="Y109" s="1" t="str">
        <x:v>false</x:v>
      </x:c>
      <x:c r="Z109" s="1" t="str">
        <x:v>[]</x:v>
      </x:c>
    </x:row>
    <x:row r="110" ht="15" hidden="0" customHeight="1">
      <x:c r="A110" s="1" t="str">
        <x:v>70rqkwy</x:v>
      </x:c>
      <x:c r="B110" s="5" t="str">
        <x:v>Brook Hill Townhouse - Students Save Up to 10%</x:v>
      </x:c>
      <x:c r="C110" s="1" t="str">
        <x:v>1383299</x:v>
      </x:c>
      <x:c r="D110" s="1" t="str">
        <x:v>vy4f2sf</x:v>
      </x:c>
      <x:c r="E110" s="1" t="str">
        <x:v>Silver Birch</x:v>
      </x:c>
      <x:c r="F110" s="1" t="n">
        <x:v>2</x:v>
      </x:c>
      <x:c r="G110" s="1" t="n">
        <x:v>1.5</x:v>
      </x:c>
      <x:c r="H110" s="1" t="n">
        <x:v>1355</x:v>
      </x:c>
      <x:c r="I110" s="1" t="n">
        <x:v>1645</x:v>
      </x:c>
      <x:c r="J110" s="1" t="str">
        <x:v>$1,355 - $1,645</x:v>
      </x:c>
      <x:c r="K110" s="1" t="str">
        <x:v>$1,384 - $1,674</x:v>
      </x:c>
      <x:c r="L110" s="1" t="str">
        <x:v>false</x:v>
      </x:c>
      <x:c r="M110" s="1" t="str">
        <x:v>827 sq. ft.</x:v>
      </x:c>
      <x:c r="N110" s="1" t="n">
        <x:v>1</x:v>
      </x:c>
      <x:c r="O110" s="1" t="str">
        <x:v>AvailableNow</x:v>
      </x:c>
      <x:c r="P110" s="1" t="str">
        <x:v>Rentals Available</x:v>
      </x:c>
      <x:c r="Q110" s="1" t="n">
        <x:v>46273.99998842592</x:v>
      </x:c>
      <x:c r="R110" s="1" t="str"/>
      <x:c r="S110" s="1" t="str"/>
      <x:c r="T110" s="1" t="str"/>
      <x:c r="U110" s="1" t="str"/>
      <x:c r="V110" s="1" t="str"/>
      <x:c r="W110" s="1" t="str"/>
      <x:c r="X110" s="1" t="str">
        <x:v>false</x:v>
      </x:c>
      <x:c r="Y110" s="1" t="str">
        <x:v>false</x:v>
      </x:c>
      <x:c r="Z110" s="1" t="str">
        <x:v>[]</x:v>
      </x:c>
    </x:row>
    <x:row r="111" ht="15" hidden="0" customHeight="1">
      <x:c r="A111" s="1" t="str">
        <x:v>70rqkwy</x:v>
      </x:c>
      <x:c r="B111" s="5" t="str">
        <x:v>Brook Hill Townhouse - Students Save Up to 10%</x:v>
      </x:c>
      <x:c r="C111" s="1" t="str">
        <x:v>1688882</x:v>
      </x:c>
      <x:c r="D111" s="1" t="str">
        <x:v>xe5wdvm</x:v>
      </x:c>
      <x:c r="E111" s="1" t="str">
        <x:v>Water Birch</x:v>
      </x:c>
      <x:c r="F111" s="1" t="n">
        <x:v>3</x:v>
      </x:c>
      <x:c r="G111" s="1" t="n">
        <x:v>1.5</x:v>
      </x:c>
      <x:c r="H111" s="1" t="str"/>
      <x:c r="I111" s="1" t="str"/>
      <x:c r="J111" s="1" t="str"/>
      <x:c r="K111" s="1" t="str"/>
      <x:c r="L111" s="1" t="str">
        <x:v>false</x:v>
      </x:c>
      <x:c r="M111" s="1" t="str">
        <x:v>1,009 sq. ft.</x:v>
      </x:c>
      <x:c r="N111" s="1" t="n">
        <x:v>0</x:v>
      </x:c>
      <x:c r="O111" s="1" t="str">
        <x:v>AvailableSoon</x:v>
      </x:c>
      <x:c r="P111" s="1" t="str">
        <x:v>Available Soon</x:v>
      </x:c>
      <x:c r="Q111" s="1" t="str"/>
      <x:c r="R111" s="1" t="str"/>
      <x:c r="S111" s="1" t="str"/>
      <x:c r="T111" s="1" t="str"/>
      <x:c r="U111" s="1" t="str"/>
      <x:c r="V111" s="1" t="str"/>
      <x:c r="W111" s="1" t="str"/>
      <x:c r="X111" s="1" t="str">
        <x:v>false</x:v>
      </x:c>
      <x:c r="Y111" s="1" t="str">
        <x:v>false</x:v>
      </x:c>
      <x:c r="Z111" s="1" t="str">
        <x:v>[]</x:v>
      </x:c>
    </x:row>
    <x:row r="112" ht="24" hidden="0" customHeight="1">
      <x:c r="A112" s="1" t="str">
        <x:v>ocpjeweyz6</x:v>
      </x:c>
      <x:c r="B112" s="5" t="str">
        <x:v>All Girls Unit - Room with Private Bathroom at  University Woods at Centennial Condominiums</x:v>
      </x:c>
      <x:c r="C112" s="1" t="str">
        <x:v>1</x:v>
      </x:c>
      <x:c r="D112" s="1" t="str">
        <x:v>q2j0gkx</x:v>
      </x:c>
      <x:c r="E112" s="1" t="str"/>
      <x:c r="F112" s="1" t="n">
        <x:v>4</x:v>
      </x:c>
      <x:c r="G112" s="1" t="n">
        <x:v>4</x:v>
      </x:c>
      <x:c r="H112" s="1" t="n">
        <x:v>645</x:v>
      </x:c>
      <x:c r="I112" s="1" t="n">
        <x:v>645</x:v>
      </x:c>
      <x:c r="J112" s="1" t="str">
        <x:v>$645</x:v>
      </x:c>
      <x:c r="K112" s="1" t="str">
        <x:v>$645</x:v>
      </x:c>
      <x:c r="L112" s="1" t="str">
        <x:v>true</x:v>
      </x:c>
      <x:c r="M112" s="1" t="str">
        <x:v>200 sq. ft.</x:v>
      </x:c>
      <x:c r="N112" s="1" t="n">
        <x:v>1</x:v>
      </x:c>
      <x:c r="O112" s="1" t="str">
        <x:v>AvailableNow</x:v>
      </x:c>
      <x:c r="P112" s="1" t="str">
        <x:v>Rentals Available</x:v>
      </x:c>
      <x:c r="Q112" s="1" t="n">
        <x:v>25569.999988425927</x:v>
      </x:c>
      <x:c r="R112" s="1" t="str"/>
      <x:c r="S112" s="1" t="str"/>
      <x:c r="T112" s="1" t="str">
        <x:v>N/A</x:v>
      </x:c>
      <x:c r="U112" s="1" t="str">
        <x:v>N/A</x:v>
      </x:c>
      <x:c r="V112" s="1" t="str">
        <x:v>1</x:v>
      </x:c>
      <x:c r="W112" s="1" t="str"/>
      <x:c r="X112" s="1" t="str">
        <x:v>false</x:v>
      </x:c>
      <x:c r="Y112" s="1" t="str">
        <x:v>false</x:v>
      </x:c>
      <x:c r="Z112" s="1" t="str">
        <x:v>[]</x:v>
      </x:c>
    </x:row>
    <x:row r="113" ht="15" hidden="0" customHeight="1">
      <x:c r="A113" s="1" t="str">
        <x:v>0smdl31</x:v>
      </x:c>
      <x:c r="B113" s="5" t="str">
        <x:v>Paloma Raleigh</x:v>
      </x:c>
      <x:c r="C113" s="1" t="str">
        <x:v>2552040</x:v>
      </x:c>
      <x:c r="D113" s="1" t="str">
        <x:v>rcmy6l2</x:v>
      </x:c>
      <x:c r="E113" s="1" t="str">
        <x:v>1x1</x:v>
      </x:c>
      <x:c r="F113" s="1" t="n">
        <x:v>1</x:v>
      </x:c>
      <x:c r="G113" s="1" t="n">
        <x:v>1</x:v>
      </x:c>
      <x:c r="H113" s="1" t="n">
        <x:v>1599</x:v>
      </x:c>
      <x:c r="I113" s="1" t="n">
        <x:v>1599</x:v>
      </x:c>
      <x:c r="J113" s="1" t="str">
        <x:v>$1,599</x:v>
      </x:c>
      <x:c r="K113" s="1" t="str">
        <x:v>$1,599</x:v>
      </x:c>
      <x:c r="L113" s="1" t="str">
        <x:v>true</x:v>
      </x:c>
      <x:c r="M113" s="1" t="str">
        <x:v>591 sq. ft.</x:v>
      </x:c>
      <x:c r="N113" s="1" t="n">
        <x:v>6</x:v>
      </x:c>
      <x:c r="O113" s="1" t="str">
        <x:v>CallForAvailability</x:v>
      </x:c>
      <x:c r="P113" s="1" t="str">
        <x:v>Rentals Available</x:v>
      </x:c>
      <x:c r="Q113" s="1" t="n">
        <x:v>45884.99998842592</x:v>
      </x:c>
      <x:c r="R113" s="1" t="str"/>
      <x:c r="S113" s="1" t="str"/>
      <x:c r="T113" s="1" t="str"/>
      <x:c r="U113" s="1" t="str"/>
      <x:c r="V113" s="1" t="str"/>
      <x:c r="W113" s="1" t="str"/>
      <x:c r="X113" s="1" t="str">
        <x:v>false</x:v>
      </x:c>
      <x:c r="Y113" s="1" t="str">
        <x:v>false</x:v>
      </x:c>
      <x:c r="Z113" s="1" t="str">
        <x:v>[]</x:v>
      </x:c>
    </x:row>
    <x:row r="114" ht="15" hidden="0" customHeight="1">
      <x:c r="A114" s="1" t="str">
        <x:v>0smdl31</x:v>
      </x:c>
      <x:c r="B114" s="5" t="str">
        <x:v>Paloma Raleigh</x:v>
      </x:c>
      <x:c r="C114" s="1" t="str">
        <x:v>2440368</x:v>
      </x:c>
      <x:c r="D114" s="1" t="str">
        <x:v>e4tnp6q</x:v>
      </x:c>
      <x:c r="E114" s="1" t="str">
        <x:v>2x2</x:v>
      </x:c>
      <x:c r="F114" s="1" t="n">
        <x:v>2</x:v>
      </x:c>
      <x:c r="G114" s="1" t="n">
        <x:v>2</x:v>
      </x:c>
      <x:c r="H114" s="1" t="n">
        <x:v>979</x:v>
      </x:c>
      <x:c r="I114" s="1" t="n">
        <x:v>979</x:v>
      </x:c>
      <x:c r="J114" s="1" t="str">
        <x:v>$979</x:v>
      </x:c>
      <x:c r="K114" s="1" t="str">
        <x:v>$979</x:v>
      </x:c>
      <x:c r="L114" s="1" t="str">
        <x:v>true</x:v>
      </x:c>
      <x:c r="M114" s="1" t="str">
        <x:v>841 sq. ft.</x:v>
      </x:c>
      <x:c r="N114" s="1" t="n">
        <x:v>7</x:v>
      </x:c>
      <x:c r="O114" s="1" t="str">
        <x:v>CallForAvailability</x:v>
      </x:c>
      <x:c r="P114" s="1" t="str">
        <x:v>Rentals Available</x:v>
      </x:c>
      <x:c r="Q114" s="1" t="n">
        <x:v>45778.99998842592</x:v>
      </x:c>
      <x:c r="R114" s="1" t="str"/>
      <x:c r="S114" s="1" t="str"/>
      <x:c r="T114" s="1" t="str"/>
      <x:c r="U114" s="1" t="str"/>
      <x:c r="V114" s="1" t="str"/>
      <x:c r="W114" s="1" t="str"/>
      <x:c r="X114" s="1" t="str">
        <x:v>false</x:v>
      </x:c>
      <x:c r="Y114" s="1" t="str">
        <x:v>false</x:v>
      </x:c>
      <x:c r="Z114" s="1" t="str">
        <x:v>[]</x:v>
      </x:c>
    </x:row>
    <x:row r="115" ht="15" hidden="0" customHeight="1">
      <x:c r="A115" s="1" t="str">
        <x:v>0smdl31</x:v>
      </x:c>
      <x:c r="B115" s="5" t="str">
        <x:v>Paloma Raleigh</x:v>
      </x:c>
      <x:c r="C115" s="1" t="str">
        <x:v>2440369</x:v>
      </x:c>
      <x:c r="D115" s="1" t="str">
        <x:v>3rcv22d</x:v>
      </x:c>
      <x:c r="E115" s="1" t="str">
        <x:v>2x2 Corner</x:v>
      </x:c>
      <x:c r="F115" s="1" t="n">
        <x:v>2</x:v>
      </x:c>
      <x:c r="G115" s="1" t="n">
        <x:v>2</x:v>
      </x:c>
      <x:c r="H115" s="1" t="n">
        <x:v>989</x:v>
      </x:c>
      <x:c r="I115" s="1" t="n">
        <x:v>989</x:v>
      </x:c>
      <x:c r="J115" s="1" t="str">
        <x:v>$989</x:v>
      </x:c>
      <x:c r="K115" s="1" t="str">
        <x:v>$989</x:v>
      </x:c>
      <x:c r="L115" s="1" t="str">
        <x:v>true</x:v>
      </x:c>
      <x:c r="M115" s="1" t="str">
        <x:v>821 sq. ft.</x:v>
      </x:c>
      <x:c r="N115" s="1" t="n">
        <x:v>6</x:v>
      </x:c>
      <x:c r="O115" s="1" t="str">
        <x:v>CallForAvailability</x:v>
      </x:c>
      <x:c r="P115" s="1" t="str">
        <x:v>Rentals Available</x:v>
      </x:c>
      <x:c r="Q115" s="1" t="n">
        <x:v>45884.99998842592</x:v>
      </x:c>
      <x:c r="R115" s="1" t="str"/>
      <x:c r="S115" s="1" t="str"/>
      <x:c r="T115" s="1" t="str"/>
      <x:c r="U115" s="1" t="str"/>
      <x:c r="V115" s="1" t="str"/>
      <x:c r="W115" s="1" t="str"/>
      <x:c r="X115" s="1" t="str">
        <x:v>false</x:v>
      </x:c>
      <x:c r="Y115" s="1" t="str">
        <x:v>false</x:v>
      </x:c>
      <x:c r="Z115" s="1" t="str">
        <x:v>[]</x:v>
      </x:c>
    </x:row>
    <x:row r="116" ht="15" hidden="0" customHeight="1">
      <x:c r="A116" s="1" t="str">
        <x:v>0smdl31</x:v>
      </x:c>
      <x:c r="B116" s="5" t="str">
        <x:v>Paloma Raleigh</x:v>
      </x:c>
      <x:c r="C116" s="1" t="str">
        <x:v>2440371</x:v>
      </x:c>
      <x:c r="D116" s="1" t="str">
        <x:v>4dr6y6j</x:v>
      </x:c>
      <x:c r="E116" s="1" t="str">
        <x:v>3x3</x:v>
      </x:c>
      <x:c r="F116" s="1" t="n">
        <x:v>3</x:v>
      </x:c>
      <x:c r="G116" s="1" t="n">
        <x:v>3</x:v>
      </x:c>
      <x:c r="H116" s="1" t="n">
        <x:v>879</x:v>
      </x:c>
      <x:c r="I116" s="1" t="n">
        <x:v>879</x:v>
      </x:c>
      <x:c r="J116" s="1" t="str">
        <x:v>$879</x:v>
      </x:c>
      <x:c r="K116" s="1" t="str">
        <x:v>$879</x:v>
      </x:c>
      <x:c r="L116" s="1" t="str">
        <x:v>true</x:v>
      </x:c>
      <x:c r="M116" s="1" t="str">
        <x:v>1,075 sq. ft.</x:v>
      </x:c>
      <x:c r="N116" s="1" t="n">
        <x:v>6</x:v>
      </x:c>
      <x:c r="O116" s="1" t="str">
        <x:v>CallForAvailability</x:v>
      </x:c>
      <x:c r="P116" s="1" t="str">
        <x:v>Rentals Available</x:v>
      </x:c>
      <x:c r="Q116" s="1" t="n">
        <x:v>45884.99998842592</x:v>
      </x:c>
      <x:c r="R116" s="1" t="str"/>
      <x:c r="S116" s="1" t="str"/>
      <x:c r="T116" s="1" t="str"/>
      <x:c r="U116" s="1" t="str"/>
      <x:c r="V116" s="1" t="str"/>
      <x:c r="W116" s="1" t="str"/>
      <x:c r="X116" s="1" t="str">
        <x:v>false</x:v>
      </x:c>
      <x:c r="Y116" s="1" t="str">
        <x:v>false</x:v>
      </x:c>
      <x:c r="Z116" s="1" t="str">
        <x:v>[]</x:v>
      </x:c>
    </x:row>
    <x:row r="117" ht="15" hidden="0" customHeight="1">
      <x:c r="A117" s="1" t="str">
        <x:v>0smdl31</x:v>
      </x:c>
      <x:c r="B117" s="5" t="str">
        <x:v>Paloma Raleigh</x:v>
      </x:c>
      <x:c r="C117" s="1" t="str">
        <x:v>2440372</x:v>
      </x:c>
      <x:c r="D117" s="1" t="str">
        <x:v>wgqyx4h</x:v>
      </x:c>
      <x:c r="E117" s="1" t="str">
        <x:v>4x4 Townhome</x:v>
      </x:c>
      <x:c r="F117" s="1" t="n">
        <x:v>4</x:v>
      </x:c>
      <x:c r="G117" s="1" t="n">
        <x:v>4</x:v>
      </x:c>
      <x:c r="H117" s="1" t="n">
        <x:v>749</x:v>
      </x:c>
      <x:c r="I117" s="1" t="n">
        <x:v>749</x:v>
      </x:c>
      <x:c r="J117" s="1" t="str">
        <x:v>$749</x:v>
      </x:c>
      <x:c r="K117" s="1" t="str">
        <x:v>$749</x:v>
      </x:c>
      <x:c r="L117" s="1" t="str">
        <x:v>true</x:v>
      </x:c>
      <x:c r="M117" s="1" t="str">
        <x:v>1,630 sq. ft.</x:v>
      </x:c>
      <x:c r="N117" s="1" t="n">
        <x:v>6</x:v>
      </x:c>
      <x:c r="O117" s="1" t="str">
        <x:v>CallForAvailability</x:v>
      </x:c>
      <x:c r="P117" s="1" t="str">
        <x:v>Rentals Available</x:v>
      </x:c>
      <x:c r="Q117" s="1" t="n">
        <x:v>45884.99998842592</x:v>
      </x:c>
      <x:c r="R117" s="1" t="str"/>
      <x:c r="S117" s="1" t="str"/>
      <x:c r="T117" s="1" t="str"/>
      <x:c r="U117" s="1" t="str"/>
      <x:c r="V117" s="1" t="str"/>
      <x:c r="W117" s="1" t="str"/>
      <x:c r="X117" s="1" t="str">
        <x:v>false</x:v>
      </x:c>
      <x:c r="Y117" s="1" t="str">
        <x:v>false</x:v>
      </x:c>
      <x:c r="Z117" s="1" t="str">
        <x:v>[]</x:v>
      </x:c>
    </x:row>
    <x:row r="118" ht="15" hidden="0" customHeight="1">
      <x:c r="A118" s="1" t="str">
        <x:v>0smdl31</x:v>
      </x:c>
      <x:c r="B118" s="5" t="str">
        <x:v>Paloma Raleigh</x:v>
      </x:c>
      <x:c r="C118" s="1" t="str">
        <x:v>2552044</x:v>
      </x:c>
      <x:c r="D118" s="1" t="str">
        <x:v>pnehh7r</x:v>
      </x:c>
      <x:c r="E118" s="1" t="str">
        <x:v>4x4 Loft Private Access</x:v>
      </x:c>
      <x:c r="F118" s="1" t="n">
        <x:v>4</x:v>
      </x:c>
      <x:c r="G118" s="1" t="n">
        <x:v>4</x:v>
      </x:c>
      <x:c r="H118" s="1" t="n">
        <x:v>989</x:v>
      </x:c>
      <x:c r="I118" s="1" t="n">
        <x:v>989</x:v>
      </x:c>
      <x:c r="J118" s="1" t="str">
        <x:v>$989</x:v>
      </x:c>
      <x:c r="K118" s="1" t="str">
        <x:v>$989</x:v>
      </x:c>
      <x:c r="L118" s="1" t="str">
        <x:v>true</x:v>
      </x:c>
      <x:c r="M118" s="1" t="str">
        <x:v>1,682 sq. ft.</x:v>
      </x:c>
      <x:c r="N118" s="1" t="n">
        <x:v>6</x:v>
      </x:c>
      <x:c r="O118" s="1" t="str">
        <x:v>CallForAvailability</x:v>
      </x:c>
      <x:c r="P118" s="1" t="str">
        <x:v>Rentals Available</x:v>
      </x:c>
      <x:c r="Q118" s="1" t="n">
        <x:v>45884.99998842592</x:v>
      </x:c>
      <x:c r="R118" s="1" t="str"/>
      <x:c r="S118" s="1" t="str"/>
      <x:c r="T118" s="1" t="str"/>
      <x:c r="U118" s="1" t="str"/>
      <x:c r="V118" s="1" t="str"/>
      <x:c r="W118" s="1" t="str"/>
      <x:c r="X118" s="1" t="str">
        <x:v>false</x:v>
      </x:c>
      <x:c r="Y118" s="1" t="str">
        <x:v>false</x:v>
      </x:c>
      <x:c r="Z118" s="1" t="str">
        <x:v>[]</x:v>
      </x:c>
    </x:row>
    <x:row r="119" ht="15" hidden="0" customHeight="1">
      <x:c r="A119" s="1" t="str">
        <x:v>0smdl31</x:v>
      </x:c>
      <x:c r="B119" s="5" t="str">
        <x:v>Paloma Raleigh</x:v>
      </x:c>
      <x:c r="C119" s="1" t="str">
        <x:v>2596473</x:v>
      </x:c>
      <x:c r="D119" s="1" t="str">
        <x:v>gc4m3by</x:v>
      </x:c>
      <x:c r="E119" s="1" t="str">
        <x:v>4x4 Loft</x:v>
      </x:c>
      <x:c r="F119" s="1" t="n">
        <x:v>4</x:v>
      </x:c>
      <x:c r="G119" s="1" t="n">
        <x:v>4</x:v>
      </x:c>
      <x:c r="H119" s="1" t="n">
        <x:v>999</x:v>
      </x:c>
      <x:c r="I119" s="1" t="n">
        <x:v>999</x:v>
      </x:c>
      <x:c r="J119" s="1" t="str">
        <x:v>$999</x:v>
      </x:c>
      <x:c r="K119" s="1" t="str">
        <x:v>$999</x:v>
      </x:c>
      <x:c r="L119" s="1" t="str">
        <x:v>true</x:v>
      </x:c>
      <x:c r="M119" s="1" t="str">
        <x:v>1,682 sq. ft.</x:v>
      </x:c>
      <x:c r="N119" s="1" t="n">
        <x:v>6</x:v>
      </x:c>
      <x:c r="O119" s="1" t="str">
        <x:v>CallForAvailability</x:v>
      </x:c>
      <x:c r="P119" s="1" t="str">
        <x:v>Rentals Available</x:v>
      </x:c>
      <x:c r="Q119" s="1" t="n">
        <x:v>45884.99998842592</x:v>
      </x:c>
      <x:c r="R119" s="1" t="str"/>
      <x:c r="S119" s="1" t="str"/>
      <x:c r="T119" s="1" t="str"/>
      <x:c r="U119" s="1" t="str"/>
      <x:c r="V119" s="1" t="str"/>
      <x:c r="W119" s="1" t="str"/>
      <x:c r="X119" s="1" t="str">
        <x:v>false</x:v>
      </x:c>
      <x:c r="Y119" s="1" t="str">
        <x:v>false</x:v>
      </x:c>
      <x:c r="Z119" s="1" t="str">
        <x:v>[]</x:v>
      </x:c>
    </x:row>
    <x:row r="120" ht="15" hidden="0" customHeight="1">
      <x:c r="A120" s="1" t="str">
        <x:v>0smdl31</x:v>
      </x:c>
      <x:c r="B120" s="5" t="str">
        <x:v>Paloma Raleigh</x:v>
      </x:c>
      <x:c r="C120" s="1" t="str">
        <x:v>2595053</x:v>
      </x:c>
      <x:c r="D120" s="1" t="str">
        <x:v>lg63f0f</x:v>
      </x:c>
      <x:c r="E120" s="1" t="str">
        <x:v>5x5 Loft Private Access</x:v>
      </x:c>
      <x:c r="F120" s="1" t="n">
        <x:v>5</x:v>
      </x:c>
      <x:c r="G120" s="1" t="n">
        <x:v>5</x:v>
      </x:c>
      <x:c r="H120" s="1" t="n">
        <x:v>949</x:v>
      </x:c>
      <x:c r="I120" s="1" t="n">
        <x:v>949</x:v>
      </x:c>
      <x:c r="J120" s="1" t="str">
        <x:v>$949</x:v>
      </x:c>
      <x:c r="K120" s="1" t="str">
        <x:v>$949</x:v>
      </x:c>
      <x:c r="L120" s="1" t="str">
        <x:v>true</x:v>
      </x:c>
      <x:c r="M120" s="1" t="str">
        <x:v>1,754 sq. ft.</x:v>
      </x:c>
      <x:c r="N120" s="1" t="n">
        <x:v>6</x:v>
      </x:c>
      <x:c r="O120" s="1" t="str">
        <x:v>CallForAvailability</x:v>
      </x:c>
      <x:c r="P120" s="1" t="str">
        <x:v>Rentals Available</x:v>
      </x:c>
      <x:c r="Q120" s="1" t="n">
        <x:v>45884.99998842592</x:v>
      </x:c>
      <x:c r="R120" s="1" t="str"/>
      <x:c r="S120" s="1" t="str"/>
      <x:c r="T120" s="1" t="str"/>
      <x:c r="U120" s="1" t="str"/>
      <x:c r="V120" s="1" t="str"/>
      <x:c r="W120" s="1" t="str"/>
      <x:c r="X120" s="1" t="str">
        <x:v>false</x:v>
      </x:c>
      <x:c r="Y120" s="1" t="str">
        <x:v>false</x:v>
      </x:c>
      <x:c r="Z120" s="1" t="str">
        <x:v>[]</x:v>
      </x:c>
    </x:row>
    <x:row r="121" ht="15" hidden="0" customHeight="1">
      <x:c r="A121" s="1" t="str">
        <x:v>0smdl31</x:v>
      </x:c>
      <x:c r="B121" s="5" t="str">
        <x:v>Paloma Raleigh</x:v>
      </x:c>
      <x:c r="C121" s="1" t="str">
        <x:v>2595054</x:v>
      </x:c>
      <x:c r="D121" s="1" t="str">
        <x:v>njy5rkm</x:v>
      </x:c>
      <x:c r="E121" s="1" t="str">
        <x:v>5x5 Loft</x:v>
      </x:c>
      <x:c r="F121" s="1" t="n">
        <x:v>5</x:v>
      </x:c>
      <x:c r="G121" s="1" t="n">
        <x:v>5</x:v>
      </x:c>
      <x:c r="H121" s="1" t="n">
        <x:v>949</x:v>
      </x:c>
      <x:c r="I121" s="1" t="n">
        <x:v>949</x:v>
      </x:c>
      <x:c r="J121" s="1" t="str">
        <x:v>$949</x:v>
      </x:c>
      <x:c r="K121" s="1" t="str">
        <x:v>$949</x:v>
      </x:c>
      <x:c r="L121" s="1" t="str">
        <x:v>true</x:v>
      </x:c>
      <x:c r="M121" s="1" t="str">
        <x:v>1,754 sq. ft.</x:v>
      </x:c>
      <x:c r="N121" s="1" t="n">
        <x:v>6</x:v>
      </x:c>
      <x:c r="O121" s="1" t="str">
        <x:v>CallForAvailability</x:v>
      </x:c>
      <x:c r="P121" s="1" t="str">
        <x:v>Rentals Available</x:v>
      </x:c>
      <x:c r="Q121" s="1" t="n">
        <x:v>45884.99998842592</x:v>
      </x:c>
      <x:c r="R121" s="1" t="str"/>
      <x:c r="S121" s="1" t="str"/>
      <x:c r="T121" s="1" t="str"/>
      <x:c r="U121" s="1" t="str"/>
      <x:c r="V121" s="1" t="str"/>
      <x:c r="W121" s="1" t="str"/>
      <x:c r="X121" s="1" t="str">
        <x:v>false</x:v>
      </x:c>
      <x:c r="Y121" s="1" t="str">
        <x:v>false</x:v>
      </x:c>
      <x:c r="Z121" s="1" t="str">
        <x:v>[]</x:v>
      </x:c>
    </x:row>
    <x:row r="122" ht="24" hidden="0" customHeight="1">
      <x:c r="A122" s="1" t="str">
        <x:v>ocppjxdd3r</x:v>
      </x:c>
      <x:c r="B122" s="5" t="str">
        <x:v>Collegeview Duplex--Brand New Luxury Housing within walking distance to NCSU</x:v>
      </x:c>
      <x:c r="C122" s="1" t="str">
        <x:v>1</x:v>
      </x:c>
      <x:c r="D122" s="1" t="str">
        <x:v>q2j0gkx</x:v>
      </x:c>
      <x:c r="E122" s="1" t="str"/>
      <x:c r="F122" s="1" t="n">
        <x:v>4</x:v>
      </x:c>
      <x:c r="G122" s="1" t="n">
        <x:v>4.5</x:v>
      </x:c>
      <x:c r="H122" s="1" t="n">
        <x:v>900</x:v>
      </x:c>
      <x:c r="I122" s="1" t="n">
        <x:v>950</x:v>
      </x:c>
      <x:c r="J122" s="1" t="str">
        <x:v>$900 - $950</x:v>
      </x:c>
      <x:c r="K122" s="1" t="str">
        <x:v>$900 - $950</x:v>
      </x:c>
      <x:c r="L122" s="1" t="str">
        <x:v>true</x:v>
      </x:c>
      <x:c r="M122" s="1" t="str">
        <x:v>2,500 sq. ft.</x:v>
      </x:c>
      <x:c r="N122" s="1" t="n">
        <x:v>1</x:v>
      </x:c>
      <x:c r="O122" s="1" t="str">
        <x:v>AvailableNow</x:v>
      </x:c>
      <x:c r="P122" s="1" t="str">
        <x:v>Rentals Available</x:v>
      </x:c>
      <x:c r="Q122" s="1" t="n">
        <x:v>25569.999988425927</x:v>
      </x:c>
      <x:c r="R122" s="1" t="str"/>
      <x:c r="S122" s="1" t="str"/>
      <x:c r="T122" s="1" t="str">
        <x:v>N/A</x:v>
      </x:c>
      <x:c r="U122" s="1" t="str">
        <x:v>N/A</x:v>
      </x:c>
      <x:c r="V122" s="1" t="str">
        <x:v>4</x:v>
      </x:c>
      <x:c r="W122" s="1" t="str"/>
      <x:c r="X122" s="1" t="str">
        <x:v>false</x:v>
      </x:c>
      <x:c r="Y122" s="1" t="str">
        <x:v>false</x:v>
      </x:c>
      <x:c r="Z122" s="1" t="str">
        <x:v>[]</x:v>
      </x:c>
    </x:row>
    <x:row r="123" ht="15" hidden="0" customHeight="1">
      <x:c r="A123" s="1" t="str">
        <x:v>hgdd8s0</x:v>
      </x:c>
      <x:c r="B123" s="5" t="str">
        <x:v>Lantower Bullhouse</x:v>
      </x:c>
      <x:c r="C123" s="1" t="str">
        <x:v>5787998</x:v>
      </x:c>
      <x:c r="D123" s="1" t="str">
        <x:v>tf7j2jb</x:v>
      </x:c>
      <x:c r="E123" s="1" t="str">
        <x:v>S1.1</x:v>
      </x:c>
      <x:c r="F123" s="1" t="n">
        <x:v>0</x:v>
      </x:c>
      <x:c r="G123" s="1" t="n">
        <x:v>1</x:v>
      </x:c>
      <x:c r="H123" s="1" t="n">
        <x:v>1388</x:v>
      </x:c>
      <x:c r="I123" s="1" t="n">
        <x:v>2224</x:v>
      </x:c>
      <x:c r="J123" s="1" t="str">
        <x:v>$1,388 - $2,224</x:v>
      </x:c>
      <x:c r="K123" s="1" t="str">
        <x:v>$1,388 - $2,224</x:v>
      </x:c>
      <x:c r="L123" s="1" t="str">
        <x:v>false</x:v>
      </x:c>
      <x:c r="M123" s="1" t="str">
        <x:v>667 sq. ft.</x:v>
      </x:c>
      <x:c r="N123" s="1" t="n">
        <x:v>2</x:v>
      </x:c>
      <x:c r="O123" s="1" t="str">
        <x:v>AvailableNow</x:v>
      </x:c>
      <x:c r="P123" s="1" t="str">
        <x:v>Rentals Available</x:v>
      </x:c>
      <x:c r="Q123" s="1" t="n">
        <x:v>46273.99998842592</x:v>
      </x:c>
      <x:c r="R123" s="1" t="str"/>
      <x:c r="S123" s="1" t="str"/>
      <x:c r="T123" s="1" t="str"/>
      <x:c r="U123" s="1" t="str"/>
      <x:c r="V123" s="1" t="str"/>
      <x:c r="W123" s="1" t="str"/>
      <x:c r="X123" s="1" t="str">
        <x:v>false</x:v>
      </x:c>
      <x:c r="Y123" s="1" t="str">
        <x:v>false</x:v>
      </x:c>
      <x:c r="Z123" s="1" t="str">
        <x:v>[]</x:v>
      </x:c>
    </x:row>
    <x:row r="124" ht="15" hidden="0" customHeight="1">
      <x:c r="A124" s="1" t="str">
        <x:v>hgdd8s0</x:v>
      </x:c>
      <x:c r="B124" s="5" t="str">
        <x:v>Lantower Bullhouse</x:v>
      </x:c>
      <x:c r="C124" s="1" t="str">
        <x:v>5787992</x:v>
      </x:c>
      <x:c r="D124" s="1" t="str">
        <x:v>5z3mv7m</x:v>
      </x:c>
      <x:c r="E124" s="1" t="str">
        <x:v>S2.1</x:v>
      </x:c>
      <x:c r="F124" s="1" t="n">
        <x:v>0</x:v>
      </x:c>
      <x:c r="G124" s="1" t="n">
        <x:v>1</x:v>
      </x:c>
      <x:c r="H124" s="1" t="n">
        <x:v>1426</x:v>
      </x:c>
      <x:c r="I124" s="1" t="n">
        <x:v>2232</x:v>
      </x:c>
      <x:c r="J124" s="1" t="str">
        <x:v>$1,426 - $2,232</x:v>
      </x:c>
      <x:c r="K124" s="1" t="str">
        <x:v>$1,426 - $2,232</x:v>
      </x:c>
      <x:c r="L124" s="1" t="str">
        <x:v>false</x:v>
      </x:c>
      <x:c r="M124" s="1" t="str">
        <x:v>661 sq. ft.</x:v>
      </x:c>
      <x:c r="N124" s="1" t="n">
        <x:v>2</x:v>
      </x:c>
      <x:c r="O124" s="1" t="str">
        <x:v>AvailableNow</x:v>
      </x:c>
      <x:c r="P124" s="1" t="str">
        <x:v>Rentals Available</x:v>
      </x:c>
      <x:c r="Q124" s="1" t="n">
        <x:v>46273.99998842592</x:v>
      </x:c>
      <x:c r="R124" s="1" t="str"/>
      <x:c r="S124" s="1" t="str"/>
      <x:c r="T124" s="1" t="str"/>
      <x:c r="U124" s="1" t="str"/>
      <x:c r="V124" s="1" t="str"/>
      <x:c r="W124" s="1" t="str"/>
      <x:c r="X124" s="1" t="str">
        <x:v>false</x:v>
      </x:c>
      <x:c r="Y124" s="1" t="str">
        <x:v>false</x:v>
      </x:c>
      <x:c r="Z124" s="1" t="str">
        <x:v>[]</x:v>
      </x:c>
    </x:row>
    <x:row r="125" ht="15" hidden="0" customHeight="1">
      <x:c r="A125" s="1" t="str">
        <x:v>hgdd8s0</x:v>
      </x:c>
      <x:c r="B125" s="5" t="str">
        <x:v>Lantower Bullhouse</x:v>
      </x:c>
      <x:c r="C125" s="1" t="str">
        <x:v>5787996</x:v>
      </x:c>
      <x:c r="D125" s="1" t="str">
        <x:v>nvj4zcq</x:v>
      </x:c>
      <x:c r="E125" s="1" t="str">
        <x:v>S3.1</x:v>
      </x:c>
      <x:c r="F125" s="1" t="n">
        <x:v>0</x:v>
      </x:c>
      <x:c r="G125" s="1" t="n">
        <x:v>1</x:v>
      </x:c>
      <x:c r="H125" s="1" t="n">
        <x:v>1543</x:v>
      </x:c>
      <x:c r="I125" s="1" t="n">
        <x:v>2318</x:v>
      </x:c>
      <x:c r="J125" s="1" t="str">
        <x:v>$1,543 - $2,318</x:v>
      </x:c>
      <x:c r="K125" s="1" t="str">
        <x:v>$1,543 - $2,318</x:v>
      </x:c>
      <x:c r="L125" s="1" t="str">
        <x:v>false</x:v>
      </x:c>
      <x:c r="M125" s="1" t="str">
        <x:v>761 sq. ft.</x:v>
      </x:c>
      <x:c r="N125" s="1" t="n">
        <x:v>1</x:v>
      </x:c>
      <x:c r="O125" s="1" t="str">
        <x:v>AvailableNow</x:v>
      </x:c>
      <x:c r="P125" s="1" t="str">
        <x:v>Rentals Available</x:v>
      </x:c>
      <x:c r="Q125" s="1" t="n">
        <x:v>46273.99998842592</x:v>
      </x:c>
      <x:c r="R125" s="1" t="str"/>
      <x:c r="S125" s="1" t="str"/>
      <x:c r="T125" s="1" t="str"/>
      <x:c r="U125" s="1" t="str"/>
      <x:c r="V125" s="1" t="str"/>
      <x:c r="W125" s="1" t="str"/>
      <x:c r="X125" s="1" t="str">
        <x:v>false</x:v>
      </x:c>
      <x:c r="Y125" s="1" t="str">
        <x:v>false</x:v>
      </x:c>
      <x:c r="Z125" s="1" t="str">
        <x:v>[]</x:v>
      </x:c>
    </x:row>
    <x:row r="126" ht="15" hidden="0" customHeight="1">
      <x:c r="A126" s="1" t="str">
        <x:v>hgdd8s0</x:v>
      </x:c>
      <x:c r="B126" s="5" t="str">
        <x:v>Lantower Bullhouse</x:v>
      </x:c>
      <x:c r="C126" s="1" t="str">
        <x:v>5788006</x:v>
      </x:c>
      <x:c r="D126" s="1" t="str">
        <x:v>h66vkp2</x:v>
      </x:c>
      <x:c r="E126" s="1" t="str">
        <x:v>A2.1</x:v>
      </x:c>
      <x:c r="F126" s="1" t="n">
        <x:v>1</x:v>
      </x:c>
      <x:c r="G126" s="1" t="n">
        <x:v>1</x:v>
      </x:c>
      <x:c r="H126" s="1" t="n">
        <x:v>1377</x:v>
      </x:c>
      <x:c r="I126" s="1" t="n">
        <x:v>1877</x:v>
      </x:c>
      <x:c r="J126" s="1" t="str">
        <x:v>$1,377 - $1,877</x:v>
      </x:c>
      <x:c r="K126" s="1" t="str">
        <x:v>$1,377 - $1,877</x:v>
      </x:c>
      <x:c r="L126" s="1" t="str">
        <x:v>false</x:v>
      </x:c>
      <x:c r="M126" s="1" t="str">
        <x:v>747 sq. ft.</x:v>
      </x:c>
      <x:c r="N126" s="1" t="n">
        <x:v>2</x:v>
      </x:c>
      <x:c r="O126" s="1" t="str">
        <x:v>FutureDate</x:v>
      </x:c>
      <x:c r="P126" s="1" t="str">
        <x:v>Available Soon</x:v>
      </x:c>
      <x:c r="Q126" s="1" t="n">
        <x:v>46314.99998842592</x:v>
      </x:c>
      <x:c r="R126" s="1" t="str"/>
      <x:c r="S126" s="1" t="str"/>
      <x:c r="T126" s="1" t="str"/>
      <x:c r="U126" s="1" t="str"/>
      <x:c r="V126" s="1" t="str"/>
      <x:c r="W126" s="1" t="str"/>
      <x:c r="X126" s="1" t="str">
        <x:v>false</x:v>
      </x:c>
      <x:c r="Y126" s="1" t="str">
        <x:v>false</x:v>
      </x:c>
      <x:c r="Z126" s="1" t="str">
        <x:v>[]</x:v>
      </x:c>
    </x:row>
    <x:row r="127" ht="15" hidden="0" customHeight="1">
      <x:c r="A127" s="1" t="str">
        <x:v>hgdd8s0</x:v>
      </x:c>
      <x:c r="B127" s="5" t="str">
        <x:v>Lantower Bullhouse</x:v>
      </x:c>
      <x:c r="C127" s="1" t="str">
        <x:v>5787993</x:v>
      </x:c>
      <x:c r="D127" s="1" t="str">
        <x:v>ywgn02v</x:v>
      </x:c>
      <x:c r="E127" s="1" t="str">
        <x:v>A1.3</x:v>
      </x:c>
      <x:c r="F127" s="1" t="n">
        <x:v>1</x:v>
      </x:c>
      <x:c r="G127" s="1" t="n">
        <x:v>1</x:v>
      </x:c>
      <x:c r="H127" s="1" t="n">
        <x:v>1406</x:v>
      </x:c>
      <x:c r="I127" s="1" t="n">
        <x:v>1873</x:v>
      </x:c>
      <x:c r="J127" s="1" t="str">
        <x:v>$1,406 - $1,873</x:v>
      </x:c>
      <x:c r="K127" s="1" t="str">
        <x:v>$1,406 - $1,873</x:v>
      </x:c>
      <x:c r="L127" s="1" t="str">
        <x:v>false</x:v>
      </x:c>
      <x:c r="M127" s="1" t="str">
        <x:v>722 sq. ft.</x:v>
      </x:c>
      <x:c r="N127" s="1" t="n">
        <x:v>1</x:v>
      </x:c>
      <x:c r="O127" s="1" t="str">
        <x:v>FutureDate</x:v>
      </x:c>
      <x:c r="P127" s="1" t="str">
        <x:v>Available Soon</x:v>
      </x:c>
      <x:c r="Q127" s="1" t="n">
        <x:v>46300.99998842592</x:v>
      </x:c>
      <x:c r="R127" s="1" t="str"/>
      <x:c r="S127" s="1" t="str"/>
      <x:c r="T127" s="1" t="str"/>
      <x:c r="U127" s="1" t="str"/>
      <x:c r="V127" s="1" t="str"/>
      <x:c r="W127" s="1" t="str"/>
      <x:c r="X127" s="1" t="str">
        <x:v>false</x:v>
      </x:c>
      <x:c r="Y127" s="1" t="str">
        <x:v>false</x:v>
      </x:c>
      <x:c r="Z127" s="1" t="str">
        <x:v>[]</x:v>
      </x:c>
    </x:row>
    <x:row r="128" ht="15" hidden="0" customHeight="1">
      <x:c r="A128" s="1" t="str">
        <x:v>hgdd8s0</x:v>
      </x:c>
      <x:c r="B128" s="5" t="str">
        <x:v>Lantower Bullhouse</x:v>
      </x:c>
      <x:c r="C128" s="1" t="str">
        <x:v>3133724</x:v>
      </x:c>
      <x:c r="D128" s="1" t="str">
        <x:v>gklsp9z</x:v>
      </x:c>
      <x:c r="E128" s="1" t="str">
        <x:v>A5.1</x:v>
      </x:c>
      <x:c r="F128" s="1" t="n">
        <x:v>1</x:v>
      </x:c>
      <x:c r="G128" s="1" t="n">
        <x:v>1</x:v>
      </x:c>
      <x:c r="H128" s="1" t="n">
        <x:v>1475</x:v>
      </x:c>
      <x:c r="I128" s="1" t="n">
        <x:v>1888</x:v>
      </x:c>
      <x:c r="J128" s="1" t="str">
        <x:v>$1,475 - $1,888</x:v>
      </x:c>
      <x:c r="K128" s="1" t="str">
        <x:v>$1,475 - $1,888</x:v>
      </x:c>
      <x:c r="L128" s="1" t="str">
        <x:v>false</x:v>
      </x:c>
      <x:c r="M128" s="1" t="str">
        <x:v>755 sq. ft.</x:v>
      </x:c>
      <x:c r="N128" s="1" t="n">
        <x:v>1</x:v>
      </x:c>
      <x:c r="O128" s="1" t="str">
        <x:v>AvailableNow</x:v>
      </x:c>
      <x:c r="P128" s="1" t="str">
        <x:v>Rentals Available</x:v>
      </x:c>
      <x:c r="Q128" s="1" t="n">
        <x:v>46273.99998842592</x:v>
      </x:c>
      <x:c r="R128" s="1" t="str"/>
      <x:c r="S128" s="1" t="str"/>
      <x:c r="T128" s="1" t="str"/>
      <x:c r="U128" s="1" t="str"/>
      <x:c r="V128" s="1" t="str"/>
      <x:c r="W128" s="1" t="str"/>
      <x:c r="X128" s="1" t="str">
        <x:v>false</x:v>
      </x:c>
      <x:c r="Y128" s="1" t="str">
        <x:v>false</x:v>
      </x:c>
      <x:c r="Z128" s="1" t="str">
        <x:v>[]</x:v>
      </x:c>
    </x:row>
    <x:row r="129" ht="15" hidden="0" customHeight="1">
      <x:c r="A129" s="1" t="str">
        <x:v>hgdd8s0</x:v>
      </x:c>
      <x:c r="B129" s="5" t="str">
        <x:v>Lantower Bullhouse</x:v>
      </x:c>
      <x:c r="C129" s="1" t="str">
        <x:v>5787994</x:v>
      </x:c>
      <x:c r="D129" s="1" t="str">
        <x:v>1clhz47</x:v>
      </x:c>
      <x:c r="E129" s="1" t="str">
        <x:v>A1.A</x:v>
      </x:c>
      <x:c r="F129" s="1" t="n">
        <x:v>1</x:v>
      </x:c>
      <x:c r="G129" s="1" t="n">
        <x:v>1</x:v>
      </x:c>
      <x:c r="H129" s="1" t="n">
        <x:v>1482</x:v>
      </x:c>
      <x:c r="I129" s="1" t="n">
        <x:v>1975</x:v>
      </x:c>
      <x:c r="J129" s="1" t="str">
        <x:v>$1,482 - $1,975</x:v>
      </x:c>
      <x:c r="K129" s="1" t="str">
        <x:v>$1,482 - $1,975</x:v>
      </x:c>
      <x:c r="L129" s="1" t="str">
        <x:v>false</x:v>
      </x:c>
      <x:c r="M129" s="1" t="str">
        <x:v>722 sq. ft.</x:v>
      </x:c>
      <x:c r="N129" s="1" t="n">
        <x:v>1</x:v>
      </x:c>
      <x:c r="O129" s="1" t="str">
        <x:v>FutureDate</x:v>
      </x:c>
      <x:c r="P129" s="1" t="str">
        <x:v>Available Soon</x:v>
      </x:c>
      <x:c r="Q129" s="1" t="n">
        <x:v>46300.99998842592</x:v>
      </x:c>
      <x:c r="R129" s="1" t="str"/>
      <x:c r="S129" s="1" t="str"/>
      <x:c r="T129" s="1" t="str"/>
      <x:c r="U129" s="1" t="str"/>
      <x:c r="V129" s="1" t="str"/>
      <x:c r="W129" s="1" t="str"/>
      <x:c r="X129" s="1" t="str">
        <x:v>false</x:v>
      </x:c>
      <x:c r="Y129" s="1" t="str">
        <x:v>false</x:v>
      </x:c>
      <x:c r="Z129" s="1" t="str">
        <x:v>[]</x:v>
      </x:c>
    </x:row>
    <x:row r="130" ht="15" hidden="0" customHeight="1">
      <x:c r="A130" s="1" t="str">
        <x:v>hgdd8s0</x:v>
      </x:c>
      <x:c r="B130" s="5" t="str">
        <x:v>Lantower Bullhouse</x:v>
      </x:c>
      <x:c r="C130" s="1" t="str">
        <x:v>3454558</x:v>
      </x:c>
      <x:c r="D130" s="1" t="str">
        <x:v>77k1m9y</x:v>
      </x:c>
      <x:c r="E130" s="1" t="str">
        <x:v>A6.1</x:v>
      </x:c>
      <x:c r="F130" s="1" t="n">
        <x:v>1</x:v>
      </x:c>
      <x:c r="G130" s="1" t="n">
        <x:v>1</x:v>
      </x:c>
      <x:c r="H130" s="1" t="n">
        <x:v>1497</x:v>
      </x:c>
      <x:c r="I130" s="1" t="n">
        <x:v>2076</x:v>
      </x:c>
      <x:c r="J130" s="1" t="str">
        <x:v>$1,497 - $2,076</x:v>
      </x:c>
      <x:c r="K130" s="1" t="str">
        <x:v>$1,497 - $2,076</x:v>
      </x:c>
      <x:c r="L130" s="1" t="str">
        <x:v>false</x:v>
      </x:c>
      <x:c r="M130" s="1" t="str">
        <x:v>972 sq. ft.</x:v>
      </x:c>
      <x:c r="N130" s="1" t="n">
        <x:v>1</x:v>
      </x:c>
      <x:c r="O130" s="1" t="str">
        <x:v>FutureDate</x:v>
      </x:c>
      <x:c r="P130" s="1" t="str">
        <x:v>Available Soon</x:v>
      </x:c>
      <x:c r="Q130" s="1" t="n">
        <x:v>46335.99998842592</x:v>
      </x:c>
      <x:c r="R130" s="1" t="str"/>
      <x:c r="S130" s="1" t="str"/>
      <x:c r="T130" s="1" t="str"/>
      <x:c r="U130" s="1" t="str"/>
      <x:c r="V130" s="1" t="str"/>
      <x:c r="W130" s="1" t="str"/>
      <x:c r="X130" s="1" t="str">
        <x:v>false</x:v>
      </x:c>
      <x:c r="Y130" s="1" t="str">
        <x:v>false</x:v>
      </x:c>
      <x:c r="Z130" s="1" t="str">
        <x:v>[]</x:v>
      </x:c>
    </x:row>
    <x:row r="131" ht="15" hidden="0" customHeight="1">
      <x:c r="A131" s="1" t="str">
        <x:v>hgdd8s0</x:v>
      </x:c>
      <x:c r="B131" s="5" t="str">
        <x:v>Lantower Bullhouse</x:v>
      </x:c>
      <x:c r="C131" s="1" t="str">
        <x:v>5788018</x:v>
      </x:c>
      <x:c r="D131" s="1" t="str">
        <x:v>zq0fcdw</x:v>
      </x:c>
      <x:c r="E131" s="1" t="str">
        <x:v>A4.2</x:v>
      </x:c>
      <x:c r="F131" s="1" t="n">
        <x:v>1</x:v>
      </x:c>
      <x:c r="G131" s="1" t="n">
        <x:v>1</x:v>
      </x:c>
      <x:c r="H131" s="1" t="n">
        <x:v>1515</x:v>
      </x:c>
      <x:c r="I131" s="1" t="n">
        <x:v>1941</x:v>
      </x:c>
      <x:c r="J131" s="1" t="str">
        <x:v>$1,515 - $1,941</x:v>
      </x:c>
      <x:c r="K131" s="1" t="str">
        <x:v>$1,515 - $1,941</x:v>
      </x:c>
      <x:c r="L131" s="1" t="str">
        <x:v>false</x:v>
      </x:c>
      <x:c r="M131" s="1" t="str">
        <x:v>898 sq. ft.</x:v>
      </x:c>
      <x:c r="N131" s="1" t="n">
        <x:v>1</x:v>
      </x:c>
      <x:c r="O131" s="1" t="str">
        <x:v>AvailableNow</x:v>
      </x:c>
      <x:c r="P131" s="1" t="str">
        <x:v>Rentals Available</x:v>
      </x:c>
      <x:c r="Q131" s="1" t="n">
        <x:v>46273.99998842592</x:v>
      </x:c>
      <x:c r="R131" s="1" t="str"/>
      <x:c r="S131" s="1" t="str"/>
      <x:c r="T131" s="1" t="str"/>
      <x:c r="U131" s="1" t="str"/>
      <x:c r="V131" s="1" t="str"/>
      <x:c r="W131" s="1" t="str"/>
      <x:c r="X131" s="1" t="str">
        <x:v>false</x:v>
      </x:c>
      <x:c r="Y131" s="1" t="str">
        <x:v>false</x:v>
      </x:c>
      <x:c r="Z131" s="1" t="str">
        <x:v>[]</x:v>
      </x:c>
    </x:row>
    <x:row r="132" ht="15" hidden="0" customHeight="1">
      <x:c r="A132" s="1" t="str">
        <x:v>hgdd8s0</x:v>
      </x:c>
      <x:c r="B132" s="5" t="str">
        <x:v>Lantower Bullhouse</x:v>
      </x:c>
      <x:c r="C132" s="1" t="str">
        <x:v>2935031</x:v>
      </x:c>
      <x:c r="D132" s="1" t="str">
        <x:v>czfeb0f</x:v>
      </x:c>
      <x:c r="E132" s="1" t="str">
        <x:v>B3.1</x:v>
      </x:c>
      <x:c r="F132" s="1" t="n">
        <x:v>1</x:v>
      </x:c>
      <x:c r="G132" s="1" t="n">
        <x:v>1</x:v>
      </x:c>
      <x:c r="H132" s="1" t="n">
        <x:v>1632</x:v>
      </x:c>
      <x:c r="I132" s="1" t="n">
        <x:v>2092</x:v>
      </x:c>
      <x:c r="J132" s="1" t="str">
        <x:v>$1,632 - $2,092</x:v>
      </x:c>
      <x:c r="K132" s="1" t="str">
        <x:v>$1,632 - $2,092</x:v>
      </x:c>
      <x:c r="L132" s="1" t="str">
        <x:v>false</x:v>
      </x:c>
      <x:c r="M132" s="1" t="str">
        <x:v>989 sq. ft.</x:v>
      </x:c>
      <x:c r="N132" s="1" t="n">
        <x:v>1</x:v>
      </x:c>
      <x:c r="O132" s="1" t="str">
        <x:v>AvailableNow</x:v>
      </x:c>
      <x:c r="P132" s="1" t="str">
        <x:v>Rentals Available</x:v>
      </x:c>
      <x:c r="Q132" s="1" t="n">
        <x:v>46273.99998842592</x:v>
      </x:c>
      <x:c r="R132" s="1" t="str"/>
      <x:c r="S132" s="1" t="str"/>
      <x:c r="T132" s="1" t="str"/>
      <x:c r="U132" s="1" t="str"/>
      <x:c r="V132" s="1" t="str"/>
      <x:c r="W132" s="1" t="str"/>
      <x:c r="X132" s="1" t="str">
        <x:v>false</x:v>
      </x:c>
      <x:c r="Y132" s="1" t="str">
        <x:v>false</x:v>
      </x:c>
      <x:c r="Z132" s="1" t="str">
        <x:v>[]</x:v>
      </x:c>
    </x:row>
    <x:row r="133" ht="15" hidden="0" customHeight="1">
      <x:c r="A133" s="1" t="str">
        <x:v>hgdd8s0</x:v>
      </x:c>
      <x:c r="B133" s="5" t="str">
        <x:v>Lantower Bullhouse</x:v>
      </x:c>
      <x:c r="C133" s="1" t="str">
        <x:v>5788019</x:v>
      </x:c>
      <x:c r="D133" s="1" t="str">
        <x:v>373kc5d</x:v>
      </x:c>
      <x:c r="E133" s="1" t="str">
        <x:v>B1.2A</x:v>
      </x:c>
      <x:c r="F133" s="1" t="n">
        <x:v>1</x:v>
      </x:c>
      <x:c r="G133" s="1" t="n">
        <x:v>1</x:v>
      </x:c>
      <x:c r="H133" s="1" t="n">
        <x:v>1781</x:v>
      </x:c>
      <x:c r="I133" s="1" t="n">
        <x:v>2284</x:v>
      </x:c>
      <x:c r="J133" s="1" t="str">
        <x:v>$1,781 - $2,284</x:v>
      </x:c>
      <x:c r="K133" s="1" t="str">
        <x:v>$1,781 - $2,284</x:v>
      </x:c>
      <x:c r="L133" s="1" t="str">
        <x:v>false</x:v>
      </x:c>
      <x:c r="M133" s="1" t="str">
        <x:v>1,083 sq. ft.</x:v>
      </x:c>
      <x:c r="N133" s="1" t="n">
        <x:v>1</x:v>
      </x:c>
      <x:c r="O133" s="1" t="str">
        <x:v>AvailableNow</x:v>
      </x:c>
      <x:c r="P133" s="1" t="str">
        <x:v>Rentals Available</x:v>
      </x:c>
      <x:c r="Q133" s="1" t="n">
        <x:v>46273.99998842592</x:v>
      </x:c>
      <x:c r="R133" s="1" t="str"/>
      <x:c r="S133" s="1" t="str"/>
      <x:c r="T133" s="1" t="str"/>
      <x:c r="U133" s="1" t="str"/>
      <x:c r="V133" s="1" t="str"/>
      <x:c r="W133" s="1" t="str"/>
      <x:c r="X133" s="1" t="str">
        <x:v>false</x:v>
      </x:c>
      <x:c r="Y133" s="1" t="str">
        <x:v>false</x:v>
      </x:c>
      <x:c r="Z133" s="1" t="str">
        <x:v>[]</x:v>
      </x:c>
    </x:row>
    <x:row r="134" ht="15" hidden="0" customHeight="1">
      <x:c r="A134" s="1" t="str">
        <x:v>hgdd8s0</x:v>
      </x:c>
      <x:c r="B134" s="5" t="str">
        <x:v>Lantower Bullhouse</x:v>
      </x:c>
      <x:c r="C134" s="1" t="str">
        <x:v>3232720</x:v>
      </x:c>
      <x:c r="D134" s="1" t="str">
        <x:v>bek2mmb</x:v>
      </x:c>
      <x:c r="E134" s="1" t="str">
        <x:v>C3.1</x:v>
      </x:c>
      <x:c r="F134" s="1" t="n">
        <x:v>2</x:v>
      </x:c>
      <x:c r="G134" s="1" t="n">
        <x:v>2</x:v>
      </x:c>
      <x:c r="H134" s="1" t="n">
        <x:v>2006</x:v>
      </x:c>
      <x:c r="I134" s="1" t="n">
        <x:v>3970</x:v>
      </x:c>
      <x:c r="J134" s="1" t="str">
        <x:v>$2,006 - $3,970</x:v>
      </x:c>
      <x:c r="K134" s="1" t="str">
        <x:v>$2,006 - $3,970</x:v>
      </x:c>
      <x:c r="L134" s="1" t="str">
        <x:v>false</x:v>
      </x:c>
      <x:c r="M134" s="1" t="str">
        <x:v>1,250 sq. ft.</x:v>
      </x:c>
      <x:c r="N134" s="1" t="n">
        <x:v>2</x:v>
      </x:c>
      <x:c r="O134" s="1" t="str">
        <x:v>FutureDate</x:v>
      </x:c>
      <x:c r="P134" s="1" t="str">
        <x:v>Available Soon</x:v>
      </x:c>
      <x:c r="Q134" s="1" t="n">
        <x:v>46286.99998842592</x:v>
      </x:c>
      <x:c r="R134" s="1" t="str"/>
      <x:c r="S134" s="1" t="str"/>
      <x:c r="T134" s="1" t="str"/>
      <x:c r="U134" s="1" t="str"/>
      <x:c r="V134" s="1" t="str"/>
      <x:c r="W134" s="1" t="str"/>
      <x:c r="X134" s="1" t="str">
        <x:v>false</x:v>
      </x:c>
      <x:c r="Y134" s="1" t="str">
        <x:v>false</x:v>
      </x:c>
      <x:c r="Z134" s="1" t="str">
        <x:v>[]</x:v>
      </x:c>
    </x:row>
    <x:row r="135" ht="15" hidden="0" customHeight="1">
      <x:c r="A135" s="1" t="str">
        <x:v>hgdd8s0</x:v>
      </x:c>
      <x:c r="B135" s="5" t="str">
        <x:v>Lantower Bullhouse</x:v>
      </x:c>
      <x:c r="C135" s="1" t="str">
        <x:v>5788025</x:v>
      </x:c>
      <x:c r="D135" s="1" t="str">
        <x:v>jg10v84</x:v>
      </x:c>
      <x:c r="E135" s="1" t="str">
        <x:v>C1.2</x:v>
      </x:c>
      <x:c r="F135" s="1" t="n">
        <x:v>2</x:v>
      </x:c>
      <x:c r="G135" s="1" t="n">
        <x:v>2</x:v>
      </x:c>
      <x:c r="H135" s="1" t="n">
        <x:v>1826</x:v>
      </x:c>
      <x:c r="I135" s="1" t="n">
        <x:v>2476</x:v>
      </x:c>
      <x:c r="J135" s="1" t="str">
        <x:v>$1,826 - $2,476</x:v>
      </x:c>
      <x:c r="K135" s="1" t="str">
        <x:v>$1,826 - $2,476</x:v>
      </x:c>
      <x:c r="L135" s="1" t="str">
        <x:v>false</x:v>
      </x:c>
      <x:c r="M135" s="1" t="str">
        <x:v>1,134 sq. ft.</x:v>
      </x:c>
      <x:c r="N135" s="1" t="n">
        <x:v>1</x:v>
      </x:c>
      <x:c r="O135" s="1" t="str">
        <x:v>FutureDate</x:v>
      </x:c>
      <x:c r="P135" s="1" t="str">
        <x:v>Available Soon</x:v>
      </x:c>
      <x:c r="Q135" s="1" t="n">
        <x:v>46307.99998842592</x:v>
      </x:c>
      <x:c r="R135" s="1" t="str"/>
      <x:c r="S135" s="1" t="str"/>
      <x:c r="T135" s="1" t="str"/>
      <x:c r="U135" s="1" t="str"/>
      <x:c r="V135" s="1" t="str"/>
      <x:c r="W135" s="1" t="str"/>
      <x:c r="X135" s="1" t="str">
        <x:v>false</x:v>
      </x:c>
      <x:c r="Y135" s="1" t="str">
        <x:v>false</x:v>
      </x:c>
      <x:c r="Z135" s="1" t="str">
        <x:v>[]</x:v>
      </x:c>
    </x:row>
    <x:row r="136" ht="15" hidden="0" customHeight="1">
      <x:c r="A136" s="1" t="str">
        <x:v>hgdd8s0</x:v>
      </x:c>
      <x:c r="B136" s="5" t="str">
        <x:v>Lantower Bullhouse</x:v>
      </x:c>
      <x:c r="C136" s="1" t="str">
        <x:v>5788027</x:v>
      </x:c>
      <x:c r="D136" s="1" t="str">
        <x:v>c5bt9le</x:v>
      </x:c>
      <x:c r="E136" s="1" t="str">
        <x:v>C1.4</x:v>
      </x:c>
      <x:c r="F136" s="1" t="n">
        <x:v>2</x:v>
      </x:c>
      <x:c r="G136" s="1" t="n">
        <x:v>2</x:v>
      </x:c>
      <x:c r="H136" s="1" t="n">
        <x:v>1876</x:v>
      </x:c>
      <x:c r="I136" s="1" t="n">
        <x:v>3739</x:v>
      </x:c>
      <x:c r="J136" s="1" t="str">
        <x:v>$1,876 - $3,739</x:v>
      </x:c>
      <x:c r="K136" s="1" t="str">
        <x:v>$1,876 - $3,739</x:v>
      </x:c>
      <x:c r="L136" s="1" t="str">
        <x:v>false</x:v>
      </x:c>
      <x:c r="M136" s="1" t="str">
        <x:v>1,134 sq. ft.</x:v>
      </x:c>
      <x:c r="N136" s="1" t="n">
        <x:v>1</x:v>
      </x:c>
      <x:c r="O136" s="1" t="str">
        <x:v>FutureDate</x:v>
      </x:c>
      <x:c r="P136" s="1" t="str">
        <x:v>Available Soon</x:v>
      </x:c>
      <x:c r="Q136" s="1" t="n">
        <x:v>46279.99998842592</x:v>
      </x:c>
      <x:c r="R136" s="1" t="str"/>
      <x:c r="S136" s="1" t="str"/>
      <x:c r="T136" s="1" t="str"/>
      <x:c r="U136" s="1" t="str"/>
      <x:c r="V136" s="1" t="str"/>
      <x:c r="W136" s="1" t="str"/>
      <x:c r="X136" s="1" t="str">
        <x:v>false</x:v>
      </x:c>
      <x:c r="Y136" s="1" t="str">
        <x:v>false</x:v>
      </x:c>
      <x:c r="Z136" s="1" t="str">
        <x:v>[]</x:v>
      </x:c>
    </x:row>
    <x:row r="137" ht="15" hidden="0" customHeight="1">
      <x:c r="A137" s="1" t="str">
        <x:v>hgdd8s0</x:v>
      </x:c>
      <x:c r="B137" s="5" t="str">
        <x:v>Lantower Bullhouse</x:v>
      </x:c>
      <x:c r="C137" s="1" t="str">
        <x:v>5788028</x:v>
      </x:c>
      <x:c r="D137" s="1" t="str">
        <x:v>4n8gjjl</x:v>
      </x:c>
      <x:c r="E137" s="1" t="str">
        <x:v>C1.3</x:v>
      </x:c>
      <x:c r="F137" s="1" t="n">
        <x:v>2</x:v>
      </x:c>
      <x:c r="G137" s="1" t="n">
        <x:v>2</x:v>
      </x:c>
      <x:c r="H137" s="1" t="n">
        <x:v>1877</x:v>
      </x:c>
      <x:c r="I137" s="1" t="n">
        <x:v>3741</x:v>
      </x:c>
      <x:c r="J137" s="1" t="str">
        <x:v>$1,877 - $3,741</x:v>
      </x:c>
      <x:c r="K137" s="1" t="str">
        <x:v>$1,877 - $3,741</x:v>
      </x:c>
      <x:c r="L137" s="1" t="str">
        <x:v>false</x:v>
      </x:c>
      <x:c r="M137" s="1" t="str">
        <x:v>1,174 sq. ft.</x:v>
      </x:c>
      <x:c r="N137" s="1" t="n">
        <x:v>1</x:v>
      </x:c>
      <x:c r="O137" s="1" t="str">
        <x:v>AvailableNow</x:v>
      </x:c>
      <x:c r="P137" s="1" t="str">
        <x:v>Rentals Available</x:v>
      </x:c>
      <x:c r="Q137" s="1" t="n">
        <x:v>46273.99998842592</x:v>
      </x:c>
      <x:c r="R137" s="1" t="str"/>
      <x:c r="S137" s="1" t="str"/>
      <x:c r="T137" s="1" t="str"/>
      <x:c r="U137" s="1" t="str"/>
      <x:c r="V137" s="1" t="str"/>
      <x:c r="W137" s="1" t="str"/>
      <x:c r="X137" s="1" t="str">
        <x:v>false</x:v>
      </x:c>
      <x:c r="Y137" s="1" t="str">
        <x:v>false</x:v>
      </x:c>
      <x:c r="Z137" s="1" t="str">
        <x:v>[]</x:v>
      </x:c>
    </x:row>
    <x:row r="138" ht="15" hidden="0" customHeight="1">
      <x:c r="A138" s="1" t="str">
        <x:v>hgdd8s0</x:v>
      </x:c>
      <x:c r="B138" s="5" t="str">
        <x:v>Lantower Bullhouse</x:v>
      </x:c>
      <x:c r="C138" s="1" t="str">
        <x:v>5788035</x:v>
      </x:c>
      <x:c r="D138" s="1" t="str">
        <x:v>tbqj6j9</x:v>
      </x:c>
      <x:c r="E138" s="1" t="str">
        <x:v>C2.1</x:v>
      </x:c>
      <x:c r="F138" s="1" t="n">
        <x:v>2</x:v>
      </x:c>
      <x:c r="G138" s="1" t="n">
        <x:v>2</x:v>
      </x:c>
      <x:c r="H138" s="1" t="n">
        <x:v>1957</x:v>
      </x:c>
      <x:c r="I138" s="1" t="n">
        <x:v>3874</x:v>
      </x:c>
      <x:c r="J138" s="1" t="str">
        <x:v>$1,957 - $3,874</x:v>
      </x:c>
      <x:c r="K138" s="1" t="str">
        <x:v>$1,957 - $3,874</x:v>
      </x:c>
      <x:c r="L138" s="1" t="str">
        <x:v>false</x:v>
      </x:c>
      <x:c r="M138" s="1" t="str">
        <x:v>1,189 sq. ft.</x:v>
      </x:c>
      <x:c r="N138" s="1" t="n">
        <x:v>1</x:v>
      </x:c>
      <x:c r="O138" s="1" t="str">
        <x:v>FutureDate</x:v>
      </x:c>
      <x:c r="P138" s="1" t="str">
        <x:v>Available Soon</x:v>
      </x:c>
      <x:c r="Q138" s="1" t="n">
        <x:v>46293.99998842592</x:v>
      </x:c>
      <x:c r="R138" s="1" t="str"/>
      <x:c r="S138" s="1" t="str"/>
      <x:c r="T138" s="1" t="str"/>
      <x:c r="U138" s="1" t="str"/>
      <x:c r="V138" s="1" t="str"/>
      <x:c r="W138" s="1" t="str"/>
      <x:c r="X138" s="1" t="str">
        <x:v>false</x:v>
      </x:c>
      <x:c r="Y138" s="1" t="str">
        <x:v>false</x:v>
      </x:c>
      <x:c r="Z138" s="1" t="str">
        <x:v>[]</x:v>
      </x:c>
    </x:row>
    <x:row r="139" ht="15" hidden="0" customHeight="1">
      <x:c r="A139" s="1" t="str">
        <x:v>hgdd8s0</x:v>
      </x:c>
      <x:c r="B139" s="5" t="str">
        <x:v>Lantower Bullhouse</x:v>
      </x:c>
      <x:c r="C139" s="1" t="str">
        <x:v>5788038</x:v>
      </x:c>
      <x:c r="D139" s="1" t="str">
        <x:v>bf512xb</x:v>
      </x:c>
      <x:c r="E139" s="1" t="str">
        <x:v>C3.2</x:v>
      </x:c>
      <x:c r="F139" s="1" t="n">
        <x:v>2</x:v>
      </x:c>
      <x:c r="G139" s="1" t="n">
        <x:v>2</x:v>
      </x:c>
      <x:c r="H139" s="1" t="n">
        <x:v>2006</x:v>
      </x:c>
      <x:c r="I139" s="1" t="n">
        <x:v>2723</x:v>
      </x:c>
      <x:c r="J139" s="1" t="str">
        <x:v>$2,006 - $2,723</x:v>
      </x:c>
      <x:c r="K139" s="1" t="str">
        <x:v>$2,006 - $2,723</x:v>
      </x:c>
      <x:c r="L139" s="1" t="str">
        <x:v>false</x:v>
      </x:c>
      <x:c r="M139" s="1" t="str">
        <x:v>1,250 sq. ft.</x:v>
      </x:c>
      <x:c r="N139" s="1" t="n">
        <x:v>1</x:v>
      </x:c>
      <x:c r="O139" s="1" t="str">
        <x:v>FutureDate</x:v>
      </x:c>
      <x:c r="P139" s="1" t="str">
        <x:v>Available Soon</x:v>
      </x:c>
      <x:c r="Q139" s="1" t="n">
        <x:v>46307.99998842592</x:v>
      </x:c>
      <x:c r="R139" s="1" t="str"/>
      <x:c r="S139" s="1" t="str"/>
      <x:c r="T139" s="1" t="str"/>
      <x:c r="U139" s="1" t="str"/>
      <x:c r="V139" s="1" t="str"/>
      <x:c r="W139" s="1" t="str"/>
      <x:c r="X139" s="1" t="str">
        <x:v>false</x:v>
      </x:c>
      <x:c r="Y139" s="1" t="str">
        <x:v>false</x:v>
      </x:c>
      <x:c r="Z139" s="1" t="str">
        <x:v>[]</x:v>
      </x:c>
    </x:row>
    <x:row r="140" ht="15" hidden="0" customHeight="1">
      <x:c r="A140" s="1" t="str">
        <x:v>hgdd8s0</x:v>
      </x:c>
      <x:c r="B140" s="5" t="str">
        <x:v>Lantower Bullhouse</x:v>
      </x:c>
      <x:c r="C140" s="1" t="str">
        <x:v>5788034</x:v>
      </x:c>
      <x:c r="D140" s="1" t="str">
        <x:v>xy4dtnm</x:v>
      </x:c>
      <x:c r="E140" s="1" t="str">
        <x:v>C2.4</x:v>
      </x:c>
      <x:c r="F140" s="1" t="n">
        <x:v>2</x:v>
      </x:c>
      <x:c r="G140" s="1" t="n">
        <x:v>2</x:v>
      </x:c>
      <x:c r="H140" s="1" t="n">
        <x:v>2183</x:v>
      </x:c>
      <x:c r="I140" s="1" t="n">
        <x:v>4346</x:v>
      </x:c>
      <x:c r="J140" s="1" t="str">
        <x:v>$2,183 - $4,346</x:v>
      </x:c>
      <x:c r="K140" s="1" t="str">
        <x:v>$2,183 - $4,346</x:v>
      </x:c>
      <x:c r="L140" s="1" t="str">
        <x:v>false</x:v>
      </x:c>
      <x:c r="M140" s="1" t="str">
        <x:v>1,210 sq. ft.</x:v>
      </x:c>
      <x:c r="N140" s="1" t="n">
        <x:v>1</x:v>
      </x:c>
      <x:c r="O140" s="1" t="str">
        <x:v>FutureDate</x:v>
      </x:c>
      <x:c r="P140" s="1" t="str">
        <x:v>Available Soon</x:v>
      </x:c>
      <x:c r="Q140" s="1" t="n">
        <x:v>46279.99998842592</x:v>
      </x:c>
      <x:c r="R140" s="1" t="str"/>
      <x:c r="S140" s="1" t="str"/>
      <x:c r="T140" s="1" t="str"/>
      <x:c r="U140" s="1" t="str"/>
      <x:c r="V140" s="1" t="str"/>
      <x:c r="W140" s="1" t="str"/>
      <x:c r="X140" s="1" t="str">
        <x:v>false</x:v>
      </x:c>
      <x:c r="Y140" s="1" t="str">
        <x:v>false</x:v>
      </x:c>
      <x:c r="Z140" s="1" t="str">
        <x:v>[]</x:v>
      </x:c>
    </x:row>
    <x:row r="141" ht="24" hidden="0" customHeight="1">
      <x:c r="A141" s="1" t="str">
        <x:v>ocpe1n95cm</x:v>
      </x:c>
      <x:c r="B141" s="5" t="str">
        <x:v>Big Promotion w/best price ever. Move in Immediately . MarcomTowns. Great location nice</x:v>
      </x:c>
      <x:c r="C141" s="1" t="str">
        <x:v>1</x:v>
      </x:c>
      <x:c r="D141" s="1" t="str">
        <x:v>q2j0gkx</x:v>
      </x:c>
      <x:c r="E141" s="1" t="str"/>
      <x:c r="F141" s="1" t="n">
        <x:v>4</x:v>
      </x:c>
      <x:c r="G141" s="1" t="n">
        <x:v>4.5</x:v>
      </x:c>
      <x:c r="H141" s="1" t="n">
        <x:v>950</x:v>
      </x:c>
      <x:c r="I141" s="1" t="n">
        <x:v>950</x:v>
      </x:c>
      <x:c r="J141" s="1" t="str">
        <x:v>$950</x:v>
      </x:c>
      <x:c r="K141" s="1" t="str">
        <x:v>$950</x:v>
      </x:c>
      <x:c r="L141" s="1" t="str">
        <x:v>true</x:v>
      </x:c>
      <x:c r="M141" s="1" t="str">
        <x:v>1,720 sq. ft.</x:v>
      </x:c>
      <x:c r="N141" s="1" t="n">
        <x:v>1</x:v>
      </x:c>
      <x:c r="O141" s="1" t="str">
        <x:v>AvailableNow</x:v>
      </x:c>
      <x:c r="P141" s="1" t="str">
        <x:v>Rentals Available</x:v>
      </x:c>
      <x:c r="Q141" s="1" t="n">
        <x:v>25569.999988425927</x:v>
      </x:c>
      <x:c r="R141" s="1" t="str"/>
      <x:c r="S141" s="1" t="str"/>
      <x:c r="T141" s="1" t="str">
        <x:v>N/A</x:v>
      </x:c>
      <x:c r="U141" s="1" t="str">
        <x:v>N/A</x:v>
      </x:c>
      <x:c r="V141" s="1" t="str">
        <x:v>4</x:v>
      </x:c>
      <x:c r="W141" s="1" t="str"/>
      <x:c r="X141" s="1" t="str">
        <x:v>false</x:v>
      </x:c>
      <x:c r="Y141" s="1" t="str">
        <x:v>false</x:v>
      </x:c>
      <x:c r="Z141" s="1" t="str">
        <x:v>[]</x:v>
      </x:c>
    </x:row>
    <x:row r="142" ht="15" hidden="0" customHeight="1">
      <x:c r="A142" s="1" t="str">
        <x:v>p8mlexs</x:v>
      </x:c>
      <x:c r="B142" s="5" t="str">
        <x:v>Valentine Commons</x:v>
      </x:c>
      <x:c r="C142" s="1" t="str">
        <x:v>4136601</x:v>
      </x:c>
      <x:c r="D142" s="1" t="str">
        <x:v>fx6fkns</x:v>
      </x:c>
      <x:c r="E142" s="1" t="str">
        <x:v>The Haywood Platinum</x:v>
      </x:c>
      <x:c r="F142" s="1" t="n">
        <x:v>2</x:v>
      </x:c>
      <x:c r="G142" s="1" t="n">
        <x:v>2</x:v>
      </x:c>
      <x:c r="H142" s="1" t="n">
        <x:v>2238</x:v>
      </x:c>
      <x:c r="I142" s="1" t="n">
        <x:v>2238</x:v>
      </x:c>
      <x:c r="J142" s="1" t="str">
        <x:v>$2,238</x:v>
      </x:c>
      <x:c r="K142" s="1" t="str">
        <x:v>$2,288</x:v>
      </x:c>
      <x:c r="L142" s="1" t="str">
        <x:v>true</x:v>
      </x:c>
      <x:c r="M142" s="1" t="str">
        <x:v>672 sq. ft.</x:v>
      </x:c>
      <x:c r="N142" s="1" t="n">
        <x:v>1</x:v>
      </x:c>
      <x:c r="O142" s="1" t="str">
        <x:v>AvailableNow</x:v>
      </x:c>
      <x:c r="P142" s="1" t="str">
        <x:v>Rentals Available</x:v>
      </x:c>
      <x:c r="Q142" s="1" t="n">
        <x:v>46246.99998842592</x:v>
      </x:c>
      <x:c r="R142" s="1" t="str"/>
      <x:c r="S142" s="1" t="str"/>
      <x:c r="T142" s="1" t="str"/>
      <x:c r="U142" s="1" t="str"/>
      <x:c r="V142" s="1" t="str"/>
      <x:c r="W142" s="1" t="str"/>
      <x:c r="X142" s="1" t="str">
        <x:v>false</x:v>
      </x:c>
      <x:c r="Y142" s="1" t="str">
        <x:v>false</x:v>
      </x:c>
      <x:c r="Z142" s="1" t="str">
        <x:v>[]</x:v>
      </x:c>
    </x:row>
    <x:row r="143" ht="15" hidden="0" customHeight="1">
      <x:c r="A143" s="1" t="str">
        <x:v>p8mlexs</x:v>
      </x:c>
      <x:c r="B143" s="5" t="str">
        <x:v>Valentine Commons</x:v>
      </x:c>
      <x:c r="C143" s="1" t="str">
        <x:v>5852055</x:v>
      </x:c>
      <x:c r="D143" s="1" t="str">
        <x:v>ysq0sdv</x:v>
      </x:c>
      <x:c r="E143" s="1" t="str">
        <x:v>The Caswell Platinum</x:v>
      </x:c>
      <x:c r="F143" s="1" t="n">
        <x:v>3</x:v>
      </x:c>
      <x:c r="G143" s="1" t="n">
        <x:v>3</x:v>
      </x:c>
      <x:c r="H143" s="1" t="n">
        <x:v>2038</x:v>
      </x:c>
      <x:c r="I143" s="1" t="n">
        <x:v>2238</x:v>
      </x:c>
      <x:c r="J143" s="1" t="str">
        <x:v>$2,038 - $2,238</x:v>
      </x:c>
      <x:c r="K143" s="1" t="str">
        <x:v>$2,088 - $2,288</x:v>
      </x:c>
      <x:c r="L143" s="1" t="str">
        <x:v>false</x:v>
      </x:c>
      <x:c r="M143" s="1" t="str">
        <x:v>963 sq. ft.</x:v>
      </x:c>
      <x:c r="N143" s="1" t="n">
        <x:v>4</x:v>
      </x:c>
      <x:c r="O143" s="1" t="str">
        <x:v>AvailableNow</x:v>
      </x:c>
      <x:c r="P143" s="1" t="str">
        <x:v>Rentals Available</x:v>
      </x:c>
      <x:c r="Q143" s="1" t="n">
        <x:v>46246.99998842592</x:v>
      </x:c>
      <x:c r="R143" s="1" t="str"/>
      <x:c r="S143" s="1" t="str"/>
      <x:c r="T143" s="1" t="str"/>
      <x:c r="U143" s="1" t="str"/>
      <x:c r="V143" s="1" t="str"/>
      <x:c r="W143" s="1" t="str"/>
      <x:c r="X143" s="1" t="str">
        <x:v>false</x:v>
      </x:c>
      <x:c r="Y143" s="1" t="str">
        <x:v>false</x:v>
      </x:c>
      <x:c r="Z143" s="1" t="str">
        <x:v>[]</x:v>
      </x:c>
    </x:row>
    <x:row r="144" ht="15" hidden="0" customHeight="1">
      <x:c r="A144" s="1" t="str">
        <x:v>p8mlexs</x:v>
      </x:c>
      <x:c r="B144" s="5" t="str">
        <x:v>Valentine Commons</x:v>
      </x:c>
      <x:c r="C144" s="1" t="str">
        <x:v>4137171</x:v>
      </x:c>
      <x:c r="D144" s="1" t="str">
        <x:v>ec82f9p</x:v>
      </x:c>
      <x:c r="E144" s="1" t="str">
        <x:v>The Wilson Platinum</x:v>
      </x:c>
      <x:c r="F144" s="1" t="n">
        <x:v>3</x:v>
      </x:c>
      <x:c r="G144" s="1" t="n">
        <x:v>3</x:v>
      </x:c>
      <x:c r="H144" s="1" t="n">
        <x:v>2038</x:v>
      </x:c>
      <x:c r="I144" s="1" t="n">
        <x:v>2038</x:v>
      </x:c>
      <x:c r="J144" s="1" t="str">
        <x:v>$2,038</x:v>
      </x:c>
      <x:c r="K144" s="1" t="str">
        <x:v>$2,088</x:v>
      </x:c>
      <x:c r="L144" s="1" t="str">
        <x:v>true</x:v>
      </x:c>
      <x:c r="M144" s="1" t="str">
        <x:v>921 sq. ft.</x:v>
      </x:c>
      <x:c r="N144" s="1" t="n">
        <x:v>1</x:v>
      </x:c>
      <x:c r="O144" s="1" t="str">
        <x:v>AvailableNow</x:v>
      </x:c>
      <x:c r="P144" s="1" t="str">
        <x:v>Rentals Available</x:v>
      </x:c>
      <x:c r="Q144" s="1" t="n">
        <x:v>46246.99998842592</x:v>
      </x:c>
      <x:c r="R144" s="1" t="str"/>
      <x:c r="S144" s="1" t="str"/>
      <x:c r="T144" s="1" t="str"/>
      <x:c r="U144" s="1" t="str"/>
      <x:c r="V144" s="1" t="str"/>
      <x:c r="W144" s="1" t="str"/>
      <x:c r="X144" s="1" t="str">
        <x:v>false</x:v>
      </x:c>
      <x:c r="Y144" s="1" t="str">
        <x:v>false</x:v>
      </x:c>
      <x:c r="Z144" s="1" t="str">
        <x:v>[]</x:v>
      </x:c>
    </x:row>
    <x:row r="145" ht="15" hidden="0" customHeight="1">
      <x:c r="A145" s="1" t="str">
        <x:v>p8mlexs</x:v>
      </x:c>
      <x:c r="B145" s="5" t="str">
        <x:v>Valentine Commons</x:v>
      </x:c>
      <x:c r="C145" s="1" t="str">
        <x:v>4136602</x:v>
      </x:c>
      <x:c r="D145" s="1" t="str">
        <x:v>fttfnxv</x:v>
      </x:c>
      <x:c r="E145" s="1" t="str">
        <x:v>The Jackson Platinum</x:v>
      </x:c>
      <x:c r="F145" s="1" t="n">
        <x:v>4</x:v>
      </x:c>
      <x:c r="G145" s="1" t="n">
        <x:v>3</x:v>
      </x:c>
      <x:c r="H145" s="1" t="n">
        <x:v>1190</x:v>
      </x:c>
      <x:c r="I145" s="1" t="n">
        <x:v>1240</x:v>
      </x:c>
      <x:c r="J145" s="1" t="str">
        <x:v>$1,190 - $1,240</x:v>
      </x:c>
      <x:c r="K145" s="1" t="str">
        <x:v>$1,240 - $1,290</x:v>
      </x:c>
      <x:c r="L145" s="1" t="str">
        <x:v>true</x:v>
      </x:c>
      <x:c r="M145" s="1" t="str">
        <x:v>1,169 sq. ft.</x:v>
      </x:c>
      <x:c r="N145" s="1" t="n">
        <x:v>2</x:v>
      </x:c>
      <x:c r="O145" s="1" t="str">
        <x:v>AvailableNow</x:v>
      </x:c>
      <x:c r="P145" s="1" t="str">
        <x:v>Rentals Available</x:v>
      </x:c>
      <x:c r="Q145" s="1" t="n">
        <x:v>46246.99998842592</x:v>
      </x:c>
      <x:c r="R145" s="1" t="str"/>
      <x:c r="S145" s="1" t="str"/>
      <x:c r="T145" s="1" t="str"/>
      <x:c r="U145" s="1" t="str"/>
      <x:c r="V145" s="1" t="str"/>
      <x:c r="W145" s="1" t="str"/>
      <x:c r="X145" s="1" t="str">
        <x:v>false</x:v>
      </x:c>
      <x:c r="Y145" s="1" t="str">
        <x:v>false</x:v>
      </x:c>
      <x:c r="Z145" s="1" t="str">
        <x:v>[]</x:v>
      </x:c>
    </x:row>
    <x:row r="146" ht="15" hidden="0" customHeight="1">
      <x:c r="A146" s="1" t="str">
        <x:v>p8mlexs</x:v>
      </x:c>
      <x:c r="B146" s="5" t="str">
        <x:v>Valentine Commons</x:v>
      </x:c>
      <x:c r="C146" s="1" t="str">
        <x:v>4137173</x:v>
      </x:c>
      <x:c r="D146" s="1" t="str">
        <x:v>m38165h</x:v>
      </x:c>
      <x:c r="E146" s="1" t="str">
        <x:v>The Washington Platinum</x:v>
      </x:c>
      <x:c r="F146" s="1" t="n">
        <x:v>4</x:v>
      </x:c>
      <x:c r="G146" s="1" t="n">
        <x:v>4</x:v>
      </x:c>
      <x:c r="H146" s="1" t="n">
        <x:v>1190</x:v>
      </x:c>
      <x:c r="I146" s="1" t="n">
        <x:v>1190</x:v>
      </x:c>
      <x:c r="J146" s="1" t="str">
        <x:v>$1,190</x:v>
      </x:c>
      <x:c r="K146" s="1" t="str">
        <x:v>$1,240</x:v>
      </x:c>
      <x:c r="L146" s="1" t="str">
        <x:v>true</x:v>
      </x:c>
      <x:c r="M146" s="1" t="str">
        <x:v>1,098 sq. ft.</x:v>
      </x:c>
      <x:c r="N146" s="1" t="n">
        <x:v>1</x:v>
      </x:c>
      <x:c r="O146" s="1" t="str">
        <x:v>AvailableNow</x:v>
      </x:c>
      <x:c r="P146" s="1" t="str">
        <x:v>Rentals Available</x:v>
      </x:c>
      <x:c r="Q146" s="1" t="n">
        <x:v>46246.99998842592</x:v>
      </x:c>
      <x:c r="R146" s="1" t="str"/>
      <x:c r="S146" s="1" t="str"/>
      <x:c r="T146" s="1" t="str"/>
      <x:c r="U146" s="1" t="str"/>
      <x:c r="V146" s="1" t="str"/>
      <x:c r="W146" s="1" t="str"/>
      <x:c r="X146" s="1" t="str">
        <x:v>false</x:v>
      </x:c>
      <x:c r="Y146" s="1" t="str">
        <x:v>false</x:v>
      </x:c>
      <x:c r="Z146" s="1" t="str">
        <x:v>[]</x:v>
      </x:c>
    </x:row>
    <x:row r="147" ht="15" hidden="0" customHeight="1">
      <x:c r="A147" s="1" t="str">
        <x:v>p8mlexs</x:v>
      </x:c>
      <x:c r="B147" s="5" t="str">
        <x:v>Valentine Commons</x:v>
      </x:c>
      <x:c r="C147" s="1" t="str">
        <x:v>1700592</x:v>
      </x:c>
      <x:c r="D147" s="1" t="str">
        <x:v>zxxg8cz</x:v>
      </x:c>
      <x:c r="E147" s="1" t="str">
        <x:v>The Henderson Platinum</x:v>
      </x:c>
      <x:c r="F147" s="1" t="n">
        <x:v>4</x:v>
      </x:c>
      <x:c r="G147" s="1" t="n">
        <x:v>4</x:v>
      </x:c>
      <x:c r="H147" s="1" t="n">
        <x:v>1240</x:v>
      </x:c>
      <x:c r="I147" s="1" t="n">
        <x:v>1240</x:v>
      </x:c>
      <x:c r="J147" s="1" t="str">
        <x:v>$1,240</x:v>
      </x:c>
      <x:c r="K147" s="1" t="str">
        <x:v>$1,290</x:v>
      </x:c>
      <x:c r="L147" s="1" t="str">
        <x:v>true</x:v>
      </x:c>
      <x:c r="M147" s="1" t="str">
        <x:v>1,098 sq. ft.</x:v>
      </x:c>
      <x:c r="N147" s="1" t="n">
        <x:v>1</x:v>
      </x:c>
      <x:c r="O147" s="1" t="str">
        <x:v>AvailableNow</x:v>
      </x:c>
      <x:c r="P147" s="1" t="str">
        <x:v>Rentals Available</x:v>
      </x:c>
      <x:c r="Q147" s="1" t="n">
        <x:v>46246.99998842592</x:v>
      </x:c>
      <x:c r="R147" s="1" t="str"/>
      <x:c r="S147" s="1" t="str"/>
      <x:c r="T147" s="1" t="str"/>
      <x:c r="U147" s="1" t="str"/>
      <x:c r="V147" s="1" t="str">
        <x:v>4</x:v>
      </x:c>
      <x:c r="W147" s="1" t="str"/>
      <x:c r="X147" s="1" t="str">
        <x:v>false</x:v>
      </x:c>
      <x:c r="Y147" s="1" t="str">
        <x:v>false</x:v>
      </x:c>
      <x:c r="Z147" s="1" t="str">
        <x:v>[]</x:v>
      </x:c>
    </x:row>
    <x:row r="148" ht="15" hidden="0" customHeight="1">
      <x:c r="A148" s="1" t="str">
        <x:v>p8mlexs</x:v>
      </x:c>
      <x:c r="B148" s="5" t="str">
        <x:v>Valentine Commons</x:v>
      </x:c>
      <x:c r="C148" s="1" t="str">
        <x:v>3468960</x:v>
      </x:c>
      <x:c r="D148" s="1" t="str">
        <x:v>je582d4</x:v>
      </x:c>
      <x:c r="E148" s="1" t="str">
        <x:v>The Mitchell Platinum</x:v>
      </x:c>
      <x:c r="F148" s="1" t="n">
        <x:v>4</x:v>
      </x:c>
      <x:c r="G148" s="1" t="n">
        <x:v>4</x:v>
      </x:c>
      <x:c r="H148" s="1" t="n">
        <x:v>1240</x:v>
      </x:c>
      <x:c r="I148" s="1" t="n">
        <x:v>1240</x:v>
      </x:c>
      <x:c r="J148" s="1" t="str">
        <x:v>$1,240</x:v>
      </x:c>
      <x:c r="K148" s="1" t="str">
        <x:v>$1,290</x:v>
      </x:c>
      <x:c r="L148" s="1" t="str">
        <x:v>true</x:v>
      </x:c>
      <x:c r="M148" s="1" t="str">
        <x:v>1,098 sq. ft.</x:v>
      </x:c>
      <x:c r="N148" s="1" t="n">
        <x:v>1</x:v>
      </x:c>
      <x:c r="O148" s="1" t="str">
        <x:v>AvailableNow</x:v>
      </x:c>
      <x:c r="P148" s="1" t="str">
        <x:v>Rentals Available</x:v>
      </x:c>
      <x:c r="Q148" s="1" t="n">
        <x:v>46246.99998842592</x:v>
      </x:c>
      <x:c r="R148" s="1" t="str"/>
      <x:c r="S148" s="1" t="str"/>
      <x:c r="T148" s="1" t="str"/>
      <x:c r="U148" s="1" t="str"/>
      <x:c r="V148" s="1" t="str"/>
      <x:c r="W148" s="1" t="str"/>
      <x:c r="X148" s="1" t="str">
        <x:v>false</x:v>
      </x:c>
      <x:c r="Y148" s="1" t="str">
        <x:v>false</x:v>
      </x:c>
      <x:c r="Z148" s="1" t="str">
        <x:v>[]</x:v>
      </x:c>
    </x:row>
    <x:row r="149" ht="15" hidden="0" customHeight="1">
      <x:c r="A149" s="1" t="str">
        <x:v>p8mlexs</x:v>
      </x:c>
      <x:c r="B149" s="5" t="str">
        <x:v>Valentine Commons</x:v>
      </x:c>
      <x:c r="C149" s="1" t="str">
        <x:v>1700591</x:v>
      </x:c>
      <x:c r="D149" s="1" t="str">
        <x:v>s5x9r97</x:v>
      </x:c>
      <x:c r="E149" s="1" t="str">
        <x:v>The Gaston Platinum</x:v>
      </x:c>
      <x:c r="F149" s="1" t="n">
        <x:v>4</x:v>
      </x:c>
      <x:c r="G149" s="1" t="n">
        <x:v>4</x:v>
      </x:c>
      <x:c r="H149" s="1" t="n">
        <x:v>1340</x:v>
      </x:c>
      <x:c r="I149" s="1" t="n">
        <x:v>1340</x:v>
      </x:c>
      <x:c r="J149" s="1" t="str">
        <x:v>$1,340</x:v>
      </x:c>
      <x:c r="K149" s="1" t="str">
        <x:v>$1,390</x:v>
      </x:c>
      <x:c r="L149" s="1" t="str">
        <x:v>true</x:v>
      </x:c>
      <x:c r="M149" s="1" t="str">
        <x:v>1,098 sq. ft.</x:v>
      </x:c>
      <x:c r="N149" s="1" t="n">
        <x:v>1</x:v>
      </x:c>
      <x:c r="O149" s="1" t="str">
        <x:v>AvailableNow</x:v>
      </x:c>
      <x:c r="P149" s="1" t="str">
        <x:v>Rentals Available</x:v>
      </x:c>
      <x:c r="Q149" s="1" t="n">
        <x:v>46246.99998842592</x:v>
      </x:c>
      <x:c r="R149" s="1" t="str"/>
      <x:c r="S149" s="1" t="str"/>
      <x:c r="T149" s="1" t="str"/>
      <x:c r="U149" s="1" t="str"/>
      <x:c r="V149" s="1" t="str">
        <x:v>4</x:v>
      </x:c>
      <x:c r="W149" s="1" t="str"/>
      <x:c r="X149" s="1" t="str">
        <x:v>false</x:v>
      </x:c>
      <x:c r="Y149" s="1" t="str">
        <x:v>false</x:v>
      </x:c>
      <x:c r="Z149" s="1" t="str">
        <x:v>[]</x:v>
      </x:c>
    </x:row>
    <x:row r="150" ht="15" hidden="0" customHeight="1">
      <x:c r="A150" s="1" t="str">
        <x:v>p8mlexs</x:v>
      </x:c>
      <x:c r="B150" s="5" t="str">
        <x:v>Valentine Commons</x:v>
      </x:c>
      <x:c r="C150" s="1" t="str">
        <x:v>1700586</x:v>
      </x:c>
      <x:c r="D150" s="1" t="str">
        <x:v>eqqxtpp</x:v>
      </x:c>
      <x:c r="E150" s="1" t="str">
        <x:v>The Franklin Platinum</x:v>
      </x:c>
      <x:c r="F150" s="1" t="n">
        <x:v>4</x:v>
      </x:c>
      <x:c r="G150" s="1" t="n">
        <x:v>4</x:v>
      </x:c>
      <x:c r="H150" s="1" t="n">
        <x:v>1440</x:v>
      </x:c>
      <x:c r="I150" s="1" t="n">
        <x:v>1440</x:v>
      </x:c>
      <x:c r="J150" s="1" t="str">
        <x:v>$1,440</x:v>
      </x:c>
      <x:c r="K150" s="1" t="str">
        <x:v>$1,490</x:v>
      </x:c>
      <x:c r="L150" s="1" t="str">
        <x:v>true</x:v>
      </x:c>
      <x:c r="M150" s="1" t="str">
        <x:v>1,157 sq. ft.</x:v>
      </x:c>
      <x:c r="N150" s="1" t="n">
        <x:v>1</x:v>
      </x:c>
      <x:c r="O150" s="1" t="str">
        <x:v>AvailableNow</x:v>
      </x:c>
      <x:c r="P150" s="1" t="str">
        <x:v>Rentals Available</x:v>
      </x:c>
      <x:c r="Q150" s="1" t="n">
        <x:v>46246.99998842592</x:v>
      </x:c>
      <x:c r="R150" s="1" t="str"/>
      <x:c r="S150" s="1" t="str"/>
      <x:c r="T150" s="1" t="str"/>
      <x:c r="U150" s="1" t="str"/>
      <x:c r="V150" s="1" t="str">
        <x:v>4</x:v>
      </x:c>
      <x:c r="W150" s="1" t="str"/>
      <x:c r="X150" s="1" t="str">
        <x:v>false</x:v>
      </x:c>
      <x:c r="Y150" s="1" t="str">
        <x:v>false</x:v>
      </x:c>
      <x:c r="Z150" s="1" t="str">
        <x:v>[]</x:v>
      </x:c>
    </x:row>
    <x:row r="151" ht="15" hidden="0" customHeight="1">
      <x:c r="A151" s="1" t="str">
        <x:v>p8mlexs</x:v>
      </x:c>
      <x:c r="B151" s="5" t="str">
        <x:v>Valentine Commons</x:v>
      </x:c>
      <x:c r="C151" s="1" t="str">
        <x:v>1700584</x:v>
      </x:c>
      <x:c r="D151" s="1" t="str">
        <x:v>pjgw4ct</x:v>
      </x:c>
      <x:c r="E151" s="1" t="str">
        <x:v>The Camden Platinum</x:v>
      </x:c>
      <x:c r="F151" s="1" t="n">
        <x:v>4</x:v>
      </x:c>
      <x:c r="G151" s="1" t="n">
        <x:v>4</x:v>
      </x:c>
      <x:c r="H151" s="1" t="n">
        <x:v>1640</x:v>
      </x:c>
      <x:c r="I151" s="1" t="n">
        <x:v>1640</x:v>
      </x:c>
      <x:c r="J151" s="1" t="str">
        <x:v>$1,640</x:v>
      </x:c>
      <x:c r="K151" s="1" t="str">
        <x:v>$1,690</x:v>
      </x:c>
      <x:c r="L151" s="1" t="str">
        <x:v>true</x:v>
      </x:c>
      <x:c r="M151" s="1" t="str">
        <x:v>1,169 sq. ft.</x:v>
      </x:c>
      <x:c r="N151" s="1" t="n">
        <x:v>1</x:v>
      </x:c>
      <x:c r="O151" s="1" t="str">
        <x:v>AvailableNow</x:v>
      </x:c>
      <x:c r="P151" s="1" t="str">
        <x:v>Rentals Available</x:v>
      </x:c>
      <x:c r="Q151" s="1" t="n">
        <x:v>46246.99998842592</x:v>
      </x:c>
      <x:c r="R151" s="1" t="str"/>
      <x:c r="S151" s="1" t="str"/>
      <x:c r="T151" s="1" t="str"/>
      <x:c r="U151" s="1" t="str"/>
      <x:c r="V151" s="1" t="str">
        <x:v>4</x:v>
      </x:c>
      <x:c r="W151" s="1" t="str"/>
      <x:c r="X151" s="1" t="str">
        <x:v>false</x:v>
      </x:c>
      <x:c r="Y151" s="1" t="str">
        <x:v>false</x:v>
      </x:c>
      <x:c r="Z151" s="1" t="str">
        <x:v>[]</x:v>
      </x:c>
    </x:row>
    <x:row r="152" ht="15" hidden="0" customHeight="1">
      <x:c r="A152" s="1" t="str">
        <x:v>p8mlexs</x:v>
      </x:c>
      <x:c r="B152" s="5" t="str">
        <x:v>Valentine Commons</x:v>
      </x:c>
      <x:c r="C152" s="1" t="str">
        <x:v>1700589</x:v>
      </x:c>
      <x:c r="D152" s="1" t="str">
        <x:v>vgncbrf</x:v>
      </x:c>
      <x:c r="E152" s="1" t="str">
        <x:v>The Hyde Platinum</x:v>
      </x:c>
      <x:c r="F152" s="1" t="n">
        <x:v>4</x:v>
      </x:c>
      <x:c r="G152" s="1" t="n">
        <x:v>4</x:v>
      </x:c>
      <x:c r="H152" s="1" t="n">
        <x:v>1640</x:v>
      </x:c>
      <x:c r="I152" s="1" t="n">
        <x:v>1640</x:v>
      </x:c>
      <x:c r="J152" s="1" t="str">
        <x:v>$1,640</x:v>
      </x:c>
      <x:c r="K152" s="1" t="str">
        <x:v>$1,690</x:v>
      </x:c>
      <x:c r="L152" s="1" t="str">
        <x:v>true</x:v>
      </x:c>
      <x:c r="M152" s="1" t="str">
        <x:v>1,129 sq. ft.</x:v>
      </x:c>
      <x:c r="N152" s="1" t="n">
        <x:v>1</x:v>
      </x:c>
      <x:c r="O152" s="1" t="str">
        <x:v>AvailableNow</x:v>
      </x:c>
      <x:c r="P152" s="1" t="str">
        <x:v>Rentals Available</x:v>
      </x:c>
      <x:c r="Q152" s="1" t="n">
        <x:v>46246.99998842592</x:v>
      </x:c>
      <x:c r="R152" s="1" t="str"/>
      <x:c r="S152" s="1" t="str"/>
      <x:c r="T152" s="1" t="str"/>
      <x:c r="U152" s="1" t="str"/>
      <x:c r="V152" s="1" t="str">
        <x:v>4</x:v>
      </x:c>
      <x:c r="W152" s="1" t="str"/>
      <x:c r="X152" s="1" t="str">
        <x:v>false</x:v>
      </x:c>
      <x:c r="Y152" s="1" t="str">
        <x:v>false</x:v>
      </x:c>
      <x:c r="Z152" s="1" t="str">
        <x:v>[]</x:v>
      </x:c>
    </x:row>
    <x:row r="153" ht="15" hidden="0" customHeight="1">
      <x:c r="A153" s="1" t="str">
        <x:v>p8mlexs</x:v>
      </x:c>
      <x:c r="B153" s="5" t="str">
        <x:v>Valentine Commons</x:v>
      </x:c>
      <x:c r="C153" s="1" t="str">
        <x:v>4137172</x:v>
      </x:c>
      <x:c r="D153" s="1" t="str">
        <x:v>peh3hmt</x:v>
      </x:c>
      <x:c r="E153" s="1" t="str">
        <x:v>The Pamlico Platinum</x:v>
      </x:c>
      <x:c r="F153" s="1" t="n">
        <x:v>4</x:v>
      </x:c>
      <x:c r="G153" s="1" t="n">
        <x:v>4</x:v>
      </x:c>
      <x:c r="H153" s="1" t="n">
        <x:v>1640</x:v>
      </x:c>
      <x:c r="I153" s="1" t="n">
        <x:v>1640</x:v>
      </x:c>
      <x:c r="J153" s="1" t="str">
        <x:v>$1,640</x:v>
      </x:c>
      <x:c r="K153" s="1" t="str">
        <x:v>$1,690</x:v>
      </x:c>
      <x:c r="L153" s="1" t="str">
        <x:v>true</x:v>
      </x:c>
      <x:c r="M153" s="1" t="str">
        <x:v>1,098 sq. ft.</x:v>
      </x:c>
      <x:c r="N153" s="1" t="n">
        <x:v>1</x:v>
      </x:c>
      <x:c r="O153" s="1" t="str">
        <x:v>AvailableNow</x:v>
      </x:c>
      <x:c r="P153" s="1" t="str">
        <x:v>Rentals Available</x:v>
      </x:c>
      <x:c r="Q153" s="1" t="n">
        <x:v>46246.99998842592</x:v>
      </x:c>
      <x:c r="R153" s="1" t="str"/>
      <x:c r="S153" s="1" t="str"/>
      <x:c r="T153" s="1" t="str"/>
      <x:c r="U153" s="1" t="str"/>
      <x:c r="V153" s="1" t="str"/>
      <x:c r="W153" s="1" t="str"/>
      <x:c r="X153" s="1" t="str">
        <x:v>false</x:v>
      </x:c>
      <x:c r="Y153" s="1" t="str">
        <x:v>false</x:v>
      </x:c>
      <x:c r="Z153" s="1" t="str">
        <x:v>[]</x:v>
      </x:c>
    </x:row>
    <x:row r="154" ht="15" hidden="0" customHeight="1">
      <x:c r="A154" s="1" t="str">
        <x:v>ocp2evl6hb</x:v>
      </x:c>
      <x:c r="B154" s="5" t="str">
        <x:v>University Oaks -</x:v>
      </x:c>
      <x:c r="C154" s="1" t="str">
        <x:v>1</x:v>
      </x:c>
      <x:c r="D154" s="1" t="str">
        <x:v>q2j0gkx</x:v>
      </x:c>
      <x:c r="E154" s="1" t="str"/>
      <x:c r="F154" s="1" t="n">
        <x:v>1</x:v>
      </x:c>
      <x:c r="G154" s="1" t="n">
        <x:v>1</x:v>
      </x:c>
      <x:c r="H154" s="1" t="n">
        <x:v>725</x:v>
      </x:c>
      <x:c r="I154" s="1" t="n">
        <x:v>725</x:v>
      </x:c>
      <x:c r="J154" s="1" t="str">
        <x:v>$725</x:v>
      </x:c>
      <x:c r="K154" s="1" t="str">
        <x:v>$725</x:v>
      </x:c>
      <x:c r="L154" s="1" t="str">
        <x:v>true</x:v>
      </x:c>
      <x:c r="M154" s="1" t="str">
        <x:v>1,250 sq. ft.</x:v>
      </x:c>
      <x:c r="N154" s="1" t="n">
        <x:v>1</x:v>
      </x:c>
      <x:c r="O154" s="1" t="str">
        <x:v>AvailableNow</x:v>
      </x:c>
      <x:c r="P154" s="1" t="str">
        <x:v>Rentals Available</x:v>
      </x:c>
      <x:c r="Q154" s="1" t="n">
        <x:v>46174.99998842592</x:v>
      </x:c>
      <x:c r="R154" s="1" t="str"/>
      <x:c r="S154" s="1" t="str"/>
      <x:c r="T154" s="1" t="str">
        <x:v>N/A</x:v>
      </x:c>
      <x:c r="U154" s="1" t="str">
        <x:v>N/A</x:v>
      </x:c>
      <x:c r="V154" s="1" t="str">
        <x:v>1</x:v>
      </x:c>
      <x:c r="W154" s="1" t="str"/>
      <x:c r="X154" s="1" t="str">
        <x:v>false</x:v>
      </x:c>
      <x:c r="Y154" s="1" t="str">
        <x:v>false</x:v>
      </x:c>
      <x:c r="Z154" s="1" t="str">
        <x:v>[]</x:v>
      </x:c>
    </x:row>
    <x:row r="155" ht="15" hidden="0" customHeight="1">
      <x:c r="A155" s="1" t="str">
        <x:v>fgrbwjv</x:v>
      </x:c>
      <x:c r="B155" s="5" t="str">
        <x:v>Stanhope</x:v>
      </x:c>
      <x:c r="C155" s="1" t="str">
        <x:v>1618028</x:v>
      </x:c>
      <x:c r="D155" s="1" t="str">
        <x:v>8gxbpq1</x:v>
      </x:c>
      <x:c r="E155" s="1" t="str">
        <x:v>Studio</x:v>
      </x:c>
      <x:c r="F155" s="1" t="n">
        <x:v>0</x:v>
      </x:c>
      <x:c r="G155" s="1" t="n">
        <x:v>1</x:v>
      </x:c>
      <x:c r="H155" s="1" t="n">
        <x:v>1675</x:v>
      </x:c>
      <x:c r="I155" s="1" t="n">
        <x:v>1675</x:v>
      </x:c>
      <x:c r="J155" s="1" t="str">
        <x:v>$1,675</x:v>
      </x:c>
      <x:c r="K155" s="1" t="str">
        <x:v>$1,680</x:v>
      </x:c>
      <x:c r="L155" s="1" t="str">
        <x:v>true</x:v>
      </x:c>
      <x:c r="M155" s="1" t="str">
        <x:v>394 - 432 sq. ft.</x:v>
      </x:c>
      <x:c r="N155" s="1" t="n">
        <x:v>1</x:v>
      </x:c>
      <x:c r="O155" s="1" t="str">
        <x:v>AvailableNow</x:v>
      </x:c>
      <x:c r="P155" s="1" t="str">
        <x:v>Rentals Available</x:v>
      </x:c>
      <x:c r="Q155" s="1" t="n">
        <x:v>46247.99998842592</x:v>
      </x:c>
      <x:c r="R155" s="1" t="str"/>
      <x:c r="S155" s="1" t="str"/>
      <x:c r="T155" s="1" t="str"/>
      <x:c r="U155" s="1" t="str"/>
      <x:c r="V155" s="1" t="str"/>
      <x:c r="W155" s="1" t="str"/>
      <x:c r="X155" s="1" t="str">
        <x:v>false</x:v>
      </x:c>
      <x:c r="Y155" s="1" t="str">
        <x:v>false</x:v>
      </x:c>
      <x:c r="Z155" s="1" t="str">
        <x:v>[]</x:v>
      </x:c>
    </x:row>
    <x:row r="156" ht="15" hidden="0" customHeight="1">
      <x:c r="A156" s="1" t="str">
        <x:v>fgrbwjv</x:v>
      </x:c>
      <x:c r="B156" s="5" t="str">
        <x:v>Stanhope</x:v>
      </x:c>
      <x:c r="C156" s="1" t="str">
        <x:v>5934063</x:v>
      </x:c>
      <x:c r="D156" s="1" t="str">
        <x:v>q58xxmz</x:v>
      </x:c>
      <x:c r="E156" s="1" t="str">
        <x:v>Studio +</x:v>
      </x:c>
      <x:c r="F156" s="1" t="n">
        <x:v>0</x:v>
      </x:c>
      <x:c r="G156" s="1" t="n">
        <x:v>1</x:v>
      </x:c>
      <x:c r="H156" s="1" t="n">
        <x:v>1695</x:v>
      </x:c>
      <x:c r="I156" s="1" t="n">
        <x:v>1695</x:v>
      </x:c>
      <x:c r="J156" s="1" t="str">
        <x:v>$1,695</x:v>
      </x:c>
      <x:c r="K156" s="1" t="str">
        <x:v>$1,700</x:v>
      </x:c>
      <x:c r="L156" s="1" t="str">
        <x:v>false</x:v>
      </x:c>
      <x:c r="M156" s="1" t="str">
        <x:v>424 - 446 sq. ft.</x:v>
      </x:c>
      <x:c r="N156" s="1" t="n">
        <x:v>1</x:v>
      </x:c>
      <x:c r="O156" s="1" t="str">
        <x:v>AvailableNow</x:v>
      </x:c>
      <x:c r="P156" s="1" t="str">
        <x:v>Rentals Available</x:v>
      </x:c>
      <x:c r="Q156" s="1" t="n">
        <x:v>46247.99998842592</x:v>
      </x:c>
      <x:c r="R156" s="1" t="str"/>
      <x:c r="S156" s="1" t="str"/>
      <x:c r="T156" s="1" t="str"/>
      <x:c r="U156" s="1" t="str"/>
      <x:c r="V156" s="1" t="str"/>
      <x:c r="W156" s="1" t="str"/>
      <x:c r="X156" s="1" t="str">
        <x:v>false</x:v>
      </x:c>
      <x:c r="Y156" s="1" t="str">
        <x:v>false</x:v>
      </x:c>
      <x:c r="Z156" s="1" t="str">
        <x:v>[]</x:v>
      </x:c>
    </x:row>
    <x:row r="157" ht="15" hidden="0" customHeight="1">
      <x:c r="A157" s="1" t="str">
        <x:v>fgrbwjv</x:v>
      </x:c>
      <x:c r="B157" s="5" t="str">
        <x:v>Stanhope</x:v>
      </x:c>
      <x:c r="C157" s="1" t="str">
        <x:v>5934065</x:v>
      </x:c>
      <x:c r="D157" s="1" t="str">
        <x:v>sy5lfr6</x:v>
      </x:c>
      <x:c r="E157" s="1" t="str">
        <x:v>2x2 Shared</x:v>
      </x:c>
      <x:c r="F157" s="1" t="n">
        <x:v>2</x:v>
      </x:c>
      <x:c r="G157" s="1" t="n">
        <x:v>2</x:v>
      </x:c>
      <x:c r="H157" s="1" t="n">
        <x:v>845</x:v>
      </x:c>
      <x:c r="I157" s="1" t="n">
        <x:v>845</x:v>
      </x:c>
      <x:c r="J157" s="1" t="str">
        <x:v>$845</x:v>
      </x:c>
      <x:c r="K157" s="1" t="str">
        <x:v>$850</x:v>
      </x:c>
      <x:c r="L157" s="1" t="str">
        <x:v>false</x:v>
      </x:c>
      <x:c r="M157" s="1" t="str">
        <x:v>1,394 sq. ft.</x:v>
      </x:c>
      <x:c r="N157" s="1" t="n">
        <x:v>1</x:v>
      </x:c>
      <x:c r="O157" s="1" t="str">
        <x:v>AvailableNow</x:v>
      </x:c>
      <x:c r="P157" s="1" t="str">
        <x:v>Rentals Available</x:v>
      </x:c>
      <x:c r="Q157" s="1" t="n">
        <x:v>46247.99998842592</x:v>
      </x:c>
      <x:c r="R157" s="1" t="str"/>
      <x:c r="S157" s="1" t="str"/>
      <x:c r="T157" s="1" t="str"/>
      <x:c r="U157" s="1" t="str"/>
      <x:c r="V157" s="1" t="str"/>
      <x:c r="W157" s="1" t="str"/>
      <x:c r="X157" s="1" t="str">
        <x:v>false</x:v>
      </x:c>
      <x:c r="Y157" s="1" t="str">
        <x:v>false</x:v>
      </x:c>
      <x:c r="Z157" s="1" t="str">
        <x:v>[]</x:v>
      </x:c>
    </x:row>
    <x:row r="158" ht="15" hidden="0" customHeight="1">
      <x:c r="A158" s="1" t="str">
        <x:v>fgrbwjv</x:v>
      </x:c>
      <x:c r="B158" s="5" t="str">
        <x:v>Stanhope</x:v>
      </x:c>
      <x:c r="C158" s="1" t="str">
        <x:v>1753261</x:v>
      </x:c>
      <x:c r="D158" s="1" t="str">
        <x:v>my9fxzh</x:v>
      </x:c>
      <x:c r="E158" s="1" t="str">
        <x:v>2x2</x:v>
      </x:c>
      <x:c r="F158" s="1" t="n">
        <x:v>2</x:v>
      </x:c>
      <x:c r="G158" s="1" t="n">
        <x:v>2</x:v>
      </x:c>
      <x:c r="H158" s="1" t="n">
        <x:v>1385</x:v>
      </x:c>
      <x:c r="I158" s="1" t="n">
        <x:v>1385</x:v>
      </x:c>
      <x:c r="J158" s="1" t="str">
        <x:v>$1,385</x:v>
      </x:c>
      <x:c r="K158" s="1" t="str">
        <x:v>$1,390</x:v>
      </x:c>
      <x:c r="L158" s="1" t="str">
        <x:v>true</x:v>
      </x:c>
      <x:c r="M158" s="1" t="str">
        <x:v>835 - 921 sq. ft.</x:v>
      </x:c>
      <x:c r="N158" s="1" t="n">
        <x:v>1</x:v>
      </x:c>
      <x:c r="O158" s="1" t="str">
        <x:v>AvailableNow</x:v>
      </x:c>
      <x:c r="P158" s="1" t="str">
        <x:v>Rentals Available</x:v>
      </x:c>
      <x:c r="Q158" s="1" t="n">
        <x:v>46247.99998842592</x:v>
      </x:c>
      <x:c r="R158" s="1" t="str"/>
      <x:c r="S158" s="1" t="str"/>
      <x:c r="T158" s="1" t="str"/>
      <x:c r="U158" s="1" t="str"/>
      <x:c r="V158" s="1" t="str">
        <x:v>2</x:v>
      </x:c>
      <x:c r="W158" s="1" t="str"/>
      <x:c r="X158" s="1" t="str">
        <x:v>false</x:v>
      </x:c>
      <x:c r="Y158" s="1" t="str">
        <x:v>false</x:v>
      </x:c>
      <x:c r="Z158" s="1" t="str">
        <x:v>[]</x:v>
      </x:c>
    </x:row>
    <x:row r="159" ht="15" hidden="0" customHeight="1">
      <x:c r="A159" s="1" t="str">
        <x:v>fgrbwjv</x:v>
      </x:c>
      <x:c r="B159" s="5" t="str">
        <x:v>Stanhope</x:v>
      </x:c>
      <x:c r="C159" s="1" t="str">
        <x:v>5934064</x:v>
      </x:c>
      <x:c r="D159" s="1" t="str">
        <x:v>jx8vep7</x:v>
      </x:c>
      <x:c r="E159" s="1" t="str">
        <x:v>2x2 +</x:v>
      </x:c>
      <x:c r="F159" s="1" t="n">
        <x:v>2</x:v>
      </x:c>
      <x:c r="G159" s="1" t="n">
        <x:v>2</x:v>
      </x:c>
      <x:c r="H159" s="1" t="n">
        <x:v>1419</x:v>
      </x:c>
      <x:c r="I159" s="1" t="n">
        <x:v>1419</x:v>
      </x:c>
      <x:c r="J159" s="1" t="str">
        <x:v>$1,419</x:v>
      </x:c>
      <x:c r="K159" s="1" t="str">
        <x:v>$1,424</x:v>
      </x:c>
      <x:c r="L159" s="1" t="str">
        <x:v>false</x:v>
      </x:c>
      <x:c r="M159" s="1" t="str">
        <x:v>1,015 - 1,056 sq. ft.</x:v>
      </x:c>
      <x:c r="N159" s="1" t="n">
        <x:v>1</x:v>
      </x:c>
      <x:c r="O159" s="1" t="str">
        <x:v>AvailableNow</x:v>
      </x:c>
      <x:c r="P159" s="1" t="str">
        <x:v>Rentals Available</x:v>
      </x:c>
      <x:c r="Q159" s="1" t="n">
        <x:v>46247.99998842592</x:v>
      </x:c>
      <x:c r="R159" s="1" t="str"/>
      <x:c r="S159" s="1" t="str"/>
      <x:c r="T159" s="1" t="str"/>
      <x:c r="U159" s="1" t="str"/>
      <x:c r="V159" s="1" t="str"/>
      <x:c r="W159" s="1" t="str"/>
      <x:c r="X159" s="1" t="str">
        <x:v>false</x:v>
      </x:c>
      <x:c r="Y159" s="1" t="str">
        <x:v>false</x:v>
      </x:c>
      <x:c r="Z159" s="1" t="str">
        <x:v>[]</x:v>
      </x:c>
    </x:row>
    <x:row r="160" ht="15" hidden="0" customHeight="1">
      <x:c r="A160" s="1" t="str">
        <x:v>fgrbwjv</x:v>
      </x:c>
      <x:c r="B160" s="5" t="str">
        <x:v>Stanhope</x:v>
      </x:c>
      <x:c r="C160" s="1" t="str">
        <x:v>1753262</x:v>
      </x:c>
      <x:c r="D160" s="1" t="str">
        <x:v>4w3yz3j</x:v>
      </x:c>
      <x:c r="E160" s="1" t="str">
        <x:v>3x3</x:v>
      </x:c>
      <x:c r="F160" s="1" t="n">
        <x:v>3</x:v>
      </x:c>
      <x:c r="G160" s="1" t="n">
        <x:v>3</x:v>
      </x:c>
      <x:c r="H160" s="1" t="n">
        <x:v>999</x:v>
      </x:c>
      <x:c r="I160" s="1" t="n">
        <x:v>999</x:v>
      </x:c>
      <x:c r="J160" s="1" t="str">
        <x:v>$999</x:v>
      </x:c>
      <x:c r="K160" s="1" t="str">
        <x:v>$1,004</x:v>
      </x:c>
      <x:c r="L160" s="1" t="str">
        <x:v>true</x:v>
      </x:c>
      <x:c r="M160" s="1" t="str">
        <x:v>1,286 - 1,311 sq. ft.</x:v>
      </x:c>
      <x:c r="N160" s="1" t="n">
        <x:v>1</x:v>
      </x:c>
      <x:c r="O160" s="1" t="str">
        <x:v>AvailableNow</x:v>
      </x:c>
      <x:c r="P160" s="1" t="str">
        <x:v>Rentals Available</x:v>
      </x:c>
      <x:c r="Q160" s="1" t="n">
        <x:v>46247.99998842592</x:v>
      </x:c>
      <x:c r="R160" s="1" t="str"/>
      <x:c r="S160" s="1" t="str"/>
      <x:c r="T160" s="1" t="str"/>
      <x:c r="U160" s="1" t="str"/>
      <x:c r="V160" s="1" t="str">
        <x:v>3</x:v>
      </x:c>
      <x:c r="W160" s="1" t="str"/>
      <x:c r="X160" s="1" t="str">
        <x:v>false</x:v>
      </x:c>
      <x:c r="Y160" s="1" t="str">
        <x:v>false</x:v>
      </x:c>
      <x:c r="Z160" s="1" t="str">
        <x:v>[]</x:v>
      </x:c>
    </x:row>
    <x:row r="161" ht="15" hidden="0" customHeight="1">
      <x:c r="A161" s="1" t="str">
        <x:v>fgrbwjv</x:v>
      </x:c>
      <x:c r="B161" s="5" t="str">
        <x:v>Stanhope</x:v>
      </x:c>
      <x:c r="C161" s="1" t="str">
        <x:v>5934067</x:v>
      </x:c>
      <x:c r="D161" s="1" t="str">
        <x:v>xcjqc3n</x:v>
      </x:c>
      <x:c r="E161" s="1" t="str">
        <x:v>3x3 +</x:v>
      </x:c>
      <x:c r="F161" s="1" t="n">
        <x:v>3</x:v>
      </x:c>
      <x:c r="G161" s="1" t="n">
        <x:v>3</x:v>
      </x:c>
      <x:c r="H161" s="1" t="n">
        <x:v>1335</x:v>
      </x:c>
      <x:c r="I161" s="1" t="n">
        <x:v>1335</x:v>
      </x:c>
      <x:c r="J161" s="1" t="str">
        <x:v>$1,335</x:v>
      </x:c>
      <x:c r="K161" s="1" t="str">
        <x:v>$1,340</x:v>
      </x:c>
      <x:c r="L161" s="1" t="str">
        <x:v>false</x:v>
      </x:c>
      <x:c r="M161" s="1" t="str">
        <x:v>1,340 - 1,348 sq. ft.</x:v>
      </x:c>
      <x:c r="N161" s="1" t="n">
        <x:v>1</x:v>
      </x:c>
      <x:c r="O161" s="1" t="str">
        <x:v>AvailableNow</x:v>
      </x:c>
      <x:c r="P161" s="1" t="str">
        <x:v>Rentals Available</x:v>
      </x:c>
      <x:c r="Q161" s="1" t="n">
        <x:v>46247.99998842592</x:v>
      </x:c>
      <x:c r="R161" s="1" t="str"/>
      <x:c r="S161" s="1" t="str"/>
      <x:c r="T161" s="1" t="str"/>
      <x:c r="U161" s="1" t="str"/>
      <x:c r="V161" s="1" t="str"/>
      <x:c r="W161" s="1" t="str"/>
      <x:c r="X161" s="1" t="str">
        <x:v>false</x:v>
      </x:c>
      <x:c r="Y161" s="1" t="str">
        <x:v>false</x:v>
      </x:c>
      <x:c r="Z161" s="1" t="str">
        <x:v>[]</x:v>
      </x:c>
    </x:row>
    <x:row r="162" ht="15" hidden="0" customHeight="1">
      <x:c r="A162" s="1" t="str">
        <x:v>fgrbwjv</x:v>
      </x:c>
      <x:c r="B162" s="5" t="str">
        <x:v>Stanhope</x:v>
      </x:c>
      <x:c r="C162" s="1" t="str">
        <x:v>5934066</x:v>
      </x:c>
      <x:c r="D162" s="1" t="str">
        <x:v>43jm3gl</x:v>
      </x:c>
      <x:c r="E162" s="1" t="str">
        <x:v>3x3 Grand</x:v>
      </x:c>
      <x:c r="F162" s="1" t="n">
        <x:v>3</x:v>
      </x:c>
      <x:c r="G162" s="1" t="n">
        <x:v>3</x:v>
      </x:c>
      <x:c r="H162" s="1" t="n">
        <x:v>1340</x:v>
      </x:c>
      <x:c r="I162" s="1" t="n">
        <x:v>1340</x:v>
      </x:c>
      <x:c r="J162" s="1" t="str">
        <x:v>$1,340</x:v>
      </x:c>
      <x:c r="K162" s="1" t="str">
        <x:v>$1,345</x:v>
      </x:c>
      <x:c r="L162" s="1" t="str">
        <x:v>false</x:v>
      </x:c>
      <x:c r="M162" s="1" t="str">
        <x:v>1,490 sq. ft.</x:v>
      </x:c>
      <x:c r="N162" s="1" t="n">
        <x:v>1</x:v>
      </x:c>
      <x:c r="O162" s="1" t="str">
        <x:v>AvailableNow</x:v>
      </x:c>
      <x:c r="P162" s="1" t="str">
        <x:v>Rentals Available</x:v>
      </x:c>
      <x:c r="Q162" s="1" t="n">
        <x:v>46247.99998842592</x:v>
      </x:c>
      <x:c r="R162" s="1" t="str"/>
      <x:c r="S162" s="1" t="str"/>
      <x:c r="T162" s="1" t="str"/>
      <x:c r="U162" s="1" t="str"/>
      <x:c r="V162" s="1" t="str"/>
      <x:c r="W162" s="1" t="str"/>
      <x:c r="X162" s="1" t="str">
        <x:v>false</x:v>
      </x:c>
      <x:c r="Y162" s="1" t="str">
        <x:v>false</x:v>
      </x:c>
      <x:c r="Z162" s="1" t="str">
        <x:v>[]</x:v>
      </x:c>
    </x:row>
    <x:row r="163" ht="15" hidden="0" customHeight="1">
      <x:c r="A163" s="1" t="str">
        <x:v>fgrbwjv</x:v>
      </x:c>
      <x:c r="B163" s="5" t="str">
        <x:v>Stanhope</x:v>
      </x:c>
      <x:c r="C163" s="1" t="str">
        <x:v>1753263</x:v>
      </x:c>
      <x:c r="D163" s="1" t="str">
        <x:v>drkpv5k</x:v>
      </x:c>
      <x:c r="E163" s="1" t="str">
        <x:v>4x4 Corner</x:v>
      </x:c>
      <x:c r="F163" s="1" t="n">
        <x:v>4</x:v>
      </x:c>
      <x:c r="G163" s="1" t="n">
        <x:v>4</x:v>
      </x:c>
      <x:c r="H163" s="1" t="n">
        <x:v>1199</x:v>
      </x:c>
      <x:c r="I163" s="1" t="n">
        <x:v>1199</x:v>
      </x:c>
      <x:c r="J163" s="1" t="str">
        <x:v>$1,199</x:v>
      </x:c>
      <x:c r="K163" s="1" t="str">
        <x:v>$1,204</x:v>
      </x:c>
      <x:c r="L163" s="1" t="str">
        <x:v>true</x:v>
      </x:c>
      <x:c r="M163" s="1" t="str">
        <x:v>1,544 sq. ft.</x:v>
      </x:c>
      <x:c r="N163" s="1" t="n">
        <x:v>1</x:v>
      </x:c>
      <x:c r="O163" s="1" t="str">
        <x:v>AvailableNow</x:v>
      </x:c>
      <x:c r="P163" s="1" t="str">
        <x:v>Rentals Available</x:v>
      </x:c>
      <x:c r="Q163" s="1" t="n">
        <x:v>46247.99998842592</x:v>
      </x:c>
      <x:c r="R163" s="1" t="str"/>
      <x:c r="S163" s="1" t="str"/>
      <x:c r="T163" s="1" t="str"/>
      <x:c r="U163" s="1" t="str"/>
      <x:c r="V163" s="1" t="str">
        <x:v>4</x:v>
      </x:c>
      <x:c r="W163" s="1" t="str"/>
      <x:c r="X163" s="1" t="str">
        <x:v>false</x:v>
      </x:c>
      <x:c r="Y163" s="1" t="str">
        <x:v>false</x:v>
      </x:c>
      <x:c r="Z163" s="1" t="str">
        <x:v>[]</x:v>
      </x:c>
    </x:row>
    <x:row r="164" ht="15" hidden="0" customHeight="1">
      <x:c r="A164" s="1" t="str">
        <x:v>fgrbwjv</x:v>
      </x:c>
      <x:c r="B164" s="5" t="str">
        <x:v>Stanhope</x:v>
      </x:c>
      <x:c r="C164" s="1" t="str">
        <x:v>5934061</x:v>
      </x:c>
      <x:c r="D164" s="1" t="str">
        <x:v>ng0zg5p</x:v>
      </x:c>
      <x:c r="E164" s="1" t="str">
        <x:v>4x4</x:v>
      </x:c>
      <x:c r="F164" s="1" t="n">
        <x:v>4</x:v>
      </x:c>
      <x:c r="G164" s="1" t="n">
        <x:v>4</x:v>
      </x:c>
      <x:c r="H164" s="1" t="n">
        <x:v>1199</x:v>
      </x:c>
      <x:c r="I164" s="1" t="n">
        <x:v>1199</x:v>
      </x:c>
      <x:c r="J164" s="1" t="str">
        <x:v>$1,199</x:v>
      </x:c>
      <x:c r="K164" s="1" t="str">
        <x:v>$1,204</x:v>
      </x:c>
      <x:c r="L164" s="1" t="str">
        <x:v>false</x:v>
      </x:c>
      <x:c r="M164" s="1" t="str">
        <x:v>1,589 sq. ft.</x:v>
      </x:c>
      <x:c r="N164" s="1" t="n">
        <x:v>1</x:v>
      </x:c>
      <x:c r="O164" s="1" t="str">
        <x:v>AvailableNow</x:v>
      </x:c>
      <x:c r="P164" s="1" t="str">
        <x:v>Rentals Available</x:v>
      </x:c>
      <x:c r="Q164" s="1" t="n">
        <x:v>46247.99998842592</x:v>
      </x:c>
      <x:c r="R164" s="1" t="str"/>
      <x:c r="S164" s="1" t="str"/>
      <x:c r="T164" s="1" t="str"/>
      <x:c r="U164" s="1" t="str"/>
      <x:c r="V164" s="1" t="str"/>
      <x:c r="W164" s="1" t="str"/>
      <x:c r="X164" s="1" t="str">
        <x:v>false</x:v>
      </x:c>
      <x:c r="Y164" s="1" t="str">
        <x:v>false</x:v>
      </x:c>
      <x:c r="Z164" s="1" t="str">
        <x:v>[]</x:v>
      </x:c>
    </x:row>
    <x:row r="165" ht="24" hidden="0" customHeight="1">
      <x:c r="A165" s="1" t="str">
        <x:v>ocpvlydr3e</x:v>
      </x:c>
      <x:c r="B165" s="5" t="str">
        <x:v>Reavis ---Brand New Luxury Housing within walking distance to NCSU</x:v>
      </x:c>
      <x:c r="C165" s="1" t="str">
        <x:v>1</x:v>
      </x:c>
      <x:c r="D165" s="1" t="str">
        <x:v>q2j0gkx</x:v>
      </x:c>
      <x:c r="E165" s="1" t="str"/>
      <x:c r="F165" s="1" t="n">
        <x:v>4</x:v>
      </x:c>
      <x:c r="G165" s="1" t="n">
        <x:v>4.5</x:v>
      </x:c>
      <x:c r="H165" s="1" t="n">
        <x:v>925</x:v>
      </x:c>
      <x:c r="I165" s="1" t="n">
        <x:v>975</x:v>
      </x:c>
      <x:c r="J165" s="1" t="str">
        <x:v>$925 - $975</x:v>
      </x:c>
      <x:c r="K165" s="1" t="str">
        <x:v>$925 - $975</x:v>
      </x:c>
      <x:c r="L165" s="1" t="str">
        <x:v>true</x:v>
      </x:c>
      <x:c r="M165" s="1" t="str">
        <x:v>2,160 sq. ft.</x:v>
      </x:c>
      <x:c r="N165" s="1" t="n">
        <x:v>1</x:v>
      </x:c>
      <x:c r="O165" s="1" t="str">
        <x:v>AvailableNow</x:v>
      </x:c>
      <x:c r="P165" s="1" t="str">
        <x:v>Rentals Available</x:v>
      </x:c>
      <x:c r="Q165" s="1" t="n">
        <x:v>25569.999988425927</x:v>
      </x:c>
      <x:c r="R165" s="1" t="str"/>
      <x:c r="S165" s="1" t="str"/>
      <x:c r="T165" s="1" t="str">
        <x:v>N/A</x:v>
      </x:c>
      <x:c r="U165" s="1" t="str">
        <x:v>N/A</x:v>
      </x:c>
      <x:c r="V165" s="1" t="str">
        <x:v>4</x:v>
      </x:c>
      <x:c r="W165" s="1" t="str"/>
      <x:c r="X165" s="1" t="str">
        <x:v>false</x:v>
      </x:c>
      <x:c r="Y165" s="1" t="str">
        <x:v>false</x:v>
      </x:c>
      <x:c r="Z165" s="1" t="str">
        <x:v>[]</x:v>
      </x:c>
    </x:row>
    <x:row r="166" ht="15" hidden="0" customHeight="1">
      <x:c r="A166" s="1" t="str">
        <x:v>86fjg60</x:v>
      </x:c>
      <x:c r="B166" s="5" t="str">
        <x:v>HeyDay Raleigh</x:v>
      </x:c>
      <x:c r="C166" s="1" t="str">
        <x:v>6041988</x:v>
      </x:c>
      <x:c r="D166" s="1" t="str">
        <x:v>ge8f64w</x:v>
      </x:c>
      <x:c r="E166" s="1" t="str">
        <x:v>Studio - S1</x:v>
      </x:c>
      <x:c r="F166" s="1" t="n">
        <x:v>0</x:v>
      </x:c>
      <x:c r="G166" s="1" t="n">
        <x:v>1</x:v>
      </x:c>
      <x:c r="H166" s="1" t="n">
        <x:v>1819</x:v>
      </x:c>
      <x:c r="I166" s="1" t="n">
        <x:v>1819</x:v>
      </x:c>
      <x:c r="J166" s="1" t="str">
        <x:v>$1,819</x:v>
      </x:c>
      <x:c r="K166" s="1" t="str">
        <x:v>$1,819</x:v>
      </x:c>
      <x:c r="L166" s="1" t="str">
        <x:v>false</x:v>
      </x:c>
      <x:c r="M166" s="1" t="str">
        <x:v>375 sq. ft.</x:v>
      </x:c>
      <x:c r="N166" s="1" t="n">
        <x:v>1</x:v>
      </x:c>
      <x:c r="O166" s="1" t="str">
        <x:v>FutureDate</x:v>
      </x:c>
      <x:c r="P166" s="1" t="str">
        <x:v>Available Soon</x:v>
      </x:c>
      <x:c r="Q166" s="1" t="n">
        <x:v>46613.99998842592</x:v>
      </x:c>
      <x:c r="R166" s="1" t="str"/>
      <x:c r="S166" s="1" t="str"/>
      <x:c r="T166" s="1" t="str"/>
      <x:c r="U166" s="1" t="str"/>
      <x:c r="V166" s="1" t="str"/>
      <x:c r="W166" s="1" t="str"/>
      <x:c r="X166" s="1" t="str">
        <x:v>false</x:v>
      </x:c>
      <x:c r="Y166" s="1" t="str">
        <x:v>false</x:v>
      </x:c>
      <x:c r="Z166" s="1" t="str">
        <x:v>[]</x:v>
      </x:c>
    </x:row>
    <x:row r="167" ht="15" hidden="0" customHeight="1">
      <x:c r="A167" s="1" t="str">
        <x:v>86fjg60</x:v>
      </x:c>
      <x:c r="B167" s="5" t="str">
        <x:v>HeyDay Raleigh</x:v>
      </x:c>
      <x:c r="C167" s="1" t="str">
        <x:v>6041990</x:v>
      </x:c>
      <x:c r="D167" s="1" t="str">
        <x:v>sjtrkb7</x:v>
      </x:c>
      <x:c r="E167" s="1" t="str">
        <x:v>Studio - S4</x:v>
      </x:c>
      <x:c r="F167" s="1" t="n">
        <x:v>0</x:v>
      </x:c>
      <x:c r="G167" s="1" t="n">
        <x:v>1</x:v>
      </x:c>
      <x:c r="H167" s="1" t="n">
        <x:v>1899</x:v>
      </x:c>
      <x:c r="I167" s="1" t="n">
        <x:v>1899</x:v>
      </x:c>
      <x:c r="J167" s="1" t="str">
        <x:v>$1,899</x:v>
      </x:c>
      <x:c r="K167" s="1" t="str">
        <x:v>$1,899</x:v>
      </x:c>
      <x:c r="L167" s="1" t="str">
        <x:v>false</x:v>
      </x:c>
      <x:c r="M167" s="1" t="str">
        <x:v>414 sq. ft.</x:v>
      </x:c>
      <x:c r="N167" s="1" t="n">
        <x:v>1</x:v>
      </x:c>
      <x:c r="O167" s="1" t="str">
        <x:v>FutureDate</x:v>
      </x:c>
      <x:c r="P167" s="1" t="str">
        <x:v>Available Soon</x:v>
      </x:c>
      <x:c r="Q167" s="1" t="n">
        <x:v>46613.99998842592</x:v>
      </x:c>
      <x:c r="R167" s="1" t="str"/>
      <x:c r="S167" s="1" t="str"/>
      <x:c r="T167" s="1" t="str"/>
      <x:c r="U167" s="1" t="str"/>
      <x:c r="V167" s="1" t="str"/>
      <x:c r="W167" s="1" t="str"/>
      <x:c r="X167" s="1" t="str">
        <x:v>false</x:v>
      </x:c>
      <x:c r="Y167" s="1" t="str">
        <x:v>false</x:v>
      </x:c>
      <x:c r="Z167" s="1" t="str">
        <x:v>[]</x:v>
      </x:c>
    </x:row>
    <x:row r="168" ht="15" hidden="0" customHeight="1">
      <x:c r="A168" s="1" t="str">
        <x:v>86fjg60</x:v>
      </x:c>
      <x:c r="B168" s="5" t="str">
        <x:v>HeyDay Raleigh</x:v>
      </x:c>
      <x:c r="C168" s="1" t="str">
        <x:v>6041989</x:v>
      </x:c>
      <x:c r="D168" s="1" t="str">
        <x:v>rx93yd2</x:v>
      </x:c>
      <x:c r="E168" s="1" t="str">
        <x:v>Studio - S2</x:v>
      </x:c>
      <x:c r="F168" s="1" t="n">
        <x:v>0</x:v>
      </x:c>
      <x:c r="G168" s="1" t="n">
        <x:v>1</x:v>
      </x:c>
      <x:c r="H168" s="1" t="n">
        <x:v>1999</x:v>
      </x:c>
      <x:c r="I168" s="1" t="n">
        <x:v>1999</x:v>
      </x:c>
      <x:c r="J168" s="1" t="str">
        <x:v>$1,999</x:v>
      </x:c>
      <x:c r="K168" s="1" t="str">
        <x:v>$1,999</x:v>
      </x:c>
      <x:c r="L168" s="1" t="str">
        <x:v>false</x:v>
      </x:c>
      <x:c r="M168" s="1" t="str">
        <x:v>375 sq. ft.</x:v>
      </x:c>
      <x:c r="N168" s="1" t="n">
        <x:v>1</x:v>
      </x:c>
      <x:c r="O168" s="1" t="str">
        <x:v>FutureDate</x:v>
      </x:c>
      <x:c r="P168" s="1" t="str">
        <x:v>Available Soon</x:v>
      </x:c>
      <x:c r="Q168" s="1" t="n">
        <x:v>46613.99998842592</x:v>
      </x:c>
      <x:c r="R168" s="1" t="str"/>
      <x:c r="S168" s="1" t="str"/>
      <x:c r="T168" s="1" t="str"/>
      <x:c r="U168" s="1" t="str"/>
      <x:c r="V168" s="1" t="str"/>
      <x:c r="W168" s="1" t="str"/>
      <x:c r="X168" s="1" t="str">
        <x:v>false</x:v>
      </x:c>
      <x:c r="Y168" s="1" t="str">
        <x:v>false</x:v>
      </x:c>
      <x:c r="Z168" s="1" t="str">
        <x:v>[]</x:v>
      </x:c>
    </x:row>
    <x:row r="169" ht="15" hidden="0" customHeight="1">
      <x:c r="A169" s="1" t="str">
        <x:v>86fjg60</x:v>
      </x:c>
      <x:c r="B169" s="5" t="str">
        <x:v>HeyDay Raleigh</x:v>
      </x:c>
      <x:c r="C169" s="1" t="str">
        <x:v>6041991</x:v>
      </x:c>
      <x:c r="D169" s="1" t="str">
        <x:v>x72wmsn</x:v>
      </x:c>
      <x:c r="E169" s="1" t="str">
        <x:v>Studio - S3</x:v>
      </x:c>
      <x:c r="F169" s="1" t="n">
        <x:v>0</x:v>
      </x:c>
      <x:c r="G169" s="1" t="n">
        <x:v>1</x:v>
      </x:c>
      <x:c r="H169" s="1" t="n">
        <x:v>2009</x:v>
      </x:c>
      <x:c r="I169" s="1" t="n">
        <x:v>2009</x:v>
      </x:c>
      <x:c r="J169" s="1" t="str">
        <x:v>$2,009</x:v>
      </x:c>
      <x:c r="K169" s="1" t="str">
        <x:v>$2,009</x:v>
      </x:c>
      <x:c r="L169" s="1" t="str">
        <x:v>false</x:v>
      </x:c>
      <x:c r="M169" s="1" t="str">
        <x:v>397 sq. ft.</x:v>
      </x:c>
      <x:c r="N169" s="1" t="n">
        <x:v>1</x:v>
      </x:c>
      <x:c r="O169" s="1" t="str">
        <x:v>FutureDate</x:v>
      </x:c>
      <x:c r="P169" s="1" t="str">
        <x:v>Available Soon</x:v>
      </x:c>
      <x:c r="Q169" s="1" t="n">
        <x:v>46613.99998842592</x:v>
      </x:c>
      <x:c r="R169" s="1" t="str"/>
      <x:c r="S169" s="1" t="str"/>
      <x:c r="T169" s="1" t="str"/>
      <x:c r="U169" s="1" t="str"/>
      <x:c r="V169" s="1" t="str"/>
      <x:c r="W169" s="1" t="str"/>
      <x:c r="X169" s="1" t="str">
        <x:v>false</x:v>
      </x:c>
      <x:c r="Y169" s="1" t="str">
        <x:v>false</x:v>
      </x:c>
      <x:c r="Z169" s="1" t="str">
        <x:v>[]</x:v>
      </x:c>
    </x:row>
    <x:row r="170" ht="15" hidden="0" customHeight="1">
      <x:c r="A170" s="1" t="str">
        <x:v>86fjg60</x:v>
      </x:c>
      <x:c r="B170" s="5" t="str">
        <x:v>HeyDay Raleigh</x:v>
      </x:c>
      <x:c r="C170" s="1" t="str">
        <x:v>6041992</x:v>
      </x:c>
      <x:c r="D170" s="1" t="str">
        <x:v>lvlk0xf</x:v>
      </x:c>
      <x:c r="E170" s="1" t="str">
        <x:v>1BR/1BA - A1</x:v>
      </x:c>
      <x:c r="F170" s="1" t="n">
        <x:v>1</x:v>
      </x:c>
      <x:c r="G170" s="1" t="n">
        <x:v>1</x:v>
      </x:c>
      <x:c r="H170" s="1" t="n">
        <x:v>2179</x:v>
      </x:c>
      <x:c r="I170" s="1" t="n">
        <x:v>2179</x:v>
      </x:c>
      <x:c r="J170" s="1" t="str">
        <x:v>$2,179</x:v>
      </x:c>
      <x:c r="K170" s="1" t="str">
        <x:v>$2,179</x:v>
      </x:c>
      <x:c r="L170" s="1" t="str">
        <x:v>false</x:v>
      </x:c>
      <x:c r="M170" s="1" t="str">
        <x:v>519 sq. ft.</x:v>
      </x:c>
      <x:c r="N170" s="1" t="n">
        <x:v>1</x:v>
      </x:c>
      <x:c r="O170" s="1" t="str">
        <x:v>FutureDate</x:v>
      </x:c>
      <x:c r="P170" s="1" t="str">
        <x:v>Available Soon</x:v>
      </x:c>
      <x:c r="Q170" s="1" t="n">
        <x:v>46613.99998842592</x:v>
      </x:c>
      <x:c r="R170" s="1" t="str"/>
      <x:c r="S170" s="1" t="str"/>
      <x:c r="T170" s="1" t="str"/>
      <x:c r="U170" s="1" t="str"/>
      <x:c r="V170" s="1" t="str"/>
      <x:c r="W170" s="1" t="str"/>
      <x:c r="X170" s="1" t="str">
        <x:v>false</x:v>
      </x:c>
      <x:c r="Y170" s="1" t="str">
        <x:v>false</x:v>
      </x:c>
      <x:c r="Z170" s="1" t="str">
        <x:v>[]</x:v>
      </x:c>
    </x:row>
    <x:row r="171" ht="15" hidden="0" customHeight="1">
      <x:c r="A171" s="1" t="str">
        <x:v>86fjg60</x:v>
      </x:c>
      <x:c r="B171" s="5" t="str">
        <x:v>HeyDay Raleigh</x:v>
      </x:c>
      <x:c r="C171" s="1" t="str">
        <x:v>6041993</x:v>
      </x:c>
      <x:c r="D171" s="1" t="str">
        <x:v>f5cnf2t</x:v>
      </x:c>
      <x:c r="E171" s="1" t="str">
        <x:v>1BR/1BA - A2</x:v>
      </x:c>
      <x:c r="F171" s="1" t="n">
        <x:v>1</x:v>
      </x:c>
      <x:c r="G171" s="1" t="n">
        <x:v>1</x:v>
      </x:c>
      <x:c r="H171" s="1" t="n">
        <x:v>2199</x:v>
      </x:c>
      <x:c r="I171" s="1" t="n">
        <x:v>2199</x:v>
      </x:c>
      <x:c r="J171" s="1" t="str">
        <x:v>$2,199</x:v>
      </x:c>
      <x:c r="K171" s="1" t="str">
        <x:v>$2,199</x:v>
      </x:c>
      <x:c r="L171" s="1" t="str">
        <x:v>false</x:v>
      </x:c>
      <x:c r="M171" s="1" t="str">
        <x:v>528 sq. ft.</x:v>
      </x:c>
      <x:c r="N171" s="1" t="n">
        <x:v>1</x:v>
      </x:c>
      <x:c r="O171" s="1" t="str">
        <x:v>FutureDate</x:v>
      </x:c>
      <x:c r="P171" s="1" t="str">
        <x:v>Available Soon</x:v>
      </x:c>
      <x:c r="Q171" s="1" t="n">
        <x:v>46613.99998842592</x:v>
      </x:c>
      <x:c r="R171" s="1" t="str"/>
      <x:c r="S171" s="1" t="str"/>
      <x:c r="T171" s="1" t="str"/>
      <x:c r="U171" s="1" t="str"/>
      <x:c r="V171" s="1" t="str"/>
      <x:c r="W171" s="1" t="str"/>
      <x:c r="X171" s="1" t="str">
        <x:v>false</x:v>
      </x:c>
      <x:c r="Y171" s="1" t="str">
        <x:v>false</x:v>
      </x:c>
      <x:c r="Z171" s="1" t="str">
        <x:v>[]</x:v>
      </x:c>
    </x:row>
    <x:row r="172" ht="15" hidden="0" customHeight="1">
      <x:c r="A172" s="1" t="str">
        <x:v>86fjg60</x:v>
      </x:c>
      <x:c r="B172" s="5" t="str">
        <x:v>HeyDay Raleigh</x:v>
      </x:c>
      <x:c r="C172" s="1" t="str">
        <x:v>6041994</x:v>
      </x:c>
      <x:c r="D172" s="1" t="str">
        <x:v>ddgqzvk</x:v>
      </x:c>
      <x:c r="E172" s="1" t="str">
        <x:v>1BR/1BA - A3</x:v>
      </x:c>
      <x:c r="F172" s="1" t="n">
        <x:v>1</x:v>
      </x:c>
      <x:c r="G172" s="1" t="n">
        <x:v>1</x:v>
      </x:c>
      <x:c r="H172" s="1" t="n">
        <x:v>2219</x:v>
      </x:c>
      <x:c r="I172" s="1" t="n">
        <x:v>2219</x:v>
      </x:c>
      <x:c r="J172" s="1" t="str">
        <x:v>$2,219</x:v>
      </x:c>
      <x:c r="K172" s="1" t="str">
        <x:v>$2,219</x:v>
      </x:c>
      <x:c r="L172" s="1" t="str">
        <x:v>false</x:v>
      </x:c>
      <x:c r="M172" s="1" t="str">
        <x:v>562 sq. ft.</x:v>
      </x:c>
      <x:c r="N172" s="1" t="n">
        <x:v>1</x:v>
      </x:c>
      <x:c r="O172" s="1" t="str">
        <x:v>FutureDate</x:v>
      </x:c>
      <x:c r="P172" s="1" t="str">
        <x:v>Available Soon</x:v>
      </x:c>
      <x:c r="Q172" s="1" t="n">
        <x:v>46613.99998842592</x:v>
      </x:c>
      <x:c r="R172" s="1" t="str"/>
      <x:c r="S172" s="1" t="str"/>
      <x:c r="T172" s="1" t="str"/>
      <x:c r="U172" s="1" t="str"/>
      <x:c r="V172" s="1" t="str"/>
      <x:c r="W172" s="1" t="str"/>
      <x:c r="X172" s="1" t="str">
        <x:v>false</x:v>
      </x:c>
      <x:c r="Y172" s="1" t="str">
        <x:v>false</x:v>
      </x:c>
      <x:c r="Z172" s="1" t="str">
        <x:v>[]</x:v>
      </x:c>
    </x:row>
    <x:row r="173" ht="15" hidden="0" customHeight="1">
      <x:c r="A173" s="1" t="str">
        <x:v>86fjg60</x:v>
      </x:c>
      <x:c r="B173" s="5" t="str">
        <x:v>HeyDay Raleigh</x:v>
      </x:c>
      <x:c r="C173" s="1" t="str">
        <x:v>6041995</x:v>
      </x:c>
      <x:c r="D173" s="1" t="str">
        <x:v>tp51e5c</x:v>
      </x:c>
      <x:c r="E173" s="1" t="str">
        <x:v>1BR/1BA - A4</x:v>
      </x:c>
      <x:c r="F173" s="1" t="n">
        <x:v>1</x:v>
      </x:c>
      <x:c r="G173" s="1" t="n">
        <x:v>1</x:v>
      </x:c>
      <x:c r="H173" s="1" t="n">
        <x:v>2269</x:v>
      </x:c>
      <x:c r="I173" s="1" t="n">
        <x:v>2269</x:v>
      </x:c>
      <x:c r="J173" s="1" t="str">
        <x:v>$2,269</x:v>
      </x:c>
      <x:c r="K173" s="1" t="str">
        <x:v>$2,269</x:v>
      </x:c>
      <x:c r="L173" s="1" t="str">
        <x:v>false</x:v>
      </x:c>
      <x:c r="M173" s="1" t="str">
        <x:v>610 sq. ft.</x:v>
      </x:c>
      <x:c r="N173" s="1" t="n">
        <x:v>1</x:v>
      </x:c>
      <x:c r="O173" s="1" t="str">
        <x:v>FutureDate</x:v>
      </x:c>
      <x:c r="P173" s="1" t="str">
        <x:v>Available Soon</x:v>
      </x:c>
      <x:c r="Q173" s="1" t="n">
        <x:v>46613.99998842592</x:v>
      </x:c>
      <x:c r="R173" s="1" t="str"/>
      <x:c r="S173" s="1" t="str"/>
      <x:c r="T173" s="1" t="str"/>
      <x:c r="U173" s="1" t="str"/>
      <x:c r="V173" s="1" t="str"/>
      <x:c r="W173" s="1" t="str"/>
      <x:c r="X173" s="1" t="str">
        <x:v>false</x:v>
      </x:c>
      <x:c r="Y173" s="1" t="str">
        <x:v>false</x:v>
      </x:c>
      <x:c r="Z173" s="1" t="str">
        <x:v>[]</x:v>
      </x:c>
    </x:row>
    <x:row r="174" ht="15" hidden="0" customHeight="1">
      <x:c r="A174" s="1" t="str">
        <x:v>86fjg60</x:v>
      </x:c>
      <x:c r="B174" s="5" t="str">
        <x:v>HeyDay Raleigh</x:v>
      </x:c>
      <x:c r="C174" s="1" t="str">
        <x:v>6041996</x:v>
      </x:c>
      <x:c r="D174" s="1" t="str">
        <x:v>w9s7tgj</x:v>
      </x:c>
      <x:c r="E174" s="1" t="str">
        <x:v>2BR/2BA - B1</x:v>
      </x:c>
      <x:c r="F174" s="1" t="n">
        <x:v>2</x:v>
      </x:c>
      <x:c r="G174" s="1" t="n">
        <x:v>2</x:v>
      </x:c>
      <x:c r="H174" s="1" t="n">
        <x:v>1579</x:v>
      </x:c>
      <x:c r="I174" s="1" t="n">
        <x:v>1579</x:v>
      </x:c>
      <x:c r="J174" s="1" t="str">
        <x:v>$1,579</x:v>
      </x:c>
      <x:c r="K174" s="1" t="str">
        <x:v>$1,579</x:v>
      </x:c>
      <x:c r="L174" s="1" t="str">
        <x:v>false</x:v>
      </x:c>
      <x:c r="M174" s="1" t="str">
        <x:v>723 sq. ft.</x:v>
      </x:c>
      <x:c r="N174" s="1" t="n">
        <x:v>1</x:v>
      </x:c>
      <x:c r="O174" s="1" t="str">
        <x:v>FutureDate</x:v>
      </x:c>
      <x:c r="P174" s="1" t="str">
        <x:v>Available Soon</x:v>
      </x:c>
      <x:c r="Q174" s="1" t="n">
        <x:v>46613.99998842592</x:v>
      </x:c>
      <x:c r="R174" s="1" t="str"/>
      <x:c r="S174" s="1" t="str"/>
      <x:c r="T174" s="1" t="str"/>
      <x:c r="U174" s="1" t="str"/>
      <x:c r="V174" s="1" t="str"/>
      <x:c r="W174" s="1" t="str"/>
      <x:c r="X174" s="1" t="str">
        <x:v>false</x:v>
      </x:c>
      <x:c r="Y174" s="1" t="str">
        <x:v>false</x:v>
      </x:c>
      <x:c r="Z174" s="1" t="str">
        <x:v>[]</x:v>
      </x:c>
    </x:row>
    <x:row r="175" ht="15" hidden="0" customHeight="1">
      <x:c r="A175" s="1" t="str">
        <x:v>86fjg60</x:v>
      </x:c>
      <x:c r="B175" s="5" t="str">
        <x:v>HeyDay Raleigh</x:v>
      </x:c>
      <x:c r="C175" s="1" t="str">
        <x:v>6041997</x:v>
      </x:c>
      <x:c r="D175" s="1" t="str">
        <x:v>y655e6v</x:v>
      </x:c>
      <x:c r="E175" s="1" t="str">
        <x:v>2BR/2BA - B2</x:v>
      </x:c>
      <x:c r="F175" s="1" t="n">
        <x:v>2</x:v>
      </x:c>
      <x:c r="G175" s="1" t="n">
        <x:v>2</x:v>
      </x:c>
      <x:c r="H175" s="1" t="n">
        <x:v>1599</x:v>
      </x:c>
      <x:c r="I175" s="1" t="n">
        <x:v>1599</x:v>
      </x:c>
      <x:c r="J175" s="1" t="str">
        <x:v>$1,599</x:v>
      </x:c>
      <x:c r="K175" s="1" t="str">
        <x:v>$1,599</x:v>
      </x:c>
      <x:c r="L175" s="1" t="str">
        <x:v>false</x:v>
      </x:c>
      <x:c r="M175" s="1" t="str">
        <x:v>795 sq. ft.</x:v>
      </x:c>
      <x:c r="N175" s="1" t="n">
        <x:v>1</x:v>
      </x:c>
      <x:c r="O175" s="1" t="str">
        <x:v>FutureDate</x:v>
      </x:c>
      <x:c r="P175" s="1" t="str">
        <x:v>Available Soon</x:v>
      </x:c>
      <x:c r="Q175" s="1" t="n">
        <x:v>46613.99998842592</x:v>
      </x:c>
      <x:c r="R175" s="1" t="str"/>
      <x:c r="S175" s="1" t="str"/>
      <x:c r="T175" s="1" t="str"/>
      <x:c r="U175" s="1" t="str"/>
      <x:c r="V175" s="1" t="str"/>
      <x:c r="W175" s="1" t="str"/>
      <x:c r="X175" s="1" t="str">
        <x:v>false</x:v>
      </x:c>
      <x:c r="Y175" s="1" t="str">
        <x:v>false</x:v>
      </x:c>
      <x:c r="Z175" s="1" t="str">
        <x:v>[]</x:v>
      </x:c>
    </x:row>
    <x:row r="176" ht="15" hidden="0" customHeight="1">
      <x:c r="A176" s="1" t="str">
        <x:v>86fjg60</x:v>
      </x:c>
      <x:c r="B176" s="5" t="str">
        <x:v>HeyDay Raleigh</x:v>
      </x:c>
      <x:c r="C176" s="1" t="str">
        <x:v>6041999</x:v>
      </x:c>
      <x:c r="D176" s="1" t="str">
        <x:v>p4deght</x:v>
      </x:c>
      <x:c r="E176" s="1" t="str">
        <x:v>2BR/2BA - B3</x:v>
      </x:c>
      <x:c r="F176" s="1" t="n">
        <x:v>2</x:v>
      </x:c>
      <x:c r="G176" s="1" t="n">
        <x:v>2</x:v>
      </x:c>
      <x:c r="H176" s="1" t="n">
        <x:v>1609</x:v>
      </x:c>
      <x:c r="I176" s="1" t="n">
        <x:v>1609</x:v>
      </x:c>
      <x:c r="J176" s="1" t="str">
        <x:v>$1,609</x:v>
      </x:c>
      <x:c r="K176" s="1" t="str">
        <x:v>$1,609</x:v>
      </x:c>
      <x:c r="L176" s="1" t="str">
        <x:v>false</x:v>
      </x:c>
      <x:c r="M176" s="1" t="str">
        <x:v>795 sq. ft.</x:v>
      </x:c>
      <x:c r="N176" s="1" t="n">
        <x:v>1</x:v>
      </x:c>
      <x:c r="O176" s="1" t="str">
        <x:v>FutureDate</x:v>
      </x:c>
      <x:c r="P176" s="1" t="str">
        <x:v>Available Soon</x:v>
      </x:c>
      <x:c r="Q176" s="1" t="n">
        <x:v>46613.99998842592</x:v>
      </x:c>
      <x:c r="R176" s="1" t="str"/>
      <x:c r="S176" s="1" t="str"/>
      <x:c r="T176" s="1" t="str"/>
      <x:c r="U176" s="1" t="str"/>
      <x:c r="V176" s="1" t="str"/>
      <x:c r="W176" s="1" t="str"/>
      <x:c r="X176" s="1" t="str">
        <x:v>false</x:v>
      </x:c>
      <x:c r="Y176" s="1" t="str">
        <x:v>false</x:v>
      </x:c>
      <x:c r="Z176" s="1" t="str">
        <x:v>[]</x:v>
      </x:c>
    </x:row>
    <x:row r="177" ht="15" hidden="0" customHeight="1">
      <x:c r="A177" s="1" t="str">
        <x:v>86fjg60</x:v>
      </x:c>
      <x:c r="B177" s="5" t="str">
        <x:v>HeyDay Raleigh</x:v>
      </x:c>
      <x:c r="C177" s="1" t="str">
        <x:v>6041998</x:v>
      </x:c>
      <x:c r="D177" s="1" t="str">
        <x:v>mchgrsh</x:v>
      </x:c>
      <x:c r="E177" s="1" t="str">
        <x:v>2BR/2BA - B4</x:v>
      </x:c>
      <x:c r="F177" s="1" t="n">
        <x:v>2</x:v>
      </x:c>
      <x:c r="G177" s="1" t="n">
        <x:v>2</x:v>
      </x:c>
      <x:c r="H177" s="1" t="n">
        <x:v>1619</x:v>
      </x:c>
      <x:c r="I177" s="1" t="n">
        <x:v>1619</x:v>
      </x:c>
      <x:c r="J177" s="1" t="str">
        <x:v>$1,619</x:v>
      </x:c>
      <x:c r="K177" s="1" t="str">
        <x:v>$1,619</x:v>
      </x:c>
      <x:c r="L177" s="1" t="str">
        <x:v>false</x:v>
      </x:c>
      <x:c r="M177" s="1" t="str">
        <x:v>806 sq. ft.</x:v>
      </x:c>
      <x:c r="N177" s="1" t="n">
        <x:v>1</x:v>
      </x:c>
      <x:c r="O177" s="1" t="str">
        <x:v>FutureDate</x:v>
      </x:c>
      <x:c r="P177" s="1" t="str">
        <x:v>Available Soon</x:v>
      </x:c>
      <x:c r="Q177" s="1" t="n">
        <x:v>46613.99998842592</x:v>
      </x:c>
      <x:c r="R177" s="1" t="str"/>
      <x:c r="S177" s="1" t="str"/>
      <x:c r="T177" s="1" t="str"/>
      <x:c r="U177" s="1" t="str"/>
      <x:c r="V177" s="1" t="str"/>
      <x:c r="W177" s="1" t="str"/>
      <x:c r="X177" s="1" t="str">
        <x:v>false</x:v>
      </x:c>
      <x:c r="Y177" s="1" t="str">
        <x:v>false</x:v>
      </x:c>
      <x:c r="Z177" s="1" t="str">
        <x:v>[]</x:v>
      </x:c>
    </x:row>
    <x:row r="178" ht="15" hidden="0" customHeight="1">
      <x:c r="A178" s="1" t="str">
        <x:v>86fjg60</x:v>
      </x:c>
      <x:c r="B178" s="5" t="str">
        <x:v>HeyDay Raleigh</x:v>
      </x:c>
      <x:c r="C178" s="1" t="str">
        <x:v>6042000</x:v>
      </x:c>
      <x:c r="D178" s="1" t="str">
        <x:v>0wfvzy2</x:v>
      </x:c>
      <x:c r="E178" s="1" t="str">
        <x:v>2BR/2BA - B5</x:v>
      </x:c>
      <x:c r="F178" s="1" t="n">
        <x:v>2</x:v>
      </x:c>
      <x:c r="G178" s="1" t="n">
        <x:v>2</x:v>
      </x:c>
      <x:c r="H178" s="1" t="n">
        <x:v>1629</x:v>
      </x:c>
      <x:c r="I178" s="1" t="n">
        <x:v>1629</x:v>
      </x:c>
      <x:c r="J178" s="1" t="str">
        <x:v>$1,629</x:v>
      </x:c>
      <x:c r="K178" s="1" t="str">
        <x:v>$1,629</x:v>
      </x:c>
      <x:c r="L178" s="1" t="str">
        <x:v>false</x:v>
      </x:c>
      <x:c r="M178" s="1" t="str">
        <x:v>819 sq. ft.</x:v>
      </x:c>
      <x:c r="N178" s="1" t="n">
        <x:v>1</x:v>
      </x:c>
      <x:c r="O178" s="1" t="str">
        <x:v>FutureDate</x:v>
      </x:c>
      <x:c r="P178" s="1" t="str">
        <x:v>Available Soon</x:v>
      </x:c>
      <x:c r="Q178" s="1" t="n">
        <x:v>46613.99998842592</x:v>
      </x:c>
      <x:c r="R178" s="1" t="str"/>
      <x:c r="S178" s="1" t="str"/>
      <x:c r="T178" s="1" t="str"/>
      <x:c r="U178" s="1" t="str"/>
      <x:c r="V178" s="1" t="str"/>
      <x:c r="W178" s="1" t="str"/>
      <x:c r="X178" s="1" t="str">
        <x:v>false</x:v>
      </x:c>
      <x:c r="Y178" s="1" t="str">
        <x:v>false</x:v>
      </x:c>
      <x:c r="Z178" s="1" t="str">
        <x:v>[]</x:v>
      </x:c>
    </x:row>
    <x:row r="179" ht="15" hidden="0" customHeight="1">
      <x:c r="A179" s="1" t="str">
        <x:v>86fjg60</x:v>
      </x:c>
      <x:c r="B179" s="5" t="str">
        <x:v>HeyDay Raleigh</x:v>
      </x:c>
      <x:c r="C179" s="1" t="str">
        <x:v>6042001</x:v>
      </x:c>
      <x:c r="D179" s="1" t="str">
        <x:v>cvhb0qf</x:v>
      </x:c>
      <x:c r="E179" s="1" t="str">
        <x:v>2BR/2BA - B6</x:v>
      </x:c>
      <x:c r="F179" s="1" t="n">
        <x:v>2</x:v>
      </x:c>
      <x:c r="G179" s="1" t="n">
        <x:v>2</x:v>
      </x:c>
      <x:c r="H179" s="1" t="n">
        <x:v>1649</x:v>
      </x:c>
      <x:c r="I179" s="1" t="n">
        <x:v>1649</x:v>
      </x:c>
      <x:c r="J179" s="1" t="str">
        <x:v>$1,649</x:v>
      </x:c>
      <x:c r="K179" s="1" t="str">
        <x:v>$1,649</x:v>
      </x:c>
      <x:c r="L179" s="1" t="str">
        <x:v>false</x:v>
      </x:c>
      <x:c r="M179" s="1" t="str">
        <x:v>826 sq. ft.</x:v>
      </x:c>
      <x:c r="N179" s="1" t="n">
        <x:v>1</x:v>
      </x:c>
      <x:c r="O179" s="1" t="str">
        <x:v>FutureDate</x:v>
      </x:c>
      <x:c r="P179" s="1" t="str">
        <x:v>Available Soon</x:v>
      </x:c>
      <x:c r="Q179" s="1" t="n">
        <x:v>46613.99998842592</x:v>
      </x:c>
      <x:c r="R179" s="1" t="str"/>
      <x:c r="S179" s="1" t="str"/>
      <x:c r="T179" s="1" t="str"/>
      <x:c r="U179" s="1" t="str"/>
      <x:c r="V179" s="1" t="str"/>
      <x:c r="W179" s="1" t="str"/>
      <x:c r="X179" s="1" t="str">
        <x:v>false</x:v>
      </x:c>
      <x:c r="Y179" s="1" t="str">
        <x:v>false</x:v>
      </x:c>
      <x:c r="Z179" s="1" t="str">
        <x:v>[]</x:v>
      </x:c>
    </x:row>
    <x:row r="180" ht="15" hidden="0" customHeight="1">
      <x:c r="A180" s="1" t="str">
        <x:v>86fjg60</x:v>
      </x:c>
      <x:c r="B180" s="5" t="str">
        <x:v>HeyDay Raleigh</x:v>
      </x:c>
      <x:c r="C180" s="1" t="str">
        <x:v>6042002</x:v>
      </x:c>
      <x:c r="D180" s="1" t="str">
        <x:v>bncjf1b</x:v>
      </x:c>
      <x:c r="E180" s="1" t="str">
        <x:v>3BR/3BA - C1</x:v>
      </x:c>
      <x:c r="F180" s="1" t="n">
        <x:v>3</x:v>
      </x:c>
      <x:c r="G180" s="1" t="n">
        <x:v>3</x:v>
      </x:c>
      <x:c r="H180" s="1" t="n">
        <x:v>1499</x:v>
      </x:c>
      <x:c r="I180" s="1" t="n">
        <x:v>1499</x:v>
      </x:c>
      <x:c r="J180" s="1" t="str">
        <x:v>$1,499</x:v>
      </x:c>
      <x:c r="K180" s="1" t="str">
        <x:v>$1,499</x:v>
      </x:c>
      <x:c r="L180" s="1" t="str">
        <x:v>false</x:v>
      </x:c>
      <x:c r="M180" s="1" t="str">
        <x:v>932 sq. ft.</x:v>
      </x:c>
      <x:c r="N180" s="1" t="n">
        <x:v>1</x:v>
      </x:c>
      <x:c r="O180" s="1" t="str">
        <x:v>FutureDate</x:v>
      </x:c>
      <x:c r="P180" s="1" t="str">
        <x:v>Available Soon</x:v>
      </x:c>
      <x:c r="Q180" s="1" t="n">
        <x:v>46613.99998842592</x:v>
      </x:c>
      <x:c r="R180" s="1" t="str"/>
      <x:c r="S180" s="1" t="str"/>
      <x:c r="T180" s="1" t="str"/>
      <x:c r="U180" s="1" t="str"/>
      <x:c r="V180" s="1" t="str"/>
      <x:c r="W180" s="1" t="str"/>
      <x:c r="X180" s="1" t="str">
        <x:v>false</x:v>
      </x:c>
      <x:c r="Y180" s="1" t="str">
        <x:v>false</x:v>
      </x:c>
      <x:c r="Z180" s="1" t="str">
        <x:v>[]</x:v>
      </x:c>
    </x:row>
    <x:row r="181" ht="15" hidden="0" customHeight="1">
      <x:c r="A181" s="1" t="str">
        <x:v>86fjg60</x:v>
      </x:c>
      <x:c r="B181" s="5" t="str">
        <x:v>HeyDay Raleigh</x:v>
      </x:c>
      <x:c r="C181" s="1" t="str">
        <x:v>6042003</x:v>
      </x:c>
      <x:c r="D181" s="1" t="str">
        <x:v>rrx3vm1</x:v>
      </x:c>
      <x:c r="E181" s="1" t="str">
        <x:v>3BR/3BA - C2</x:v>
      </x:c>
      <x:c r="F181" s="1" t="n">
        <x:v>3</x:v>
      </x:c>
      <x:c r="G181" s="1" t="n">
        <x:v>3</x:v>
      </x:c>
      <x:c r="H181" s="1" t="n">
        <x:v>1529</x:v>
      </x:c>
      <x:c r="I181" s="1" t="n">
        <x:v>1529</x:v>
      </x:c>
      <x:c r="J181" s="1" t="str">
        <x:v>$1,529</x:v>
      </x:c>
      <x:c r="K181" s="1" t="str">
        <x:v>$1,529</x:v>
      </x:c>
      <x:c r="L181" s="1" t="str">
        <x:v>false</x:v>
      </x:c>
      <x:c r="M181" s="1" t="str">
        <x:v>1,087 sq. ft.</x:v>
      </x:c>
      <x:c r="N181" s="1" t="n">
        <x:v>1</x:v>
      </x:c>
      <x:c r="O181" s="1" t="str">
        <x:v>FutureDate</x:v>
      </x:c>
      <x:c r="P181" s="1" t="str">
        <x:v>Available Soon</x:v>
      </x:c>
      <x:c r="Q181" s="1" t="n">
        <x:v>46613.99998842592</x:v>
      </x:c>
      <x:c r="R181" s="1" t="str"/>
      <x:c r="S181" s="1" t="str"/>
      <x:c r="T181" s="1" t="str"/>
      <x:c r="U181" s="1" t="str"/>
      <x:c r="V181" s="1" t="str"/>
      <x:c r="W181" s="1" t="str"/>
      <x:c r="X181" s="1" t="str">
        <x:v>false</x:v>
      </x:c>
      <x:c r="Y181" s="1" t="str">
        <x:v>false</x:v>
      </x:c>
      <x:c r="Z181" s="1" t="str">
        <x:v>[]</x:v>
      </x:c>
    </x:row>
    <x:row r="182" ht="15" hidden="0" customHeight="1">
      <x:c r="A182" s="1" t="str">
        <x:v>86fjg60</x:v>
      </x:c>
      <x:c r="B182" s="5" t="str">
        <x:v>HeyDay Raleigh</x:v>
      </x:c>
      <x:c r="C182" s="1" t="str">
        <x:v>6042004</x:v>
      </x:c>
      <x:c r="D182" s="1" t="str">
        <x:v>bq3jdjc</x:v>
      </x:c>
      <x:c r="E182" s="1" t="str">
        <x:v>3BR/3BA - C3</x:v>
      </x:c>
      <x:c r="F182" s="1" t="n">
        <x:v>3</x:v>
      </x:c>
      <x:c r="G182" s="1" t="n">
        <x:v>3</x:v>
      </x:c>
      <x:c r="H182" s="1" t="n">
        <x:v>1549</x:v>
      </x:c>
      <x:c r="I182" s="1" t="n">
        <x:v>1549</x:v>
      </x:c>
      <x:c r="J182" s="1" t="str">
        <x:v>$1,549</x:v>
      </x:c>
      <x:c r="K182" s="1" t="str">
        <x:v>$1,549</x:v>
      </x:c>
      <x:c r="L182" s="1" t="str">
        <x:v>false</x:v>
      </x:c>
      <x:c r="M182" s="1" t="str">
        <x:v>1,100 sq. ft.</x:v>
      </x:c>
      <x:c r="N182" s="1" t="n">
        <x:v>1</x:v>
      </x:c>
      <x:c r="O182" s="1" t="str">
        <x:v>FutureDate</x:v>
      </x:c>
      <x:c r="P182" s="1" t="str">
        <x:v>Available Soon</x:v>
      </x:c>
      <x:c r="Q182" s="1" t="n">
        <x:v>46613.99998842592</x:v>
      </x:c>
      <x:c r="R182" s="1" t="str"/>
      <x:c r="S182" s="1" t="str"/>
      <x:c r="T182" s="1" t="str"/>
      <x:c r="U182" s="1" t="str"/>
      <x:c r="V182" s="1" t="str"/>
      <x:c r="W182" s="1" t="str"/>
      <x:c r="X182" s="1" t="str">
        <x:v>false</x:v>
      </x:c>
      <x:c r="Y182" s="1" t="str">
        <x:v>false</x:v>
      </x:c>
      <x:c r="Z182" s="1" t="str">
        <x:v>[]</x:v>
      </x:c>
    </x:row>
    <x:row r="183" ht="15" hidden="0" customHeight="1">
      <x:c r="A183" s="1" t="str">
        <x:v>86fjg60</x:v>
      </x:c>
      <x:c r="B183" s="5" t="str">
        <x:v>HeyDay Raleigh</x:v>
      </x:c>
      <x:c r="C183" s="1" t="str">
        <x:v>6042005</x:v>
      </x:c>
      <x:c r="D183" s="1" t="str">
        <x:v>zf6y50x</x:v>
      </x:c>
      <x:c r="E183" s="1" t="str">
        <x:v>4BR/4BA - D1</x:v>
      </x:c>
      <x:c r="F183" s="1" t="n">
        <x:v>4</x:v>
      </x:c>
      <x:c r="G183" s="1" t="n">
        <x:v>4</x:v>
      </x:c>
      <x:c r="H183" s="1" t="n">
        <x:v>1349</x:v>
      </x:c>
      <x:c r="I183" s="1" t="n">
        <x:v>1349</x:v>
      </x:c>
      <x:c r="J183" s="1" t="str">
        <x:v>$1,349</x:v>
      </x:c>
      <x:c r="K183" s="1" t="str">
        <x:v>$1,349</x:v>
      </x:c>
      <x:c r="L183" s="1" t="str">
        <x:v>false</x:v>
      </x:c>
      <x:c r="M183" s="1" t="str">
        <x:v>1,416 sq. ft.</x:v>
      </x:c>
      <x:c r="N183" s="1" t="n">
        <x:v>1</x:v>
      </x:c>
      <x:c r="O183" s="1" t="str">
        <x:v>FutureDate</x:v>
      </x:c>
      <x:c r="P183" s="1" t="str">
        <x:v>Available Soon</x:v>
      </x:c>
      <x:c r="Q183" s="1" t="n">
        <x:v>46613.99998842592</x:v>
      </x:c>
      <x:c r="R183" s="1" t="str"/>
      <x:c r="S183" s="1" t="str"/>
      <x:c r="T183" s="1" t="str"/>
      <x:c r="U183" s="1" t="str"/>
      <x:c r="V183" s="1" t="str"/>
      <x:c r="W183" s="1" t="str"/>
      <x:c r="X183" s="1" t="str">
        <x:v>false</x:v>
      </x:c>
      <x:c r="Y183" s="1" t="str">
        <x:v>false</x:v>
      </x:c>
      <x:c r="Z183" s="1" t="str">
        <x:v>[]</x:v>
      </x:c>
    </x:row>
    <x:row r="184" ht="15" hidden="0" customHeight="1">
      <x:c r="A184" s="1" t="str">
        <x:v>86fjg60</x:v>
      </x:c>
      <x:c r="B184" s="5" t="str">
        <x:v>HeyDay Raleigh</x:v>
      </x:c>
      <x:c r="C184" s="1" t="str">
        <x:v>6042007</x:v>
      </x:c>
      <x:c r="D184" s="1" t="str">
        <x:v>qecp6fw</x:v>
      </x:c>
      <x:c r="E184" s="1" t="str">
        <x:v>4BR/4BA - D2</x:v>
      </x:c>
      <x:c r="F184" s="1" t="n">
        <x:v>4</x:v>
      </x:c>
      <x:c r="G184" s="1" t="n">
        <x:v>4</x:v>
      </x:c>
      <x:c r="H184" s="1" t="n">
        <x:v>1399</x:v>
      </x:c>
      <x:c r="I184" s="1" t="n">
        <x:v>1399</x:v>
      </x:c>
      <x:c r="J184" s="1" t="str">
        <x:v>$1,399</x:v>
      </x:c>
      <x:c r="K184" s="1" t="str">
        <x:v>$1,399</x:v>
      </x:c>
      <x:c r="L184" s="1" t="str">
        <x:v>false</x:v>
      </x:c>
      <x:c r="M184" s="1" t="str">
        <x:v>1,457 sq. ft.</x:v>
      </x:c>
      <x:c r="N184" s="1" t="n">
        <x:v>1</x:v>
      </x:c>
      <x:c r="O184" s="1" t="str">
        <x:v>FutureDate</x:v>
      </x:c>
      <x:c r="P184" s="1" t="str">
        <x:v>Available Soon</x:v>
      </x:c>
      <x:c r="Q184" s="1" t="n">
        <x:v>46613.99998842592</x:v>
      </x:c>
      <x:c r="R184" s="1" t="str"/>
      <x:c r="S184" s="1" t="str"/>
      <x:c r="T184" s="1" t="str"/>
      <x:c r="U184" s="1" t="str"/>
      <x:c r="V184" s="1" t="str"/>
      <x:c r="W184" s="1" t="str"/>
      <x:c r="X184" s="1" t="str">
        <x:v>false</x:v>
      </x:c>
      <x:c r="Y184" s="1" t="str">
        <x:v>false</x:v>
      </x:c>
      <x:c r="Z184" s="1" t="str">
        <x:v>[]</x:v>
      </x:c>
    </x:row>
    <x:row r="185" ht="15" hidden="0" customHeight="1">
      <x:c r="A185" s="1" t="str">
        <x:v>86fjg60</x:v>
      </x:c>
      <x:c r="B185" s="5" t="str">
        <x:v>HeyDay Raleigh</x:v>
      </x:c>
      <x:c r="C185" s="1" t="str">
        <x:v>6042006</x:v>
      </x:c>
      <x:c r="D185" s="1" t="str">
        <x:v>lsvk2eg</x:v>
      </x:c>
      <x:c r="E185" s="1" t="str">
        <x:v>4BR/4BA - D3</x:v>
      </x:c>
      <x:c r="F185" s="1" t="n">
        <x:v>4</x:v>
      </x:c>
      <x:c r="G185" s="1" t="n">
        <x:v>4</x:v>
      </x:c>
      <x:c r="H185" s="1" t="n">
        <x:v>1449</x:v>
      </x:c>
      <x:c r="I185" s="1" t="n">
        <x:v>1449</x:v>
      </x:c>
      <x:c r="J185" s="1" t="str">
        <x:v>$1,449</x:v>
      </x:c>
      <x:c r="K185" s="1" t="str">
        <x:v>$1,449</x:v>
      </x:c>
      <x:c r="L185" s="1" t="str">
        <x:v>false</x:v>
      </x:c>
      <x:c r="M185" s="1" t="str">
        <x:v>1,471 sq. ft.</x:v>
      </x:c>
      <x:c r="N185" s="1" t="n">
        <x:v>1</x:v>
      </x:c>
      <x:c r="O185" s="1" t="str">
        <x:v>FutureDate</x:v>
      </x:c>
      <x:c r="P185" s="1" t="str">
        <x:v>Available Soon</x:v>
      </x:c>
      <x:c r="Q185" s="1" t="n">
        <x:v>46613.99998842592</x:v>
      </x:c>
      <x:c r="R185" s="1" t="str"/>
      <x:c r="S185" s="1" t="str"/>
      <x:c r="T185" s="1" t="str"/>
      <x:c r="U185" s="1" t="str"/>
      <x:c r="V185" s="1" t="str"/>
      <x:c r="W185" s="1" t="str"/>
      <x:c r="X185" s="1" t="str">
        <x:v>false</x:v>
      </x:c>
      <x:c r="Y185" s="1" t="str">
        <x:v>false</x:v>
      </x:c>
      <x:c r="Z185" s="1" t="str">
        <x:v>[]</x:v>
      </x:c>
    </x:row>
    <x:row r="186" ht="15" hidden="0" customHeight="1">
      <x:c r="A186" s="1" t="str">
        <x:v>86fjg60</x:v>
      </x:c>
      <x:c r="B186" s="5" t="str">
        <x:v>HeyDay Raleigh</x:v>
      </x:c>
      <x:c r="C186" s="1" t="str">
        <x:v>6042009</x:v>
      </x:c>
      <x:c r="D186" s="1" t="str">
        <x:v>mf4gx1l</x:v>
      </x:c>
      <x:c r="E186" s="1" t="str">
        <x:v>4BR/4BA - TH1</x:v>
      </x:c>
      <x:c r="F186" s="1" t="n">
        <x:v>4</x:v>
      </x:c>
      <x:c r="G186" s="1" t="n">
        <x:v>4</x:v>
      </x:c>
      <x:c r="H186" s="1" t="n">
        <x:v>1479</x:v>
      </x:c>
      <x:c r="I186" s="1" t="n">
        <x:v>1479</x:v>
      </x:c>
      <x:c r="J186" s="1" t="str">
        <x:v>$1,479</x:v>
      </x:c>
      <x:c r="K186" s="1" t="str">
        <x:v>$1,479</x:v>
      </x:c>
      <x:c r="L186" s="1" t="str">
        <x:v>false</x:v>
      </x:c>
      <x:c r="M186" s="1" t="str">
        <x:v>1,470 sq. ft.</x:v>
      </x:c>
      <x:c r="N186" s="1" t="n">
        <x:v>1</x:v>
      </x:c>
      <x:c r="O186" s="1" t="str">
        <x:v>FutureDate</x:v>
      </x:c>
      <x:c r="P186" s="1" t="str">
        <x:v>Available Soon</x:v>
      </x:c>
      <x:c r="Q186" s="1" t="n">
        <x:v>46613.99998842592</x:v>
      </x:c>
      <x:c r="R186" s="1" t="str"/>
      <x:c r="S186" s="1" t="str"/>
      <x:c r="T186" s="1" t="str"/>
      <x:c r="U186" s="1" t="str"/>
      <x:c r="V186" s="1" t="str"/>
      <x:c r="W186" s="1" t="str"/>
      <x:c r="X186" s="1" t="str">
        <x:v>false</x:v>
      </x:c>
      <x:c r="Y186" s="1" t="str">
        <x:v>false</x:v>
      </x:c>
      <x:c r="Z186" s="1" t="str">
        <x:v>[]</x:v>
      </x:c>
    </x:row>
    <x:row r="187" ht="15" hidden="0" customHeight="1">
      <x:c r="A187" s="1" t="str">
        <x:v>86fjg60</x:v>
      </x:c>
      <x:c r="B187" s="5" t="str">
        <x:v>HeyDay Raleigh</x:v>
      </x:c>
      <x:c r="C187" s="1" t="str">
        <x:v>6042008</x:v>
      </x:c>
      <x:c r="D187" s="1" t="str">
        <x:v>1kn0j86</x:v>
      </x:c>
      <x:c r="E187" s="1" t="str">
        <x:v>4BR/4BA - TH2</x:v>
      </x:c>
      <x:c r="F187" s="1" t="n">
        <x:v>4</x:v>
      </x:c>
      <x:c r="G187" s="1" t="n">
        <x:v>4</x:v>
      </x:c>
      <x:c r="H187" s="1" t="n">
        <x:v>1499</x:v>
      </x:c>
      <x:c r="I187" s="1" t="n">
        <x:v>1499</x:v>
      </x:c>
      <x:c r="J187" s="1" t="str">
        <x:v>$1,499</x:v>
      </x:c>
      <x:c r="K187" s="1" t="str">
        <x:v>$1,499</x:v>
      </x:c>
      <x:c r="L187" s="1" t="str">
        <x:v>false</x:v>
      </x:c>
      <x:c r="M187" s="1" t="str">
        <x:v>1,470 sq. ft.</x:v>
      </x:c>
      <x:c r="N187" s="1" t="n">
        <x:v>1</x:v>
      </x:c>
      <x:c r="O187" s="1" t="str">
        <x:v>FutureDate</x:v>
      </x:c>
      <x:c r="P187" s="1" t="str">
        <x:v>Available Soon</x:v>
      </x:c>
      <x:c r="Q187" s="1" t="n">
        <x:v>46613.99998842592</x:v>
      </x:c>
      <x:c r="R187" s="1" t="str"/>
      <x:c r="S187" s="1" t="str"/>
      <x:c r="T187" s="1" t="str"/>
      <x:c r="U187" s="1" t="str"/>
      <x:c r="V187" s="1" t="str"/>
      <x:c r="W187" s="1" t="str"/>
      <x:c r="X187" s="1" t="str">
        <x:v>false</x:v>
      </x:c>
      <x:c r="Y187" s="1" t="str">
        <x:v>false</x:v>
      </x:c>
      <x:c r="Z187" s="1" t="str">
        <x:v>[]</x:v>
      </x:c>
    </x:row>
    <x:row r="188" ht="15" hidden="0" customHeight="1">
      <x:c r="A188" s="1" t="str">
        <x:v>86fjg60</x:v>
      </x:c>
      <x:c r="B188" s="5" t="str">
        <x:v>HeyDay Raleigh</x:v>
      </x:c>
      <x:c r="C188" s="1" t="str">
        <x:v>6042010</x:v>
      </x:c>
      <x:c r="D188" s="1" t="str">
        <x:v>m9rgt9j</x:v>
      </x:c>
      <x:c r="E188" s="1" t="str">
        <x:v>4BR/4BA - TH3</x:v>
      </x:c>
      <x:c r="F188" s="1" t="n">
        <x:v>4</x:v>
      </x:c>
      <x:c r="G188" s="1" t="n">
        <x:v>4</x:v>
      </x:c>
      <x:c r="H188" s="1" t="n">
        <x:v>1519</x:v>
      </x:c>
      <x:c r="I188" s="1" t="n">
        <x:v>1519</x:v>
      </x:c>
      <x:c r="J188" s="1" t="str">
        <x:v>$1,519</x:v>
      </x:c>
      <x:c r="K188" s="1" t="str">
        <x:v>$1,519</x:v>
      </x:c>
      <x:c r="L188" s="1" t="str">
        <x:v>false</x:v>
      </x:c>
      <x:c r="M188" s="1" t="str">
        <x:v>1,602 sq. ft.</x:v>
      </x:c>
      <x:c r="N188" s="1" t="n">
        <x:v>1</x:v>
      </x:c>
      <x:c r="O188" s="1" t="str">
        <x:v>FutureDate</x:v>
      </x:c>
      <x:c r="P188" s="1" t="str">
        <x:v>Available Soon</x:v>
      </x:c>
      <x:c r="Q188" s="1" t="n">
        <x:v>46613.99998842592</x:v>
      </x:c>
      <x:c r="R188" s="1" t="str"/>
      <x:c r="S188" s="1" t="str"/>
      <x:c r="T188" s="1" t="str"/>
      <x:c r="U188" s="1" t="str"/>
      <x:c r="V188" s="1" t="str"/>
      <x:c r="W188" s="1" t="str"/>
      <x:c r="X188" s="1" t="str">
        <x:v>false</x:v>
      </x:c>
      <x:c r="Y188" s="1" t="str">
        <x:v>false</x:v>
      </x:c>
      <x:c r="Z188" s="1" t="str">
        <x:v>[]</x:v>
      </x:c>
    </x:row>
    <x:row r="189" ht="15" hidden="0" customHeight="1">
      <x:c r="A189" s="1" t="str">
        <x:v>86fjg60</x:v>
      </x:c>
      <x:c r="B189" s="5" t="str">
        <x:v>HeyDay Raleigh</x:v>
      </x:c>
      <x:c r="C189" s="1" t="str">
        <x:v>6042011</x:v>
      </x:c>
      <x:c r="D189" s="1" t="str">
        <x:v>ly7k55e</x:v>
      </x:c>
      <x:c r="E189" s="1" t="str">
        <x:v>4BR/4.5BA - TH4</x:v>
      </x:c>
      <x:c r="F189" s="1" t="n">
        <x:v>4</x:v>
      </x:c>
      <x:c r="G189" s="1" t="n">
        <x:v>4.5</x:v>
      </x:c>
      <x:c r="H189" s="1" t="n">
        <x:v>1539</x:v>
      </x:c>
      <x:c r="I189" s="1" t="n">
        <x:v>1539</x:v>
      </x:c>
      <x:c r="J189" s="1" t="str">
        <x:v>$1,539</x:v>
      </x:c>
      <x:c r="K189" s="1" t="str">
        <x:v>$1,539</x:v>
      </x:c>
      <x:c r="L189" s="1" t="str">
        <x:v>false</x:v>
      </x:c>
      <x:c r="M189" s="1" t="str">
        <x:v>1,629 sq. ft.</x:v>
      </x:c>
      <x:c r="N189" s="1" t="n">
        <x:v>1</x:v>
      </x:c>
      <x:c r="O189" s="1" t="str">
        <x:v>FutureDate</x:v>
      </x:c>
      <x:c r="P189" s="1" t="str">
        <x:v>Available Soon</x:v>
      </x:c>
      <x:c r="Q189" s="1" t="n">
        <x:v>46613.99998842592</x:v>
      </x:c>
      <x:c r="R189" s="1" t="str"/>
      <x:c r="S189" s="1" t="str"/>
      <x:c r="T189" s="1" t="str"/>
      <x:c r="U189" s="1" t="str"/>
      <x:c r="V189" s="1" t="str"/>
      <x:c r="W189" s="1" t="str"/>
      <x:c r="X189" s="1" t="str">
        <x:v>false</x:v>
      </x:c>
      <x:c r="Y189" s="1" t="str">
        <x:v>false</x:v>
      </x:c>
      <x:c r="Z189" s="1" t="str">
        <x:v>[]</x:v>
      </x:c>
    </x:row>
    <x:row r="190" ht="24" hidden="0" customHeight="1">
      <x:c r="A190" s="1" t="str">
        <x:v>ocpxdxd79p</x:v>
      </x:c>
      <x:c r="B190" s="5" t="str">
        <x:v>4BR/4BA Condo| On Wolfline | Preleasing 27-28 Special $850 Util/Parking Incld | Mile to Campus</x:v>
      </x:c>
      <x:c r="C190" s="1" t="str">
        <x:v>1</x:v>
      </x:c>
      <x:c r="D190" s="1" t="str">
        <x:v>q2j0gkx</x:v>
      </x:c>
      <x:c r="E190" s="1" t="str"/>
      <x:c r="F190" s="1" t="n">
        <x:v>4</x:v>
      </x:c>
      <x:c r="G190" s="1" t="n">
        <x:v>4</x:v>
      </x:c>
      <x:c r="H190" s="1" t="n">
        <x:v>875</x:v>
      </x:c>
      <x:c r="I190" s="1" t="n">
        <x:v>875</x:v>
      </x:c>
      <x:c r="J190" s="1" t="str">
        <x:v>$875</x:v>
      </x:c>
      <x:c r="K190" s="1" t="str">
        <x:v>$875</x:v>
      </x:c>
      <x:c r="L190" s="1" t="str">
        <x:v>true</x:v>
      </x:c>
      <x:c r="M190" s="1" t="str">
        <x:v>1,224 sq. ft.</x:v>
      </x:c>
      <x:c r="N190" s="1" t="n">
        <x:v>1</x:v>
      </x:c>
      <x:c r="O190" s="1" t="str">
        <x:v>FutureDate</x:v>
      </x:c>
      <x:c r="P190" s="1" t="str">
        <x:v>Available Soon</x:v>
      </x:c>
      <x:c r="Q190" s="1" t="n">
        <x:v>46600.99998842592</x:v>
      </x:c>
      <x:c r="R190" s="1" t="str"/>
      <x:c r="S190" s="1" t="str"/>
      <x:c r="T190" s="1" t="str">
        <x:v>N/A</x:v>
      </x:c>
      <x:c r="U190" s="1" t="str">
        <x:v>N/A</x:v>
      </x:c>
      <x:c r="V190" s="1" t="str">
        <x:v>4</x:v>
      </x:c>
      <x:c r="W190" s="1" t="str"/>
      <x:c r="X190" s="1" t="str">
        <x:v>false</x:v>
      </x:c>
      <x:c r="Y190" s="1" t="str">
        <x:v>false</x:v>
      </x:c>
      <x:c r="Z190" s="1" t="str">
        <x:v>[]</x:v>
      </x:c>
    </x:row>
    <x:row r="191" ht="15" hidden="0" customHeight="1">
      <x:c r="A191" s="1" t="str">
        <x:v>9de4we5</x:v>
      </x:c>
      <x:c r="B191" s="5" t="str">
        <x:v>LYV Woodcroft at Southpoint</x:v>
      </x:c>
      <x:c r="C191" s="1" t="str">
        <x:v>3302954</x:v>
      </x:c>
      <x:c r="D191" s="1" t="str">
        <x:v>egqsmhn</x:v>
      </x:c>
      <x:c r="E191" s="1" t="str">
        <x:v>A1R</x:v>
      </x:c>
      <x:c r="F191" s="1" t="n">
        <x:v>1</x:v>
      </x:c>
      <x:c r="G191" s="1" t="n">
        <x:v>1</x:v>
      </x:c>
      <x:c r="H191" s="1" t="n">
        <x:v>1200</x:v>
      </x:c>
      <x:c r="I191" s="1" t="n">
        <x:v>1200</x:v>
      </x:c>
      <x:c r="J191" s="1" t="str">
        <x:v>$1,200</x:v>
      </x:c>
      <x:c r="K191" s="1" t="str">
        <x:v>$1,200</x:v>
      </x:c>
      <x:c r="L191" s="1" t="str">
        <x:v>false</x:v>
      </x:c>
      <x:c r="M191" s="1" t="str">
        <x:v>845 sq. ft.</x:v>
      </x:c>
      <x:c r="N191" s="1" t="n">
        <x:v>2</x:v>
      </x:c>
      <x:c r="O191" s="1" t="str">
        <x:v>FutureDate</x:v>
      </x:c>
      <x:c r="P191" s="1" t="str">
        <x:v>Available Soon</x:v>
      </x:c>
      <x:c r="Q191" s="1" t="n">
        <x:v>46331.99998842592</x:v>
      </x:c>
      <x:c r="R191" s="1" t="str"/>
      <x:c r="S191" s="1" t="str"/>
      <x:c r="T191" s="1" t="str"/>
      <x:c r="U191" s="1" t="str"/>
      <x:c r="V191" s="1" t="str"/>
      <x:c r="W191" s="1" t="str"/>
      <x:c r="X191" s="1" t="str">
        <x:v>false</x:v>
      </x:c>
      <x:c r="Y191" s="1" t="str">
        <x:v>false</x:v>
      </x:c>
      <x:c r="Z191" s="1" t="str">
        <x:v>[]</x:v>
      </x:c>
    </x:row>
    <x:row r="192" ht="15" hidden="0" customHeight="1">
      <x:c r="A192" s="1" t="str">
        <x:v>9de4we5</x:v>
      </x:c>
      <x:c r="B192" s="5" t="str">
        <x:v>LYV Woodcroft at Southpoint</x:v>
      </x:c>
      <x:c r="C192" s="1" t="str">
        <x:v>3022361</x:v>
      </x:c>
      <x:c r="D192" s="1" t="str">
        <x:v>870r230</x:v>
      </x:c>
      <x:c r="E192" s="1" t="str">
        <x:v>A2R</x:v>
      </x:c>
      <x:c r="F192" s="1" t="n">
        <x:v>1</x:v>
      </x:c>
      <x:c r="G192" s="1" t="n">
        <x:v>1</x:v>
      </x:c>
      <x:c r="H192" s="1" t="n">
        <x:v>1325</x:v>
      </x:c>
      <x:c r="I192" s="1" t="n">
        <x:v>1325</x:v>
      </x:c>
      <x:c r="J192" s="1" t="str">
        <x:v>$1,325</x:v>
      </x:c>
      <x:c r="K192" s="1" t="str">
        <x:v>$1,325</x:v>
      </x:c>
      <x:c r="L192" s="1" t="str">
        <x:v>false</x:v>
      </x:c>
      <x:c r="M192" s="1" t="str">
        <x:v>945 sq. ft.</x:v>
      </x:c>
      <x:c r="N192" s="1" t="n">
        <x:v>1</x:v>
      </x:c>
      <x:c r="O192" s="1" t="str">
        <x:v>FutureDate</x:v>
      </x:c>
      <x:c r="P192" s="1" t="str">
        <x:v>Available Soon</x:v>
      </x:c>
      <x:c r="Q192" s="1" t="n">
        <x:v>46289.99998842592</x:v>
      </x:c>
      <x:c r="R192" s="1" t="str"/>
      <x:c r="S192" s="1" t="str"/>
      <x:c r="T192" s="1" t="str"/>
      <x:c r="U192" s="1" t="str"/>
      <x:c r="V192" s="1" t="str"/>
      <x:c r="W192" s="1" t="str"/>
      <x:c r="X192" s="1" t="str">
        <x:v>false</x:v>
      </x:c>
      <x:c r="Y192" s="1" t="str">
        <x:v>false</x:v>
      </x:c>
      <x:c r="Z192" s="1" t="str">
        <x:v>[]</x:v>
      </x:c>
    </x:row>
    <x:row r="193" ht="15" hidden="0" customHeight="1">
      <x:c r="A193" s="1" t="str">
        <x:v>9de4we5</x:v>
      </x:c>
      <x:c r="B193" s="5" t="str">
        <x:v>LYV Woodcroft at Southpoint</x:v>
      </x:c>
      <x:c r="C193" s="1" t="str">
        <x:v>1952392</x:v>
      </x:c>
      <x:c r="D193" s="1" t="str">
        <x:v>008b1x0</x:v>
      </x:c>
      <x:c r="E193" s="1" t="str">
        <x:v>A1</x:v>
      </x:c>
      <x:c r="F193" s="1" t="n">
        <x:v>1</x:v>
      </x:c>
      <x:c r="G193" s="1" t="n">
        <x:v>1</x:v>
      </x:c>
      <x:c r="H193" s="1" t="str"/>
      <x:c r="I193" s="1" t="str"/>
      <x:c r="J193" s="1" t="str"/>
      <x:c r="K193" s="1" t="str"/>
      <x:c r="L193" s="1" t="str">
        <x:v>false</x:v>
      </x:c>
      <x:c r="M193" s="1" t="str">
        <x:v>845 sq. ft.</x:v>
      </x:c>
      <x:c r="N193" s="1" t="n">
        <x:v>0</x:v>
      </x:c>
      <x:c r="O193" s="1" t="str">
        <x:v>AvailableSoon</x:v>
      </x:c>
      <x:c r="P193" s="1" t="str">
        <x:v>Available Soon</x:v>
      </x:c>
      <x:c r="Q193" s="1" t="str"/>
      <x:c r="R193" s="1" t="str"/>
      <x:c r="S193" s="1" t="str"/>
      <x:c r="T193" s="1" t="str"/>
      <x:c r="U193" s="1" t="str"/>
      <x:c r="V193" s="1" t="str"/>
      <x:c r="W193" s="1" t="str"/>
      <x:c r="X193" s="1" t="str">
        <x:v>false</x:v>
      </x:c>
      <x:c r="Y193" s="1" t="str">
        <x:v>false</x:v>
      </x:c>
      <x:c r="Z193" s="1" t="str">
        <x:v>[]</x:v>
      </x:c>
    </x:row>
    <x:row r="194" ht="15" hidden="0" customHeight="1">
      <x:c r="A194" s="1" t="str">
        <x:v>9de4we5</x:v>
      </x:c>
      <x:c r="B194" s="5" t="str">
        <x:v>LYV Woodcroft at Southpoint</x:v>
      </x:c>
      <x:c r="C194" s="1" t="str">
        <x:v>1952396</x:v>
      </x:c>
      <x:c r="D194" s="1" t="str">
        <x:v>gk2zvgz</x:v>
      </x:c>
      <x:c r="E194" s="1" t="str">
        <x:v>A2</x:v>
      </x:c>
      <x:c r="F194" s="1" t="n">
        <x:v>1</x:v>
      </x:c>
      <x:c r="G194" s="1" t="n">
        <x:v>1</x:v>
      </x:c>
      <x:c r="H194" s="1" t="str"/>
      <x:c r="I194" s="1" t="str"/>
      <x:c r="J194" s="1" t="str"/>
      <x:c r="K194" s="1" t="str"/>
      <x:c r="L194" s="1" t="str">
        <x:v>false</x:v>
      </x:c>
      <x:c r="M194" s="1" t="str">
        <x:v>945 sq. ft.</x:v>
      </x:c>
      <x:c r="N194" s="1" t="n">
        <x:v>0</x:v>
      </x:c>
      <x:c r="O194" s="1" t="str">
        <x:v>AvailableSoon</x:v>
      </x:c>
      <x:c r="P194" s="1" t="str">
        <x:v>Available Soon</x:v>
      </x:c>
      <x:c r="Q194" s="1" t="str"/>
      <x:c r="R194" s="1" t="str"/>
      <x:c r="S194" s="1" t="str"/>
      <x:c r="T194" s="1" t="str"/>
      <x:c r="U194" s="1" t="str"/>
      <x:c r="V194" s="1" t="str"/>
      <x:c r="W194" s="1" t="str"/>
      <x:c r="X194" s="1" t="str">
        <x:v>false</x:v>
      </x:c>
      <x:c r="Y194" s="1" t="str">
        <x:v>false</x:v>
      </x:c>
      <x:c r="Z194" s="1" t="str">
        <x:v>[]</x:v>
      </x:c>
    </x:row>
    <x:row r="195" ht="15" hidden="0" customHeight="1">
      <x:c r="A195" s="1" t="str">
        <x:v>9de4we5</x:v>
      </x:c>
      <x:c r="B195" s="5" t="str">
        <x:v>LYV Woodcroft at Southpoint</x:v>
      </x:c>
      <x:c r="C195" s="1" t="str">
        <x:v>64125</x:v>
      </x:c>
      <x:c r="D195" s="1" t="str">
        <x:v>6kf0n5r</x:v>
      </x:c>
      <x:c r="E195" s="1" t="str">
        <x:v>B1</x:v>
      </x:c>
      <x:c r="F195" s="1" t="n">
        <x:v>2</x:v>
      </x:c>
      <x:c r="G195" s="1" t="n">
        <x:v>2</x:v>
      </x:c>
      <x:c r="H195" s="1" t="n">
        <x:v>1275</x:v>
      </x:c>
      <x:c r="I195" s="1" t="n">
        <x:v>1300</x:v>
      </x:c>
      <x:c r="J195" s="1" t="str">
        <x:v>$1,275 - $1,300</x:v>
      </x:c>
      <x:c r="K195" s="1" t="str">
        <x:v>$1,275 - $1,300</x:v>
      </x:c>
      <x:c r="L195" s="1" t="str">
        <x:v>false</x:v>
      </x:c>
      <x:c r="M195" s="1" t="str">
        <x:v>1,075 sq. ft.</x:v>
      </x:c>
      <x:c r="N195" s="1" t="n">
        <x:v>20</x:v>
      </x:c>
      <x:c r="O195" s="1" t="str">
        <x:v>AvailableNow</x:v>
      </x:c>
      <x:c r="P195" s="1" t="str">
        <x:v>Rentals Available</x:v>
      </x:c>
      <x:c r="Q195" s="1" t="n">
        <x:v>46269.99998842592</x:v>
      </x:c>
      <x:c r="R195" s="1" t="str"/>
      <x:c r="S195" s="1" t="str"/>
      <x:c r="T195" s="1" t="str"/>
      <x:c r="U195" s="1" t="str"/>
      <x:c r="V195" s="1" t="str"/>
      <x:c r="W195" s="1" t="str"/>
      <x:c r="X195" s="1" t="str">
        <x:v>false</x:v>
      </x:c>
      <x:c r="Y195" s="1" t="str">
        <x:v>false</x:v>
      </x:c>
      <x:c r="Z195" s="1" t="str">
        <x:v>[]</x:v>
      </x:c>
    </x:row>
    <x:row r="196" ht="15" hidden="0" customHeight="1">
      <x:c r="A196" s="1" t="str">
        <x:v>9de4we5</x:v>
      </x:c>
      <x:c r="B196" s="5" t="str">
        <x:v>LYV Woodcroft at Southpoint</x:v>
      </x:c>
      <x:c r="C196" s="1" t="str">
        <x:v>3022362</x:v>
      </x:c>
      <x:c r="D196" s="1" t="str">
        <x:v>j8wve74</x:v>
      </x:c>
      <x:c r="E196" s="1" t="str">
        <x:v>B1R</x:v>
      </x:c>
      <x:c r="F196" s="1" t="n">
        <x:v>2</x:v>
      </x:c>
      <x:c r="G196" s="1" t="n">
        <x:v>2</x:v>
      </x:c>
      <x:c r="H196" s="1" t="n">
        <x:v>1375</x:v>
      </x:c>
      <x:c r="I196" s="1" t="n">
        <x:v>1400</x:v>
      </x:c>
      <x:c r="J196" s="1" t="str">
        <x:v>$1,375 - $1,400</x:v>
      </x:c>
      <x:c r="K196" s="1" t="str">
        <x:v>$1,375 - $1,400</x:v>
      </x:c>
      <x:c r="L196" s="1" t="str">
        <x:v>false</x:v>
      </x:c>
      <x:c r="M196" s="1" t="str">
        <x:v>1,075 sq. ft.</x:v>
      </x:c>
      <x:c r="N196" s="1" t="n">
        <x:v>12</x:v>
      </x:c>
      <x:c r="O196" s="1" t="str">
        <x:v>AvailableNow</x:v>
      </x:c>
      <x:c r="P196" s="1" t="str">
        <x:v>Rentals Available</x:v>
      </x:c>
      <x:c r="Q196" s="1" t="n">
        <x:v>46262.99998842592</x:v>
      </x:c>
      <x:c r="R196" s="1" t="str"/>
      <x:c r="S196" s="1" t="str"/>
      <x:c r="T196" s="1" t="str"/>
      <x:c r="U196" s="1" t="str"/>
      <x:c r="V196" s="1" t="str"/>
      <x:c r="W196" s="1" t="str"/>
      <x:c r="X196" s="1" t="str">
        <x:v>false</x:v>
      </x:c>
      <x:c r="Y196" s="1" t="str">
        <x:v>false</x:v>
      </x:c>
      <x:c r="Z196" s="1" t="str">
        <x:v>[]</x:v>
      </x:c>
    </x:row>
    <x:row r="197" ht="15" hidden="0" customHeight="1">
      <x:c r="A197" s="1" t="str">
        <x:v>9de4we5</x:v>
      </x:c>
      <x:c r="B197" s="5" t="str">
        <x:v>LYV Woodcroft at Southpoint</x:v>
      </x:c>
      <x:c r="C197" s="1" t="str">
        <x:v>64124</x:v>
      </x:c>
      <x:c r="D197" s="1" t="str">
        <x:v>vcb7wkf</x:v>
      </x:c>
      <x:c r="E197" s="1" t="str">
        <x:v>B2 with Den</x:v>
      </x:c>
      <x:c r="F197" s="1" t="n">
        <x:v>2</x:v>
      </x:c>
      <x:c r="G197" s="1" t="n">
        <x:v>2</x:v>
      </x:c>
      <x:c r="H197" s="1" t="n">
        <x:v>1385</x:v>
      </x:c>
      <x:c r="I197" s="1" t="n">
        <x:v>1385</x:v>
      </x:c>
      <x:c r="J197" s="1" t="str">
        <x:v>$1,385</x:v>
      </x:c>
      <x:c r="K197" s="1" t="str">
        <x:v>$1,385</x:v>
      </x:c>
      <x:c r="L197" s="1" t="str">
        <x:v>false</x:v>
      </x:c>
      <x:c r="M197" s="1" t="str">
        <x:v>1,179 sq. ft.</x:v>
      </x:c>
      <x:c r="N197" s="1" t="n">
        <x:v>8</x:v>
      </x:c>
      <x:c r="O197" s="1" t="str">
        <x:v>AvailableNow</x:v>
      </x:c>
      <x:c r="P197" s="1" t="str">
        <x:v>Rentals Available</x:v>
      </x:c>
      <x:c r="Q197" s="1" t="n">
        <x:v>46269.99998842592</x:v>
      </x:c>
      <x:c r="R197" s="1" t="str"/>
      <x:c r="S197" s="1" t="str"/>
      <x:c r="T197" s="1" t="str"/>
      <x:c r="U197" s="1" t="str"/>
      <x:c r="V197" s="1" t="str"/>
      <x:c r="W197" s="1" t="str"/>
      <x:c r="X197" s="1" t="str">
        <x:v>false</x:v>
      </x:c>
      <x:c r="Y197" s="1" t="str">
        <x:v>false</x:v>
      </x:c>
      <x:c r="Z197" s="1" t="str">
        <x:v>[]</x:v>
      </x:c>
    </x:row>
    <x:row r="198" ht="15" hidden="0" customHeight="1">
      <x:c r="A198" s="1" t="str">
        <x:v>9de4we5</x:v>
      </x:c>
      <x:c r="B198" s="5" t="str">
        <x:v>LYV Woodcroft at Southpoint</x:v>
      </x:c>
      <x:c r="C198" s="1" t="str">
        <x:v>5975579</x:v>
      </x:c>
      <x:c r="D198" s="1" t="str">
        <x:v>fqlj3nv</x:v>
      </x:c>
      <x:c r="E198" s="1" t="str">
        <x:v>B2R With Den</x:v>
      </x:c>
      <x:c r="F198" s="1" t="n">
        <x:v>2</x:v>
      </x:c>
      <x:c r="G198" s="1" t="n">
        <x:v>2</x:v>
      </x:c>
      <x:c r="H198" s="1" t="str"/>
      <x:c r="I198" s="1" t="str"/>
      <x:c r="J198" s="1" t="str"/>
      <x:c r="K198" s="1" t="str"/>
      <x:c r="L198" s="1" t="str">
        <x:v>false</x:v>
      </x:c>
      <x:c r="M198" s="1" t="str">
        <x:v>1,179 sq. ft.</x:v>
      </x:c>
      <x:c r="N198" s="1" t="n">
        <x:v>0</x:v>
      </x:c>
      <x:c r="O198" s="1" t="str">
        <x:v>AvailableSoon</x:v>
      </x:c>
      <x:c r="P198" s="1" t="str">
        <x:v>Available Soon</x:v>
      </x:c>
      <x:c r="Q198" s="1" t="str"/>
      <x:c r="R198" s="1" t="str"/>
      <x:c r="S198" s="1" t="str"/>
      <x:c r="T198" s="1" t="str"/>
      <x:c r="U198" s="1" t="str"/>
      <x:c r="V198" s="1" t="str"/>
      <x:c r="W198" s="1" t="str"/>
      <x:c r="X198" s="1" t="str">
        <x:v>false</x:v>
      </x:c>
      <x:c r="Y198" s="1" t="str">
        <x:v>false</x:v>
      </x:c>
      <x:c r="Z198" s="1" t="str">
        <x:v>[]</x:v>
      </x:c>
    </x:row>
    <x:row r="199" ht="24" hidden="0" customHeight="1">
      <x:c r="A199" s="1" t="str">
        <x:v>ocpm68s5sh</x:v>
      </x:c>
      <x:c r="B199" s="5" t="str">
        <x:v>Burt Drive Townhouses---Brand New Luxury Housing within walking distance to NCSU</x:v>
      </x:c>
      <x:c r="C199" s="1" t="str">
        <x:v>1</x:v>
      </x:c>
      <x:c r="D199" s="1" t="str">
        <x:v>q2j0gkx</x:v>
      </x:c>
      <x:c r="E199" s="1" t="str"/>
      <x:c r="F199" s="1" t="n">
        <x:v>4</x:v>
      </x:c>
      <x:c r="G199" s="1" t="n">
        <x:v>4.5</x:v>
      </x:c>
      <x:c r="H199" s="1" t="n">
        <x:v>1050</x:v>
      </x:c>
      <x:c r="I199" s="1" t="n">
        <x:v>1050</x:v>
      </x:c>
      <x:c r="J199" s="1" t="str">
        <x:v>$1,050</x:v>
      </x:c>
      <x:c r="K199" s="1" t="str">
        <x:v>$1,050</x:v>
      </x:c>
      <x:c r="L199" s="1" t="str">
        <x:v>true</x:v>
      </x:c>
      <x:c r="M199" s="1" t="str">
        <x:v>2,430 sq. ft.</x:v>
      </x:c>
      <x:c r="N199" s="1" t="n">
        <x:v>1</x:v>
      </x:c>
      <x:c r="O199" s="1" t="str">
        <x:v>AvailableNow</x:v>
      </x:c>
      <x:c r="P199" s="1" t="str">
        <x:v>Rentals Available</x:v>
      </x:c>
      <x:c r="Q199" s="1" t="n">
        <x:v>25569.999988425927</x:v>
      </x:c>
      <x:c r="R199" s="1" t="str"/>
      <x:c r="S199" s="1" t="str"/>
      <x:c r="T199" s="1" t="str">
        <x:v>N/A</x:v>
      </x:c>
      <x:c r="U199" s="1" t="str">
        <x:v>N/A</x:v>
      </x:c>
      <x:c r="V199" s="1" t="str">
        <x:v>4</x:v>
      </x:c>
      <x:c r="W199" s="1" t="str"/>
      <x:c r="X199" s="1" t="str">
        <x:v>false</x:v>
      </x:c>
      <x:c r="Y199" s="1" t="str">
        <x:v>false</x:v>
      </x:c>
      <x:c r="Z199" s="1" t="str">
        <x:v>[]</x:v>
      </x:c>
    </x:row>
    <x:row r="200" ht="15" hidden="0" customHeight="1">
      <x:c r="A200" s="1" t="str">
        <x:v>gky0hgw</x:v>
      </x:c>
      <x:c r="B200" s="5" t="str">
        <x:v>Willow Bend Apartments</x:v>
      </x:c>
      <x:c r="C200" s="1" t="str">
        <x:v>1002951</x:v>
      </x:c>
      <x:c r="D200" s="1" t="str">
        <x:v>e1jncsq</x:v>
      </x:c>
      <x:c r="E200" s="1" t="str">
        <x:v>WB 2x1</x:v>
      </x:c>
      <x:c r="F200" s="1" t="n">
        <x:v>2</x:v>
      </x:c>
      <x:c r="G200" s="1" t="n">
        <x:v>1</x:v>
      </x:c>
      <x:c r="H200" s="1" t="n">
        <x:v>1312</x:v>
      </x:c>
      <x:c r="I200" s="1" t="n">
        <x:v>1357</x:v>
      </x:c>
      <x:c r="J200" s="1" t="str">
        <x:v>$1,312 - $1,357</x:v>
      </x:c>
      <x:c r="K200" s="1" t="str">
        <x:v>$1,312 - $1,357</x:v>
      </x:c>
      <x:c r="L200" s="1" t="str">
        <x:v>false</x:v>
      </x:c>
      <x:c r="M200" s="1" t="str">
        <x:v>812 sq. ft.</x:v>
      </x:c>
      <x:c r="N200" s="1" t="n">
        <x:v>3</x:v>
      </x:c>
      <x:c r="O200" s="1" t="str">
        <x:v>FutureDate</x:v>
      </x:c>
      <x:c r="P200" s="1" t="str">
        <x:v>Available Soon</x:v>
      </x:c>
      <x:c r="Q200" s="1" t="n">
        <x:v>46297.99998842592</x:v>
      </x:c>
      <x:c r="R200" s="1" t="str"/>
      <x:c r="S200" s="1" t="str"/>
      <x:c r="T200" s="1" t="str"/>
      <x:c r="U200" s="1" t="str"/>
      <x:c r="V200" s="1" t="str"/>
      <x:c r="W200" s="1" t="str"/>
      <x:c r="X200" s="1" t="str">
        <x:v>false</x:v>
      </x:c>
      <x:c r="Y200" s="1" t="str">
        <x:v>false</x:v>
      </x:c>
      <x:c r="Z200" s="1" t="str">
        <x:v>[]</x:v>
      </x:c>
    </x:row>
    <x:row r="201" ht="15" hidden="0" customHeight="1">
      <x:c r="A201" s="1" t="str">
        <x:v>ocpd8x87kh</x:v>
      </x:c>
      <x:c r="B201" s="5" t="str">
        <x:v>New Construction: 4 Bed 4.5 Bath Townhomes</x:v>
      </x:c>
      <x:c r="C201" s="1" t="str">
        <x:v>1</x:v>
      </x:c>
      <x:c r="D201" s="1" t="str">
        <x:v>q2j0gkx</x:v>
      </x:c>
      <x:c r="E201" s="1" t="str"/>
      <x:c r="F201" s="1" t="n">
        <x:v>4</x:v>
      </x:c>
      <x:c r="G201" s="1" t="n">
        <x:v>4.5</x:v>
      </x:c>
      <x:c r="H201" s="1" t="n">
        <x:v>4000</x:v>
      </x:c>
      <x:c r="I201" s="1" t="n">
        <x:v>4000</x:v>
      </x:c>
      <x:c r="J201" s="1" t="str">
        <x:v>$4,000</x:v>
      </x:c>
      <x:c r="K201" s="1" t="str">
        <x:v>$4,000</x:v>
      </x:c>
      <x:c r="L201" s="1" t="str">
        <x:v>false</x:v>
      </x:c>
      <x:c r="M201" s="1" t="str">
        <x:v>2,100 sq. ft.</x:v>
      </x:c>
      <x:c r="N201" s="1" t="n">
        <x:v>1</x:v>
      </x:c>
      <x:c r="O201" s="1" t="str">
        <x:v>AvailableNow</x:v>
      </x:c>
      <x:c r="P201" s="1" t="str">
        <x:v>Rentals Available</x:v>
      </x:c>
      <x:c r="Q201" s="1" t="n">
        <x:v>46174.99998842592</x:v>
      </x:c>
      <x:c r="R201" s="1" t="str"/>
      <x:c r="S201" s="1" t="str"/>
      <x:c r="T201" s="1" t="str">
        <x:v>N/A</x:v>
      </x:c>
      <x:c r="U201" s="1" t="str">
        <x:v>N/A</x:v>
      </x:c>
      <x:c r="V201" s="1" t="str">
        <x:v>4</x:v>
      </x:c>
      <x:c r="W201" s="1" t="str"/>
      <x:c r="X201" s="1" t="str">
        <x:v>false</x:v>
      </x:c>
      <x:c r="Y201" s="1" t="str">
        <x:v>false</x:v>
      </x:c>
      <x:c r="Z201" s="1" t="str">
        <x:v>[]</x:v>
      </x:c>
    </x:row>
    <x:row r="202" ht="15" hidden="0" customHeight="1">
      <x:c r="A202" s="1" t="str">
        <x:v>v534e5d</x:v>
      </x:c>
      <x:c r="B202" s="5" t="str">
        <x:v>Kensington Park</x:v>
      </x:c>
      <x:c r="C202" s="1" t="str">
        <x:v>1043037</x:v>
      </x:c>
      <x:c r="D202" s="1" t="str">
        <x:v>zkse8jy</x:v>
      </x:c>
      <x:c r="E202" s="1" t="str">
        <x:v>K1A</x:v>
      </x:c>
      <x:c r="F202" s="1" t="n">
        <x:v>1</x:v>
      </x:c>
      <x:c r="G202" s="1" t="n">
        <x:v>1</x:v>
      </x:c>
      <x:c r="H202" s="1" t="n">
        <x:v>1185</x:v>
      </x:c>
      <x:c r="I202" s="1" t="n">
        <x:v>1215</x:v>
      </x:c>
      <x:c r="J202" s="1" t="str">
        <x:v>$1,185 - $1,215</x:v>
      </x:c>
      <x:c r="K202" s="1" t="str">
        <x:v>$1,185 - $1,215</x:v>
      </x:c>
      <x:c r="L202" s="1" t="str">
        <x:v>false</x:v>
      </x:c>
      <x:c r="M202" s="1" t="str">
        <x:v>870 sq. ft.</x:v>
      </x:c>
      <x:c r="N202" s="1" t="n">
        <x:v>1</x:v>
      </x:c>
      <x:c r="O202" s="1" t="str">
        <x:v>AvailableNow</x:v>
      </x:c>
      <x:c r="P202" s="1" t="str">
        <x:v>Rentals Available</x:v>
      </x:c>
      <x:c r="Q202" s="1" t="n">
        <x:v>46235.99998842592</x:v>
      </x:c>
      <x:c r="R202" s="1" t="str"/>
      <x:c r="S202" s="1" t="str"/>
      <x:c r="T202" s="1" t="str"/>
      <x:c r="U202" s="1" t="str"/>
      <x:c r="V202" s="1" t="str"/>
      <x:c r="W202" s="1" t="str"/>
      <x:c r="X202" s="1" t="str">
        <x:v>false</x:v>
      </x:c>
      <x:c r="Y202" s="1" t="str">
        <x:v>false</x:v>
      </x:c>
      <x:c r="Z202" s="1" t="str">
        <x:v>[]</x:v>
      </x:c>
    </x:row>
    <x:row r="203" ht="15" hidden="0" customHeight="1">
      <x:c r="A203" s="1" t="str">
        <x:v>v534e5d</x:v>
      </x:c>
      <x:c r="B203" s="5" t="str">
        <x:v>Kensington Park</x:v>
      </x:c>
      <x:c r="C203" s="1" t="str">
        <x:v>1043036</x:v>
      </x:c>
      <x:c r="D203" s="1" t="str">
        <x:v>0558qq2</x:v>
      </x:c>
      <x:c r="E203" s="1" t="str">
        <x:v>K1B</x:v>
      </x:c>
      <x:c r="F203" s="1" t="n">
        <x:v>1</x:v>
      </x:c>
      <x:c r="G203" s="1" t="n">
        <x:v>1</x:v>
      </x:c>
      <x:c r="H203" s="1" t="n">
        <x:v>1175</x:v>
      </x:c>
      <x:c r="I203" s="1" t="n">
        <x:v>1175</x:v>
      </x:c>
      <x:c r="J203" s="1" t="str">
        <x:v>$1,175</x:v>
      </x:c>
      <x:c r="K203" s="1" t="str">
        <x:v>$1,175</x:v>
      </x:c>
      <x:c r="L203" s="1" t="str">
        <x:v>false</x:v>
      </x:c>
      <x:c r="M203" s="1" t="str">
        <x:v>780 sq. ft.</x:v>
      </x:c>
      <x:c r="N203" s="1" t="n">
        <x:v>0</x:v>
      </x:c>
      <x:c r="O203" s="1" t="str">
        <x:v>AvailableSoon</x:v>
      </x:c>
      <x:c r="P203" s="1" t="str">
        <x:v>Available Soon</x:v>
      </x:c>
      <x:c r="Q203" s="1" t="str"/>
      <x:c r="R203" s="1" t="str"/>
      <x:c r="S203" s="1" t="str"/>
      <x:c r="T203" s="1" t="str"/>
      <x:c r="U203" s="1" t="str"/>
      <x:c r="V203" s="1" t="str"/>
      <x:c r="W203" s="1" t="str"/>
      <x:c r="X203" s="1" t="str">
        <x:v>false</x:v>
      </x:c>
      <x:c r="Y203" s="1" t="str">
        <x:v>false</x:v>
      </x:c>
      <x:c r="Z203" s="1" t="str">
        <x:v>[]</x:v>
      </x:c>
    </x:row>
    <x:row r="204" ht="15" hidden="0" customHeight="1">
      <x:c r="A204" s="1" t="str">
        <x:v>v534e5d</x:v>
      </x:c>
      <x:c r="B204" s="5" t="str">
        <x:v>Kensington Park</x:v>
      </x:c>
      <x:c r="C204" s="1" t="str">
        <x:v>1043038</x:v>
      </x:c>
      <x:c r="D204" s="1" t="str">
        <x:v>ghlxbez</x:v>
      </x:c>
      <x:c r="E204" s="1" t="str">
        <x:v>K1C</x:v>
      </x:c>
      <x:c r="F204" s="1" t="n">
        <x:v>1</x:v>
      </x:c>
      <x:c r="G204" s="1" t="n">
        <x:v>1</x:v>
      </x:c>
      <x:c r="H204" s="1" t="n">
        <x:v>1205</x:v>
      </x:c>
      <x:c r="I204" s="1" t="n">
        <x:v>1205</x:v>
      </x:c>
      <x:c r="J204" s="1" t="str">
        <x:v>$1,205</x:v>
      </x:c>
      <x:c r="K204" s="1" t="str">
        <x:v>$1,205</x:v>
      </x:c>
      <x:c r="L204" s="1" t="str">
        <x:v>false</x:v>
      </x:c>
      <x:c r="M204" s="1" t="str">
        <x:v>890 sq. ft.</x:v>
      </x:c>
      <x:c r="N204" s="1" t="n">
        <x:v>0</x:v>
      </x:c>
      <x:c r="O204" s="1" t="str">
        <x:v>AvailableSoon</x:v>
      </x:c>
      <x:c r="P204" s="1" t="str">
        <x:v>Available Soon</x:v>
      </x:c>
      <x:c r="Q204" s="1" t="str"/>
      <x:c r="R204" s="1" t="str"/>
      <x:c r="S204" s="1" t="str"/>
      <x:c r="T204" s="1" t="str"/>
      <x:c r="U204" s="1" t="str"/>
      <x:c r="V204" s="1" t="str"/>
      <x:c r="W204" s="1" t="str"/>
      <x:c r="X204" s="1" t="str">
        <x:v>false</x:v>
      </x:c>
      <x:c r="Y204" s="1" t="str">
        <x:v>false</x:v>
      </x:c>
      <x:c r="Z204" s="1" t="str">
        <x:v>[]</x:v>
      </x:c>
    </x:row>
    <x:row r="205" ht="15" hidden="0" customHeight="1">
      <x:c r="A205" s="1" t="str">
        <x:v>v534e5d</x:v>
      </x:c>
      <x:c r="B205" s="5" t="str">
        <x:v>Kensington Park</x:v>
      </x:c>
      <x:c r="C205" s="1" t="str">
        <x:v>1043039</x:v>
      </x:c>
      <x:c r="D205" s="1" t="str">
        <x:v>mlzwj8h</x:v>
      </x:c>
      <x:c r="E205" s="1" t="str">
        <x:v>K1D</x:v>
      </x:c>
      <x:c r="F205" s="1" t="n">
        <x:v>1</x:v>
      </x:c>
      <x:c r="G205" s="1" t="n">
        <x:v>1</x:v>
      </x:c>
      <x:c r="H205" s="1" t="n">
        <x:v>1225</x:v>
      </x:c>
      <x:c r="I205" s="1" t="n">
        <x:v>1225</x:v>
      </x:c>
      <x:c r="J205" s="1" t="str">
        <x:v>$1,225</x:v>
      </x:c>
      <x:c r="K205" s="1" t="str">
        <x:v>$1,225</x:v>
      </x:c>
      <x:c r="L205" s="1" t="str">
        <x:v>false</x:v>
      </x:c>
      <x:c r="M205" s="1" t="str">
        <x:v>960 sq. ft.</x:v>
      </x:c>
      <x:c r="N205" s="1" t="n">
        <x:v>0</x:v>
      </x:c>
      <x:c r="O205" s="1" t="str">
        <x:v>AvailableSoon</x:v>
      </x:c>
      <x:c r="P205" s="1" t="str">
        <x:v>Available Soon</x:v>
      </x:c>
      <x:c r="Q205" s="1" t="str"/>
      <x:c r="R205" s="1" t="str"/>
      <x:c r="S205" s="1" t="str"/>
      <x:c r="T205" s="1" t="str"/>
      <x:c r="U205" s="1" t="str"/>
      <x:c r="V205" s="1" t="str"/>
      <x:c r="W205" s="1" t="str"/>
      <x:c r="X205" s="1" t="str">
        <x:v>false</x:v>
      </x:c>
      <x:c r="Y205" s="1" t="str">
        <x:v>false</x:v>
      </x:c>
      <x:c r="Z205" s="1" t="str">
        <x:v>[]</x:v>
      </x:c>
    </x:row>
    <x:row r="206" ht="15" hidden="0" customHeight="1">
      <x:c r="A206" s="1" t="str">
        <x:v>v534e5d</x:v>
      </x:c>
      <x:c r="B206" s="5" t="str">
        <x:v>Kensington Park</x:v>
      </x:c>
      <x:c r="C206" s="1" t="str">
        <x:v>1043040</x:v>
      </x:c>
      <x:c r="D206" s="1" t="str">
        <x:v>se5czv4</x:v>
      </x:c>
      <x:c r="E206" s="1" t="str">
        <x:v>K2F</x:v>
      </x:c>
      <x:c r="F206" s="1" t="n">
        <x:v>2</x:v>
      </x:c>
      <x:c r="G206" s="1" t="n">
        <x:v>1</x:v>
      </x:c>
      <x:c r="H206" s="1" t="n">
        <x:v>1335</x:v>
      </x:c>
      <x:c r="I206" s="1" t="n">
        <x:v>1335</x:v>
      </x:c>
      <x:c r="J206" s="1" t="str">
        <x:v>$1,335</x:v>
      </x:c>
      <x:c r="K206" s="1" t="str">
        <x:v>$1,335</x:v>
      </x:c>
      <x:c r="L206" s="1" t="str">
        <x:v>false</x:v>
      </x:c>
      <x:c r="M206" s="1" t="str">
        <x:v>960 sq. ft.</x:v>
      </x:c>
      <x:c r="N206" s="1" t="n">
        <x:v>0</x:v>
      </x:c>
      <x:c r="O206" s="1" t="str">
        <x:v>AvailableSoon</x:v>
      </x:c>
      <x:c r="P206" s="1" t="str">
        <x:v>Available Soon</x:v>
      </x:c>
      <x:c r="Q206" s="1" t="str"/>
      <x:c r="R206" s="1" t="str"/>
      <x:c r="S206" s="1" t="str"/>
      <x:c r="T206" s="1" t="str"/>
      <x:c r="U206" s="1" t="str"/>
      <x:c r="V206" s="1" t="str"/>
      <x:c r="W206" s="1" t="str"/>
      <x:c r="X206" s="1" t="str">
        <x:v>false</x:v>
      </x:c>
      <x:c r="Y206" s="1" t="str">
        <x:v>false</x:v>
      </x:c>
      <x:c r="Z206" s="1" t="str">
        <x:v>[]</x:v>
      </x:c>
    </x:row>
    <x:row r="207" ht="15" hidden="0" customHeight="1">
      <x:c r="A207" s="1" t="str">
        <x:v>v534e5d</x:v>
      </x:c>
      <x:c r="B207" s="5" t="str">
        <x:v>Kensington Park</x:v>
      </x:c>
      <x:c r="C207" s="1" t="str">
        <x:v>1043041</x:v>
      </x:c>
      <x:c r="D207" s="1" t="str">
        <x:v>2cxb168</x:v>
      </x:c>
      <x:c r="E207" s="1" t="str">
        <x:v>K2B</x:v>
      </x:c>
      <x:c r="F207" s="1" t="n">
        <x:v>2</x:v>
      </x:c>
      <x:c r="G207" s="1" t="n">
        <x:v>1</x:v>
      </x:c>
      <x:c r="H207" s="1" t="n">
        <x:v>1345</x:v>
      </x:c>
      <x:c r="I207" s="1" t="n">
        <x:v>1345</x:v>
      </x:c>
      <x:c r="J207" s="1" t="str">
        <x:v>$1,345</x:v>
      </x:c>
      <x:c r="K207" s="1" t="str">
        <x:v>$1,345</x:v>
      </x:c>
      <x:c r="L207" s="1" t="str">
        <x:v>false</x:v>
      </x:c>
      <x:c r="M207" s="1" t="str">
        <x:v>990 sq. ft.</x:v>
      </x:c>
      <x:c r="N207" s="1" t="n">
        <x:v>0</x:v>
      </x:c>
      <x:c r="O207" s="1" t="str">
        <x:v>AvailableSoon</x:v>
      </x:c>
      <x:c r="P207" s="1" t="str">
        <x:v>Available Soon</x:v>
      </x:c>
      <x:c r="Q207" s="1" t="str"/>
      <x:c r="R207" s="1" t="str"/>
      <x:c r="S207" s="1" t="str"/>
      <x:c r="T207" s="1" t="str"/>
      <x:c r="U207" s="1" t="str"/>
      <x:c r="V207" s="1" t="str"/>
      <x:c r="W207" s="1" t="str"/>
      <x:c r="X207" s="1" t="str">
        <x:v>false</x:v>
      </x:c>
      <x:c r="Y207" s="1" t="str">
        <x:v>false</x:v>
      </x:c>
      <x:c r="Z207" s="1" t="str">
        <x:v>[]</x:v>
      </x:c>
    </x:row>
    <x:row r="208" ht="15" hidden="0" customHeight="1">
      <x:c r="A208" s="1" t="str">
        <x:v>v534e5d</x:v>
      </x:c>
      <x:c r="B208" s="5" t="str">
        <x:v>Kensington Park</x:v>
      </x:c>
      <x:c r="C208" s="1" t="str">
        <x:v>1043043</x:v>
      </x:c>
      <x:c r="D208" s="1" t="str">
        <x:v>kczt1b8</x:v>
      </x:c>
      <x:c r="E208" s="1" t="str">
        <x:v>K2A</x:v>
      </x:c>
      <x:c r="F208" s="1" t="n">
        <x:v>2</x:v>
      </x:c>
      <x:c r="G208" s="1" t="n">
        <x:v>1</x:v>
      </x:c>
      <x:c r="H208" s="1" t="n">
        <x:v>1375</x:v>
      </x:c>
      <x:c r="I208" s="1" t="n">
        <x:v>1375</x:v>
      </x:c>
      <x:c r="J208" s="1" t="str">
        <x:v>$1,375</x:v>
      </x:c>
      <x:c r="K208" s="1" t="str">
        <x:v>$1,375</x:v>
      </x:c>
      <x:c r="L208" s="1" t="str">
        <x:v>false</x:v>
      </x:c>
      <x:c r="M208" s="1" t="str">
        <x:v>1,090 sq. ft.</x:v>
      </x:c>
      <x:c r="N208" s="1" t="n">
        <x:v>0</x:v>
      </x:c>
      <x:c r="O208" s="1" t="str">
        <x:v>AvailableSoon</x:v>
      </x:c>
      <x:c r="P208" s="1" t="str">
        <x:v>Available Soon</x:v>
      </x:c>
      <x:c r="Q208" s="1" t="str"/>
      <x:c r="R208" s="1" t="str"/>
      <x:c r="S208" s="1" t="str"/>
      <x:c r="T208" s="1" t="str"/>
      <x:c r="U208" s="1" t="str"/>
      <x:c r="V208" s="1" t="str"/>
      <x:c r="W208" s="1" t="str"/>
      <x:c r="X208" s="1" t="str">
        <x:v>false</x:v>
      </x:c>
      <x:c r="Y208" s="1" t="str">
        <x:v>false</x:v>
      </x:c>
      <x:c r="Z208" s="1" t="str">
        <x:v>[]</x:v>
      </x:c>
    </x:row>
    <x:row r="209" ht="15" hidden="0" customHeight="1">
      <x:c r="A209" s="1" t="str">
        <x:v>v534e5d</x:v>
      </x:c>
      <x:c r="B209" s="5" t="str">
        <x:v>Kensington Park</x:v>
      </x:c>
      <x:c r="C209" s="1" t="str">
        <x:v>1043042</x:v>
      </x:c>
      <x:c r="D209" s="1" t="str">
        <x:v>v1n9ctg</x:v>
      </x:c>
      <x:c r="E209" s="1" t="str">
        <x:v>K2D</x:v>
      </x:c>
      <x:c r="F209" s="1" t="n">
        <x:v>2</x:v>
      </x:c>
      <x:c r="G209" s="1" t="n">
        <x:v>1</x:v>
      </x:c>
      <x:c r="H209" s="1" t="n">
        <x:v>1385</x:v>
      </x:c>
      <x:c r="I209" s="1" t="n">
        <x:v>1385</x:v>
      </x:c>
      <x:c r="J209" s="1" t="str">
        <x:v>$1,385</x:v>
      </x:c>
      <x:c r="K209" s="1" t="str">
        <x:v>$1,385</x:v>
      </x:c>
      <x:c r="L209" s="1" t="str">
        <x:v>false</x:v>
      </x:c>
      <x:c r="M209" s="1" t="str">
        <x:v>1,085 sq. ft.</x:v>
      </x:c>
      <x:c r="N209" s="1" t="n">
        <x:v>0</x:v>
      </x:c>
      <x:c r="O209" s="1" t="str">
        <x:v>AvailableSoon</x:v>
      </x:c>
      <x:c r="P209" s="1" t="str">
        <x:v>Available Soon</x:v>
      </x:c>
      <x:c r="Q209" s="1" t="str"/>
      <x:c r="R209" s="1" t="str"/>
      <x:c r="S209" s="1" t="str"/>
      <x:c r="T209" s="1" t="str"/>
      <x:c r="U209" s="1" t="str"/>
      <x:c r="V209" s="1" t="str"/>
      <x:c r="W209" s="1" t="str"/>
      <x:c r="X209" s="1" t="str">
        <x:v>false</x:v>
      </x:c>
      <x:c r="Y209" s="1" t="str">
        <x:v>false</x:v>
      </x:c>
      <x:c r="Z209" s="1" t="str">
        <x:v>[]</x:v>
      </x:c>
    </x:row>
    <x:row r="210" ht="15" hidden="0" customHeight="1">
      <x:c r="A210" s="1" t="str">
        <x:v>v534e5d</x:v>
      </x:c>
      <x:c r="B210" s="5" t="str">
        <x:v>Kensington Park</x:v>
      </x:c>
      <x:c r="C210" s="1" t="str">
        <x:v>1043044</x:v>
      </x:c>
      <x:c r="D210" s="1" t="str">
        <x:v>scxcsc6</x:v>
      </x:c>
      <x:c r="E210" s="1" t="str">
        <x:v>K2C</x:v>
      </x:c>
      <x:c r="F210" s="1" t="n">
        <x:v>2</x:v>
      </x:c>
      <x:c r="G210" s="1" t="n">
        <x:v>1.5</x:v>
      </x:c>
      <x:c r="H210" s="1" t="n">
        <x:v>1395</x:v>
      </x:c>
      <x:c r="I210" s="1" t="n">
        <x:v>1395</x:v>
      </x:c>
      <x:c r="J210" s="1" t="str">
        <x:v>$1,395</x:v>
      </x:c>
      <x:c r="K210" s="1" t="str">
        <x:v>$1,395</x:v>
      </x:c>
      <x:c r="L210" s="1" t="str">
        <x:v>false</x:v>
      </x:c>
      <x:c r="M210" s="1" t="str">
        <x:v>1,085 sq. ft.</x:v>
      </x:c>
      <x:c r="N210" s="1" t="n">
        <x:v>0</x:v>
      </x:c>
      <x:c r="O210" s="1" t="str">
        <x:v>AvailableSoon</x:v>
      </x:c>
      <x:c r="P210" s="1" t="str">
        <x:v>Available Soon</x:v>
      </x:c>
      <x:c r="Q210" s="1" t="str"/>
      <x:c r="R210" s="1" t="str"/>
      <x:c r="S210" s="1" t="str"/>
      <x:c r="T210" s="1" t="str"/>
      <x:c r="U210" s="1" t="str"/>
      <x:c r="V210" s="1" t="str"/>
      <x:c r="W210" s="1" t="str"/>
      <x:c r="X210" s="1" t="str">
        <x:v>false</x:v>
      </x:c>
      <x:c r="Y210" s="1" t="str">
        <x:v>false</x:v>
      </x:c>
      <x:c r="Z210" s="1" t="str">
        <x:v>[]</x:v>
      </x:c>
    </x:row>
    <x:row r="211" ht="15" hidden="0" customHeight="1">
      <x:c r="A211" s="1" t="str">
        <x:v>v534e5d</x:v>
      </x:c>
      <x:c r="B211" s="5" t="str">
        <x:v>Kensington Park</x:v>
      </x:c>
      <x:c r="C211" s="1" t="str">
        <x:v>1043045</x:v>
      </x:c>
      <x:c r="D211" s="1" t="str">
        <x:v>01n8lq1</x:v>
      </x:c>
      <x:c r="E211" s="1" t="str">
        <x:v>K2E</x:v>
      </x:c>
      <x:c r="F211" s="1" t="n">
        <x:v>2</x:v>
      </x:c>
      <x:c r="G211" s="1" t="n">
        <x:v>2</x:v>
      </x:c>
      <x:c r="H211" s="1" t="n">
        <x:v>1575</x:v>
      </x:c>
      <x:c r="I211" s="1" t="n">
        <x:v>1575</x:v>
      </x:c>
      <x:c r="J211" s="1" t="str">
        <x:v>$1,575</x:v>
      </x:c>
      <x:c r="K211" s="1" t="str">
        <x:v>$1,575</x:v>
      </x:c>
      <x:c r="L211" s="1" t="str">
        <x:v>false</x:v>
      </x:c>
      <x:c r="M211" s="1" t="str">
        <x:v>1,065 sq. ft.</x:v>
      </x:c>
      <x:c r="N211" s="1" t="n">
        <x:v>0</x:v>
      </x:c>
      <x:c r="O211" s="1" t="str">
        <x:v>AvailableSoon</x:v>
      </x:c>
      <x:c r="P211" s="1" t="str">
        <x:v>Available Soon</x:v>
      </x:c>
      <x:c r="Q211" s="1" t="str"/>
      <x:c r="R211" s="1" t="str"/>
      <x:c r="S211" s="1" t="str"/>
      <x:c r="T211" s="1" t="str"/>
      <x:c r="U211" s="1" t="str"/>
      <x:c r="V211" s="1" t="str"/>
      <x:c r="W211" s="1" t="str"/>
      <x:c r="X211" s="1" t="str">
        <x:v>false</x:v>
      </x:c>
      <x:c r="Y211" s="1" t="str">
        <x:v>false</x:v>
      </x:c>
      <x:c r="Z211" s="1" t="str">
        <x:v>[]</x:v>
      </x:c>
    </x:row>
    <x:row r="212" ht="15" hidden="0" customHeight="1">
      <x:c r="A212" s="1" t="str">
        <x:v>v534e5d</x:v>
      </x:c>
      <x:c r="B212" s="5" t="str">
        <x:v>Kensington Park</x:v>
      </x:c>
      <x:c r="C212" s="1" t="str">
        <x:v>1043047</x:v>
      </x:c>
      <x:c r="D212" s="1" t="str">
        <x:v>zjnecsz</x:v>
      </x:c>
      <x:c r="E212" s="1" t="str">
        <x:v>K3C</x:v>
      </x:c>
      <x:c r="F212" s="1" t="n">
        <x:v>3</x:v>
      </x:c>
      <x:c r="G212" s="1" t="n">
        <x:v>1.5</x:v>
      </x:c>
      <x:c r="H212" s="1" t="n">
        <x:v>1745</x:v>
      </x:c>
      <x:c r="I212" s="1" t="n">
        <x:v>1745</x:v>
      </x:c>
      <x:c r="J212" s="1" t="str">
        <x:v>$1,745</x:v>
      </x:c>
      <x:c r="K212" s="1" t="str">
        <x:v>$1,745</x:v>
      </x:c>
      <x:c r="L212" s="1" t="str">
        <x:v>false</x:v>
      </x:c>
      <x:c r="M212" s="1" t="str">
        <x:v>1,190 sq. ft.</x:v>
      </x:c>
      <x:c r="N212" s="1" t="n">
        <x:v>0</x:v>
      </x:c>
      <x:c r="O212" s="1" t="str">
        <x:v>AvailableSoon</x:v>
      </x:c>
      <x:c r="P212" s="1" t="str">
        <x:v>Available Soon</x:v>
      </x:c>
      <x:c r="Q212" s="1" t="str"/>
      <x:c r="R212" s="1" t="str"/>
      <x:c r="S212" s="1" t="str"/>
      <x:c r="T212" s="1" t="str"/>
      <x:c r="U212" s="1" t="str"/>
      <x:c r="V212" s="1" t="str"/>
      <x:c r="W212" s="1" t="str"/>
      <x:c r="X212" s="1" t="str">
        <x:v>false</x:v>
      </x:c>
      <x:c r="Y212" s="1" t="str">
        <x:v>false</x:v>
      </x:c>
      <x:c r="Z212" s="1" t="str">
        <x:v>[]</x:v>
      </x:c>
    </x:row>
    <x:row r="213" ht="15" hidden="0" customHeight="1">
      <x:c r="A213" s="1" t="str">
        <x:v>v534e5d</x:v>
      </x:c>
      <x:c r="B213" s="5" t="str">
        <x:v>Kensington Park</x:v>
      </x:c>
      <x:c r="C213" s="1" t="str">
        <x:v>1043048</x:v>
      </x:c>
      <x:c r="D213" s="1" t="str">
        <x:v>nw07y6m</x:v>
      </x:c>
      <x:c r="E213" s="1" t="str">
        <x:v>K3F</x:v>
      </x:c>
      <x:c r="F213" s="1" t="n">
        <x:v>3</x:v>
      </x:c>
      <x:c r="G213" s="1" t="n">
        <x:v>2</x:v>
      </x:c>
      <x:c r="H213" s="1" t="n">
        <x:v>1725</x:v>
      </x:c>
      <x:c r="I213" s="1" t="n">
        <x:v>1725</x:v>
      </x:c>
      <x:c r="J213" s="1" t="str">
        <x:v>$1,725</x:v>
      </x:c>
      <x:c r="K213" s="1" t="str">
        <x:v>$1,725</x:v>
      </x:c>
      <x:c r="L213" s="1" t="str">
        <x:v>false</x:v>
      </x:c>
      <x:c r="M213" s="1" t="str">
        <x:v>1,065 sq. ft.</x:v>
      </x:c>
      <x:c r="N213" s="1" t="n">
        <x:v>0</x:v>
      </x:c>
      <x:c r="O213" s="1" t="str">
        <x:v>AvailableSoon</x:v>
      </x:c>
      <x:c r="P213" s="1" t="str">
        <x:v>Available Soon</x:v>
      </x:c>
      <x:c r="Q213" s="1" t="str"/>
      <x:c r="R213" s="1" t="str"/>
      <x:c r="S213" s="1" t="str"/>
      <x:c r="T213" s="1" t="str"/>
      <x:c r="U213" s="1" t="str"/>
      <x:c r="V213" s="1" t="str"/>
      <x:c r="W213" s="1" t="str"/>
      <x:c r="X213" s="1" t="str">
        <x:v>false</x:v>
      </x:c>
      <x:c r="Y213" s="1" t="str">
        <x:v>false</x:v>
      </x:c>
      <x:c r="Z213" s="1" t="str">
        <x:v>[]</x:v>
      </x:c>
    </x:row>
    <x:row r="214" ht="15" hidden="0" customHeight="1">
      <x:c r="A214" s="1" t="str">
        <x:v>v534e5d</x:v>
      </x:c>
      <x:c r="B214" s="5" t="str">
        <x:v>Kensington Park</x:v>
      </x:c>
      <x:c r="C214" s="1" t="str">
        <x:v>1043050</x:v>
      </x:c>
      <x:c r="D214" s="1" t="str">
        <x:v>fw066ct</x:v>
      </x:c>
      <x:c r="E214" s="1" t="str">
        <x:v>K3B</x:v>
      </x:c>
      <x:c r="F214" s="1" t="n">
        <x:v>3</x:v>
      </x:c>
      <x:c r="G214" s="1" t="n">
        <x:v>2</x:v>
      </x:c>
      <x:c r="H214" s="1" t="n">
        <x:v>1845</x:v>
      </x:c>
      <x:c r="I214" s="1" t="n">
        <x:v>1845</x:v>
      </x:c>
      <x:c r="J214" s="1" t="str">
        <x:v>$1,845</x:v>
      </x:c>
      <x:c r="K214" s="1" t="str">
        <x:v>$1,845</x:v>
      </x:c>
      <x:c r="L214" s="1" t="str">
        <x:v>false</x:v>
      </x:c>
      <x:c r="M214" s="1" t="str">
        <x:v>1,325 sq. ft.</x:v>
      </x:c>
      <x:c r="N214" s="1" t="n">
        <x:v>0</x:v>
      </x:c>
      <x:c r="O214" s="1" t="str">
        <x:v>AvailableSoon</x:v>
      </x:c>
      <x:c r="P214" s="1" t="str">
        <x:v>Available Soon</x:v>
      </x:c>
      <x:c r="Q214" s="1" t="str"/>
      <x:c r="R214" s="1" t="str"/>
      <x:c r="S214" s="1" t="str"/>
      <x:c r="T214" s="1" t="str"/>
      <x:c r="U214" s="1" t="str"/>
      <x:c r="V214" s="1" t="str"/>
      <x:c r="W214" s="1" t="str"/>
      <x:c r="X214" s="1" t="str">
        <x:v>false</x:v>
      </x:c>
      <x:c r="Y214" s="1" t="str">
        <x:v>false</x:v>
      </x:c>
      <x:c r="Z214" s="1" t="str">
        <x:v>[]</x:v>
      </x:c>
    </x:row>
    <x:row r="215" ht="15" hidden="0" customHeight="1">
      <x:c r="A215" s="1" t="str">
        <x:v>v534e5d</x:v>
      </x:c>
      <x:c r="B215" s="5" t="str">
        <x:v>Kensington Park</x:v>
      </x:c>
      <x:c r="C215" s="1" t="str">
        <x:v>1043051</x:v>
      </x:c>
      <x:c r="D215" s="1" t="str">
        <x:v>l7d1ede</x:v>
      </x:c>
      <x:c r="E215" s="1" t="str">
        <x:v>K3A</x:v>
      </x:c>
      <x:c r="F215" s="1" t="n">
        <x:v>3</x:v>
      </x:c>
      <x:c r="G215" s="1" t="n">
        <x:v>2</x:v>
      </x:c>
      <x:c r="H215" s="1" t="n">
        <x:v>1845</x:v>
      </x:c>
      <x:c r="I215" s="1" t="n">
        <x:v>1845</x:v>
      </x:c>
      <x:c r="J215" s="1" t="str">
        <x:v>$1,845</x:v>
      </x:c>
      <x:c r="K215" s="1" t="str">
        <x:v>$1,845</x:v>
      </x:c>
      <x:c r="L215" s="1" t="str">
        <x:v>false</x:v>
      </x:c>
      <x:c r="M215" s="1" t="str">
        <x:v>1,325 sq. ft.</x:v>
      </x:c>
      <x:c r="N215" s="1" t="n">
        <x:v>0</x:v>
      </x:c>
      <x:c r="O215" s="1" t="str">
        <x:v>AvailableSoon</x:v>
      </x:c>
      <x:c r="P215" s="1" t="str">
        <x:v>Available Soon</x:v>
      </x:c>
      <x:c r="Q215" s="1" t="str"/>
      <x:c r="R215" s="1" t="str"/>
      <x:c r="S215" s="1" t="str"/>
      <x:c r="T215" s="1" t="str"/>
      <x:c r="U215" s="1" t="str"/>
      <x:c r="V215" s="1" t="str"/>
      <x:c r="W215" s="1" t="str"/>
      <x:c r="X215" s="1" t="str">
        <x:v>false</x:v>
      </x:c>
      <x:c r="Y215" s="1" t="str">
        <x:v>false</x:v>
      </x:c>
      <x:c r="Z215" s="1" t="str">
        <x:v>[]</x:v>
      </x:c>
    </x:row>
    <x:row r="216" ht="15" hidden="0" customHeight="1">
      <x:c r="A216" s="1" t="str">
        <x:v>v534e5d</x:v>
      </x:c>
      <x:c r="B216" s="5" t="str">
        <x:v>Kensington Park</x:v>
      </x:c>
      <x:c r="C216" s="1" t="str">
        <x:v>5766602</x:v>
      </x:c>
      <x:c r="D216" s="1" t="str">
        <x:v>5htmt9n</x:v>
      </x:c>
      <x:c r="E216" s="1" t="str">
        <x:v>K3D</x:v>
      </x:c>
      <x:c r="F216" s="1" t="n">
        <x:v>3</x:v>
      </x:c>
      <x:c r="G216" s="1" t="n">
        <x:v>2</x:v>
      </x:c>
      <x:c r="H216" s="1" t="n">
        <x:v>1945</x:v>
      </x:c>
      <x:c r="I216" s="1" t="n">
        <x:v>1945</x:v>
      </x:c>
      <x:c r="J216" s="1" t="str">
        <x:v>$1,945</x:v>
      </x:c>
      <x:c r="K216" s="1" t="str">
        <x:v>$1,945</x:v>
      </x:c>
      <x:c r="L216" s="1" t="str">
        <x:v>false</x:v>
      </x:c>
      <x:c r="M216" s="1" t="str">
        <x:v>1,525 sq. ft.</x:v>
      </x:c>
      <x:c r="N216" s="1" t="n">
        <x:v>0</x:v>
      </x:c>
      <x:c r="O216" s="1" t="str">
        <x:v>AvailableSoon</x:v>
      </x:c>
      <x:c r="P216" s="1" t="str">
        <x:v>Available Soon</x:v>
      </x:c>
      <x:c r="Q216" s="1" t="str"/>
      <x:c r="R216" s="1" t="str"/>
      <x:c r="S216" s="1" t="str"/>
      <x:c r="T216" s="1" t="str"/>
      <x:c r="U216" s="1" t="str"/>
      <x:c r="V216" s="1" t="str"/>
      <x:c r="W216" s="1" t="str"/>
      <x:c r="X216" s="1" t="str">
        <x:v>false</x:v>
      </x:c>
      <x:c r="Y216" s="1" t="str">
        <x:v>false</x:v>
      </x:c>
      <x:c r="Z216" s="1" t="str">
        <x:v>[]</x:v>
      </x:c>
    </x:row>
    <x:row r="217" ht="24" hidden="0" customHeight="1">
      <x:c r="A217" s="1" t="str">
        <x:v>ocp913l1z6</x:v>
      </x:c>
      <x:c r="B217" s="5" t="str">
        <x:v>** WAITLIST for 2026-2027 ** 4 Bedroom, 4.5 Bathroom Unit Near NCSU Campus and Cup A Joe</x:v>
      </x:c>
      <x:c r="C217" s="1" t="str">
        <x:v>1</x:v>
      </x:c>
      <x:c r="D217" s="1" t="str">
        <x:v>q2j0gkx</x:v>
      </x:c>
      <x:c r="E217" s="1" t="str"/>
      <x:c r="F217" s="1" t="n">
        <x:v>4</x:v>
      </x:c>
      <x:c r="G217" s="1" t="n">
        <x:v>4.5</x:v>
      </x:c>
      <x:c r="H217" s="1" t="n">
        <x:v>4400</x:v>
      </x:c>
      <x:c r="I217" s="1" t="n">
        <x:v>4400</x:v>
      </x:c>
      <x:c r="J217" s="1" t="str">
        <x:v>$4,400</x:v>
      </x:c>
      <x:c r="K217" s="1" t="str">
        <x:v>$4,400</x:v>
      </x:c>
      <x:c r="L217" s="1" t="str">
        <x:v>false</x:v>
      </x:c>
      <x:c r="M217" s="1" t="str">
        <x:v>1,726 sq. ft.</x:v>
      </x:c>
      <x:c r="N217" s="1" t="n">
        <x:v>1</x:v>
      </x:c>
      <x:c r="O217" s="1" t="str">
        <x:v>AvailableNow</x:v>
      </x:c>
      <x:c r="P217" s="1" t="str">
        <x:v>Rentals Available</x:v>
      </x:c>
      <x:c r="Q217" s="1" t="n">
        <x:v>46180.99998842592</x:v>
      </x:c>
      <x:c r="R217" s="1" t="str"/>
      <x:c r="S217" s="1" t="str"/>
      <x:c r="T217" s="1" t="str">
        <x:v>N/A</x:v>
      </x:c>
      <x:c r="U217" s="1" t="str">
        <x:v>N/A</x:v>
      </x:c>
      <x:c r="V217" s="1" t="str">
        <x:v>4</x:v>
      </x:c>
      <x:c r="W217" s="1" t="str"/>
      <x:c r="X217" s="1" t="str">
        <x:v>false</x:v>
      </x:c>
      <x:c r="Y217" s="1" t="str">
        <x:v>false</x:v>
      </x:c>
      <x:c r="Z217" s="1" t="str">
        <x:v>[]</x:v>
      </x:c>
    </x:row>
    <x:row r="218" ht="15" hidden="0" customHeight="1">
      <x:c r="A218" s="1" t="str">
        <x:v>0zm5l03</x:v>
      </x:c>
      <x:c r="B218" s="5" t="str">
        <x:v>616 at the Village</x:v>
      </x:c>
      <x:c r="C218" s="1" t="str">
        <x:v>2365478</x:v>
      </x:c>
      <x:c r="D218" s="1" t="str">
        <x:v>p29qb9r</x:v>
      </x:c>
      <x:c r="E218" s="1" t="str">
        <x:v>S1A</x:v>
      </x:c>
      <x:c r="F218" s="1" t="n">
        <x:v>0</x:v>
      </x:c>
      <x:c r="G218" s="1" t="n">
        <x:v>1</x:v>
      </x:c>
      <x:c r="H218" s="1" t="n">
        <x:v>1675</x:v>
      </x:c>
      <x:c r="I218" s="1" t="n">
        <x:v>1675</x:v>
      </x:c>
      <x:c r="J218" s="1" t="str">
        <x:v>$1,675</x:v>
      </x:c>
      <x:c r="K218" s="1" t="str">
        <x:v>$1,712</x:v>
      </x:c>
      <x:c r="L218" s="1" t="str">
        <x:v>false</x:v>
      </x:c>
      <x:c r="M218" s="1" t="str">
        <x:v>600 sq. ft.</x:v>
      </x:c>
      <x:c r="N218" s="1" t="n">
        <x:v>1</x:v>
      </x:c>
      <x:c r="O218" s="1" t="str">
        <x:v>AvailableNow</x:v>
      </x:c>
      <x:c r="P218" s="1" t="str">
        <x:v>Rentals Available</x:v>
      </x:c>
      <x:c r="Q218" s="1" t="n">
        <x:v>46274.99998842592</x:v>
      </x:c>
      <x:c r="R218" s="1" t="str"/>
      <x:c r="S218" s="1" t="str"/>
      <x:c r="T218" s="1" t="str"/>
      <x:c r="U218" s="1" t="str"/>
      <x:c r="V218" s="1" t="str"/>
      <x:c r="W218" s="1" t="str"/>
      <x:c r="X218" s="1" t="str">
        <x:v>false</x:v>
      </x:c>
      <x:c r="Y218" s="1" t="str">
        <x:v>false</x:v>
      </x:c>
      <x:c r="Z218" s="1" t="str">
        <x:v>[]</x:v>
      </x:c>
    </x:row>
    <x:row r="219" ht="15" hidden="0" customHeight="1">
      <x:c r="A219" s="1" t="str">
        <x:v>0zm5l03</x:v>
      </x:c>
      <x:c r="B219" s="5" t="str">
        <x:v>616 at the Village</x:v>
      </x:c>
      <x:c r="C219" s="1" t="str">
        <x:v>1808397</x:v>
      </x:c>
      <x:c r="D219" s="1" t="str">
        <x:v>e81j63q</x:v>
      </x:c>
      <x:c r="E219" s="1" t="str">
        <x:v>A1B</x:v>
      </x:c>
      <x:c r="F219" s="1" t="n">
        <x:v>1</x:v>
      </x:c>
      <x:c r="G219" s="1" t="n">
        <x:v>1</x:v>
      </x:c>
      <x:c r="H219" s="1" t="n">
        <x:v>1600</x:v>
      </x:c>
      <x:c r="I219" s="1" t="n">
        <x:v>1620</x:v>
      </x:c>
      <x:c r="J219" s="1" t="str">
        <x:v>$1,600 - $1,620</x:v>
      </x:c>
      <x:c r="K219" s="1" t="str">
        <x:v>$1,637 - $1,657</x:v>
      </x:c>
      <x:c r="L219" s="1" t="str">
        <x:v>false</x:v>
      </x:c>
      <x:c r="M219" s="1" t="str">
        <x:v>690 sq. ft.</x:v>
      </x:c>
      <x:c r="N219" s="1" t="n">
        <x:v>3</x:v>
      </x:c>
      <x:c r="O219" s="1" t="str">
        <x:v>AvailableNow</x:v>
      </x:c>
      <x:c r="P219" s="1" t="str">
        <x:v>Rentals Available</x:v>
      </x:c>
      <x:c r="Q219" s="1" t="n">
        <x:v>46259.99998842592</x:v>
      </x:c>
      <x:c r="R219" s="1" t="str"/>
      <x:c r="S219" s="1" t="str"/>
      <x:c r="T219" s="1" t="str"/>
      <x:c r="U219" s="1" t="str"/>
      <x:c r="V219" s="1" t="str"/>
      <x:c r="W219" s="1" t="str"/>
      <x:c r="X219" s="1" t="str">
        <x:v>false</x:v>
      </x:c>
      <x:c r="Y219" s="1" t="str">
        <x:v>false</x:v>
      </x:c>
      <x:c r="Z219" s="1" t="str">
        <x:v>[]</x:v>
      </x:c>
    </x:row>
    <x:row r="220" ht="15" hidden="0" customHeight="1">
      <x:c r="A220" s="1" t="str">
        <x:v>0zm5l03</x:v>
      </x:c>
      <x:c r="B220" s="5" t="str">
        <x:v>616 at the Village</x:v>
      </x:c>
      <x:c r="C220" s="1" t="str">
        <x:v>1808398</x:v>
      </x:c>
      <x:c r="D220" s="1" t="str">
        <x:v>9wjn204</x:v>
      </x:c>
      <x:c r="E220" s="1" t="str">
        <x:v>A1C</x:v>
      </x:c>
      <x:c r="F220" s="1" t="n">
        <x:v>1</x:v>
      </x:c>
      <x:c r="G220" s="1" t="n">
        <x:v>1</x:v>
      </x:c>
      <x:c r="H220" s="1" t="n">
        <x:v>1652</x:v>
      </x:c>
      <x:c r="I220" s="1" t="n">
        <x:v>1740</x:v>
      </x:c>
      <x:c r="J220" s="1" t="str">
        <x:v>$1,652 - $1,740</x:v>
      </x:c>
      <x:c r="K220" s="1" t="str">
        <x:v>$1,689 - $1,777</x:v>
      </x:c>
      <x:c r="L220" s="1" t="str">
        <x:v>false</x:v>
      </x:c>
      <x:c r="M220" s="1" t="str">
        <x:v>730 sq. ft.</x:v>
      </x:c>
      <x:c r="N220" s="1" t="n">
        <x:v>2</x:v>
      </x:c>
      <x:c r="O220" s="1" t="str">
        <x:v>FutureDate</x:v>
      </x:c>
      <x:c r="P220" s="1" t="str">
        <x:v>Available Soon</x:v>
      </x:c>
      <x:c r="Q220" s="1" t="n">
        <x:v>46277.99998842592</x:v>
      </x:c>
      <x:c r="R220" s="1" t="str"/>
      <x:c r="S220" s="1" t="str"/>
      <x:c r="T220" s="1" t="str"/>
      <x:c r="U220" s="1" t="str"/>
      <x:c r="V220" s="1" t="str"/>
      <x:c r="W220" s="1" t="str"/>
      <x:c r="X220" s="1" t="str">
        <x:v>false</x:v>
      </x:c>
      <x:c r="Y220" s="1" t="str">
        <x:v>false</x:v>
      </x:c>
      <x:c r="Z220" s="1" t="str">
        <x:v>[]</x:v>
      </x:c>
    </x:row>
    <x:row r="221" ht="15" hidden="0" customHeight="1">
      <x:c r="A221" s="1" t="str">
        <x:v>0zm5l03</x:v>
      </x:c>
      <x:c r="B221" s="5" t="str">
        <x:v>616 at the Village</x:v>
      </x:c>
      <x:c r="C221" s="1" t="str">
        <x:v>2030333</x:v>
      </x:c>
      <x:c r="D221" s="1" t="str">
        <x:v>v3y847f</x:v>
      </x:c>
      <x:c r="E221" s="1" t="str">
        <x:v>A1D</x:v>
      </x:c>
      <x:c r="F221" s="1" t="n">
        <x:v>1</x:v>
      </x:c>
      <x:c r="G221" s="1" t="n">
        <x:v>1</x:v>
      </x:c>
      <x:c r="H221" s="1" t="n">
        <x:v>1684</x:v>
      </x:c>
      <x:c r="I221" s="1" t="n">
        <x:v>1684</x:v>
      </x:c>
      <x:c r="J221" s="1" t="str">
        <x:v>$1,684</x:v>
      </x:c>
      <x:c r="K221" s="1" t="str">
        <x:v>$1,721</x:v>
      </x:c>
      <x:c r="L221" s="1" t="str">
        <x:v>false</x:v>
      </x:c>
      <x:c r="M221" s="1" t="str">
        <x:v>804 sq. ft.</x:v>
      </x:c>
      <x:c r="N221" s="1" t="n">
        <x:v>1</x:v>
      </x:c>
      <x:c r="O221" s="1" t="str">
        <x:v>AvailableNow</x:v>
      </x:c>
      <x:c r="P221" s="1" t="str">
        <x:v>Rentals Available</x:v>
      </x:c>
      <x:c r="Q221" s="1" t="n">
        <x:v>46266.99998842592</x:v>
      </x:c>
      <x:c r="R221" s="1" t="str"/>
      <x:c r="S221" s="1" t="str"/>
      <x:c r="T221" s="1" t="str"/>
      <x:c r="U221" s="1" t="str"/>
      <x:c r="V221" s="1" t="str"/>
      <x:c r="W221" s="1" t="str"/>
      <x:c r="X221" s="1" t="str">
        <x:v>false</x:v>
      </x:c>
      <x:c r="Y221" s="1" t="str">
        <x:v>false</x:v>
      </x:c>
      <x:c r="Z221" s="1" t="str">
        <x:v>[]</x:v>
      </x:c>
    </x:row>
    <x:row r="222" ht="15" hidden="0" customHeight="1">
      <x:c r="A222" s="1" t="str">
        <x:v>0zm5l03</x:v>
      </x:c>
      <x:c r="B222" s="5" t="str">
        <x:v>616 at the Village</x:v>
      </x:c>
      <x:c r="C222" s="1" t="str">
        <x:v>2030335</x:v>
      </x:c>
      <x:c r="D222" s="1" t="str">
        <x:v>gqdw08x</x:v>
      </x:c>
      <x:c r="E222" s="1" t="str">
        <x:v>A1F</x:v>
      </x:c>
      <x:c r="F222" s="1" t="n">
        <x:v>1</x:v>
      </x:c>
      <x:c r="G222" s="1" t="n">
        <x:v>1</x:v>
      </x:c>
      <x:c r="H222" s="1" t="n">
        <x:v>1823</x:v>
      </x:c>
      <x:c r="I222" s="1" t="n">
        <x:v>1823</x:v>
      </x:c>
      <x:c r="J222" s="1" t="str">
        <x:v>$1,823</x:v>
      </x:c>
      <x:c r="K222" s="1" t="str">
        <x:v>$1,860</x:v>
      </x:c>
      <x:c r="L222" s="1" t="str">
        <x:v>false</x:v>
      </x:c>
      <x:c r="M222" s="1" t="str">
        <x:v>857 sq. ft.</x:v>
      </x:c>
      <x:c r="N222" s="1" t="n">
        <x:v>1</x:v>
      </x:c>
      <x:c r="O222" s="1" t="str">
        <x:v>FutureDate</x:v>
      </x:c>
      <x:c r="P222" s="1" t="str">
        <x:v>Available Soon</x:v>
      </x:c>
      <x:c r="Q222" s="1" t="n">
        <x:v>46295.99998842592</x:v>
      </x:c>
      <x:c r="R222" s="1" t="str"/>
      <x:c r="S222" s="1" t="str"/>
      <x:c r="T222" s="1" t="str"/>
      <x:c r="U222" s="1" t="str"/>
      <x:c r="V222" s="1" t="str"/>
      <x:c r="W222" s="1" t="str"/>
      <x:c r="X222" s="1" t="str">
        <x:v>false</x:v>
      </x:c>
      <x:c r="Y222" s="1" t="str">
        <x:v>false</x:v>
      </x:c>
      <x:c r="Z222" s="1" t="str">
        <x:v>[]</x:v>
      </x:c>
    </x:row>
    <x:row r="223" ht="15" hidden="0" customHeight="1">
      <x:c r="A223" s="1" t="str">
        <x:v>0zm5l03</x:v>
      </x:c>
      <x:c r="B223" s="5" t="str">
        <x:v>616 at the Village</x:v>
      </x:c>
      <x:c r="C223" s="1" t="str">
        <x:v>2030332</x:v>
      </x:c>
      <x:c r="D223" s="1" t="str">
        <x:v>pw0zcdt</x:v>
      </x:c>
      <x:c r="E223" s="1" t="str">
        <x:v>A1A</x:v>
      </x:c>
      <x:c r="F223" s="1" t="n">
        <x:v>1</x:v>
      </x:c>
      <x:c r="G223" s="1" t="n">
        <x:v>1</x:v>
      </x:c>
      <x:c r="H223" s="1" t="str"/>
      <x:c r="I223" s="1" t="str"/>
      <x:c r="J223" s="1" t="str"/>
      <x:c r="K223" s="1" t="str"/>
      <x:c r="L223" s="1" t="str">
        <x:v>false</x:v>
      </x:c>
      <x:c r="M223" s="1" t="str">
        <x:v>618 sq. ft.</x:v>
      </x:c>
      <x:c r="N223" s="1" t="n">
        <x:v>0</x:v>
      </x:c>
      <x:c r="O223" s="1" t="str">
        <x:v>AvailableSoon</x:v>
      </x:c>
      <x:c r="P223" s="1" t="str">
        <x:v>Available Soon</x:v>
      </x:c>
      <x:c r="Q223" s="1" t="str"/>
      <x:c r="R223" s="1" t="str"/>
      <x:c r="S223" s="1" t="str"/>
      <x:c r="T223" s="1" t="str"/>
      <x:c r="U223" s="1" t="str"/>
      <x:c r="V223" s="1" t="str"/>
      <x:c r="W223" s="1" t="str"/>
      <x:c r="X223" s="1" t="str">
        <x:v>false</x:v>
      </x:c>
      <x:c r="Y223" s="1" t="str">
        <x:v>false</x:v>
      </x:c>
      <x:c r="Z223" s="1" t="str">
        <x:v>[]</x:v>
      </x:c>
    </x:row>
    <x:row r="224" ht="15" hidden="0" customHeight="1">
      <x:c r="A224" s="1" t="str">
        <x:v>0zm5l03</x:v>
      </x:c>
      <x:c r="B224" s="5" t="str">
        <x:v>616 at the Village</x:v>
      </x:c>
      <x:c r="C224" s="1" t="str">
        <x:v>2030334</x:v>
      </x:c>
      <x:c r="D224" s="1" t="str">
        <x:v>mm0xvek</x:v>
      </x:c>
      <x:c r="E224" s="1" t="str">
        <x:v>A1E</x:v>
      </x:c>
      <x:c r="F224" s="1" t="n">
        <x:v>1</x:v>
      </x:c>
      <x:c r="G224" s="1" t="n">
        <x:v>1</x:v>
      </x:c>
      <x:c r="H224" s="1" t="str"/>
      <x:c r="I224" s="1" t="str"/>
      <x:c r="J224" s="1" t="str"/>
      <x:c r="K224" s="1" t="str"/>
      <x:c r="L224" s="1" t="str">
        <x:v>false</x:v>
      </x:c>
      <x:c r="M224" s="1" t="str">
        <x:v>849 sq. ft.</x:v>
      </x:c>
      <x:c r="N224" s="1" t="n">
        <x:v>0</x:v>
      </x:c>
      <x:c r="O224" s="1" t="str">
        <x:v>AvailableSoon</x:v>
      </x:c>
      <x:c r="P224" s="1" t="str">
        <x:v>Available Soon</x:v>
      </x:c>
      <x:c r="Q224" s="1" t="str"/>
      <x:c r="R224" s="1" t="str"/>
      <x:c r="S224" s="1" t="str"/>
      <x:c r="T224" s="1" t="str"/>
      <x:c r="U224" s="1" t="str"/>
      <x:c r="V224" s="1" t="str"/>
      <x:c r="W224" s="1" t="str"/>
      <x:c r="X224" s="1" t="str">
        <x:v>false</x:v>
      </x:c>
      <x:c r="Y224" s="1" t="str">
        <x:v>false</x:v>
      </x:c>
      <x:c r="Z224" s="1" t="str">
        <x:v>[]</x:v>
      </x:c>
    </x:row>
    <x:row r="225" ht="15" hidden="0" customHeight="1">
      <x:c r="A225" s="1" t="str">
        <x:v>0zm5l03</x:v>
      </x:c>
      <x:c r="B225" s="5" t="str">
        <x:v>616 at the Village</x:v>
      </x:c>
      <x:c r="C225" s="1" t="str">
        <x:v>2010136</x:v>
      </x:c>
      <x:c r="D225" s="1" t="str">
        <x:v>842dn60</x:v>
      </x:c>
      <x:c r="E225" s="1" t="str">
        <x:v>A2B</x:v>
      </x:c>
      <x:c r="F225" s="1" t="n">
        <x:v>1</x:v>
      </x:c>
      <x:c r="G225" s="1" t="n">
        <x:v>1.5</x:v>
      </x:c>
      <x:c r="H225" s="1" t="n">
        <x:v>2017</x:v>
      </x:c>
      <x:c r="I225" s="1" t="n">
        <x:v>2017</x:v>
      </x:c>
      <x:c r="J225" s="1" t="str">
        <x:v>$2,017</x:v>
      </x:c>
      <x:c r="K225" s="1" t="str">
        <x:v>$2,054</x:v>
      </x:c>
      <x:c r="L225" s="1" t="str">
        <x:v>false</x:v>
      </x:c>
      <x:c r="M225" s="1" t="str">
        <x:v>1,156 sq. ft.</x:v>
      </x:c>
      <x:c r="N225" s="1" t="n">
        <x:v>1</x:v>
      </x:c>
      <x:c r="O225" s="1" t="str">
        <x:v>FutureDate</x:v>
      </x:c>
      <x:c r="P225" s="1" t="str">
        <x:v>Available Soon</x:v>
      </x:c>
      <x:c r="Q225" s="1" t="n">
        <x:v>46330.99998842592</x:v>
      </x:c>
      <x:c r="R225" s="1" t="str"/>
      <x:c r="S225" s="1" t="str"/>
      <x:c r="T225" s="1" t="str"/>
      <x:c r="U225" s="1" t="str"/>
      <x:c r="V225" s="1" t="str"/>
      <x:c r="W225" s="1" t="str"/>
      <x:c r="X225" s="1" t="str">
        <x:v>false</x:v>
      </x:c>
      <x:c r="Y225" s="1" t="str">
        <x:v>false</x:v>
      </x:c>
      <x:c r="Z225" s="1" t="str">
        <x:v>[]</x:v>
      </x:c>
    </x:row>
    <x:row r="226" ht="15" hidden="0" customHeight="1">
      <x:c r="A226" s="1" t="str">
        <x:v>0zm5l03</x:v>
      </x:c>
      <x:c r="B226" s="5" t="str">
        <x:v>616 at the Village</x:v>
      </x:c>
      <x:c r="C226" s="1" t="str">
        <x:v>2030336</x:v>
      </x:c>
      <x:c r="D226" s="1" t="str">
        <x:v>nmnnd7q</x:v>
      </x:c>
      <x:c r="E226" s="1" t="str">
        <x:v>A2C</x:v>
      </x:c>
      <x:c r="F226" s="1" t="n">
        <x:v>1</x:v>
      </x:c>
      <x:c r="G226" s="1" t="n">
        <x:v>1.5</x:v>
      </x:c>
      <x:c r="H226" s="1" t="str"/>
      <x:c r="I226" s="1" t="str"/>
      <x:c r="J226" s="1" t="str"/>
      <x:c r="K226" s="1" t="str"/>
      <x:c r="L226" s="1" t="str">
        <x:v>false</x:v>
      </x:c>
      <x:c r="M226" s="1" t="str">
        <x:v>1,258 sq. ft.</x:v>
      </x:c>
      <x:c r="N226" s="1" t="n">
        <x:v>0</x:v>
      </x:c>
      <x:c r="O226" s="1" t="str">
        <x:v>AvailableSoon</x:v>
      </x:c>
      <x:c r="P226" s="1" t="str">
        <x:v>Available Soon</x:v>
      </x:c>
      <x:c r="Q226" s="1" t="str"/>
      <x:c r="R226" s="1" t="str"/>
      <x:c r="S226" s="1" t="str"/>
      <x:c r="T226" s="1" t="str"/>
      <x:c r="U226" s="1" t="str"/>
      <x:c r="V226" s="1" t="str"/>
      <x:c r="W226" s="1" t="str"/>
      <x:c r="X226" s="1" t="str">
        <x:v>false</x:v>
      </x:c>
      <x:c r="Y226" s="1" t="str">
        <x:v>false</x:v>
      </x:c>
      <x:c r="Z226" s="1" t="str">
        <x:v>[]</x:v>
      </x:c>
    </x:row>
    <x:row r="227" ht="15" hidden="0" customHeight="1">
      <x:c r="A227" s="1" t="str">
        <x:v>0zm5l03</x:v>
      </x:c>
      <x:c r="B227" s="5" t="str">
        <x:v>616 at the Village</x:v>
      </x:c>
      <x:c r="C227" s="1" t="str">
        <x:v>2382033</x:v>
      </x:c>
      <x:c r="D227" s="1" t="str">
        <x:v>7nw6ntw</x:v>
      </x:c>
      <x:c r="E227" s="1" t="str">
        <x:v>A2A</x:v>
      </x:c>
      <x:c r="F227" s="1" t="n">
        <x:v>1</x:v>
      </x:c>
      <x:c r="G227" s="1" t="n">
        <x:v>1.5</x:v>
      </x:c>
      <x:c r="H227" s="1" t="str"/>
      <x:c r="I227" s="1" t="str"/>
      <x:c r="J227" s="1" t="str"/>
      <x:c r="K227" s="1" t="str"/>
      <x:c r="L227" s="1" t="str">
        <x:v>false</x:v>
      </x:c>
      <x:c r="M227" s="1" t="str">
        <x:v>1,070 sq. ft.</x:v>
      </x:c>
      <x:c r="N227" s="1" t="n">
        <x:v>0</x:v>
      </x:c>
      <x:c r="O227" s="1" t="str">
        <x:v>AvailableSoon</x:v>
      </x:c>
      <x:c r="P227" s="1" t="str">
        <x:v>Available Soon</x:v>
      </x:c>
      <x:c r="Q227" s="1" t="str"/>
      <x:c r="R227" s="1" t="str"/>
      <x:c r="S227" s="1" t="str"/>
      <x:c r="T227" s="1" t="str"/>
      <x:c r="U227" s="1" t="str"/>
      <x:c r="V227" s="1" t="str"/>
      <x:c r="W227" s="1" t="str"/>
      <x:c r="X227" s="1" t="str">
        <x:v>false</x:v>
      </x:c>
      <x:c r="Y227" s="1" t="str">
        <x:v>false</x:v>
      </x:c>
      <x:c r="Z227" s="1" t="str">
        <x:v>[]</x:v>
      </x:c>
    </x:row>
    <x:row r="228" ht="15" hidden="0" customHeight="1">
      <x:c r="A228" s="1" t="str">
        <x:v>0zm5l03</x:v>
      </x:c>
      <x:c r="B228" s="5" t="str">
        <x:v>616 at the Village</x:v>
      </x:c>
      <x:c r="C228" s="1" t="str">
        <x:v>2030341</x:v>
      </x:c>
      <x:c r="D228" s="1" t="str">
        <x:v>12g1br5</x:v>
      </x:c>
      <x:c r="E228" s="1" t="str">
        <x:v>B2G</x:v>
      </x:c>
      <x:c r="F228" s="1" t="n">
        <x:v>2</x:v>
      </x:c>
      <x:c r="G228" s="1" t="n">
        <x:v>2</x:v>
      </x:c>
      <x:c r="H228" s="1" t="n">
        <x:v>2485</x:v>
      </x:c>
      <x:c r="I228" s="1" t="n">
        <x:v>2530</x:v>
      </x:c>
      <x:c r="J228" s="1" t="str">
        <x:v>$2,485 - $2,530</x:v>
      </x:c>
      <x:c r="K228" s="1" t="str">
        <x:v>$2,522 - $2,567</x:v>
      </x:c>
      <x:c r="L228" s="1" t="str">
        <x:v>false</x:v>
      </x:c>
      <x:c r="M228" s="1" t="str">
        <x:v>1,187 sq. ft.</x:v>
      </x:c>
      <x:c r="N228" s="1" t="n">
        <x:v>2</x:v>
      </x:c>
      <x:c r="O228" s="1" t="str">
        <x:v>AvailableNow</x:v>
      </x:c>
      <x:c r="P228" s="1" t="str">
        <x:v>Rentals Available</x:v>
      </x:c>
      <x:c r="Q228" s="1" t="n">
        <x:v>46261.99998842592</x:v>
      </x:c>
      <x:c r="R228" s="1" t="str"/>
      <x:c r="S228" s="1" t="str"/>
      <x:c r="T228" s="1" t="str"/>
      <x:c r="U228" s="1" t="str"/>
      <x:c r="V228" s="1" t="str"/>
      <x:c r="W228" s="1" t="str"/>
      <x:c r="X228" s="1" t="str">
        <x:v>false</x:v>
      </x:c>
      <x:c r="Y228" s="1" t="str">
        <x:v>false</x:v>
      </x:c>
      <x:c r="Z228" s="1" t="str">
        <x:v>[]</x:v>
      </x:c>
    </x:row>
    <x:row r="229" ht="15" hidden="0" customHeight="1">
      <x:c r="A229" s="1" t="str">
        <x:v>0zm5l03</x:v>
      </x:c>
      <x:c r="B229" s="5" t="str">
        <x:v>616 at the Village</x:v>
      </x:c>
      <x:c r="C229" s="1" t="str">
        <x:v>2030338</x:v>
      </x:c>
      <x:c r="D229" s="1" t="str">
        <x:v>dr5p0ck</x:v>
      </x:c>
      <x:c r="E229" s="1" t="str">
        <x:v>B2D</x:v>
      </x:c>
      <x:c r="F229" s="1" t="n">
        <x:v>2</x:v>
      </x:c>
      <x:c r="G229" s="1" t="n">
        <x:v>2</x:v>
      </x:c>
      <x:c r="H229" s="1" t="n">
        <x:v>2435</x:v>
      </x:c>
      <x:c r="I229" s="1" t="n">
        <x:v>2435</x:v>
      </x:c>
      <x:c r="J229" s="1" t="str">
        <x:v>$2,435</x:v>
      </x:c>
      <x:c r="K229" s="1" t="str">
        <x:v>$2,472</x:v>
      </x:c>
      <x:c r="L229" s="1" t="str">
        <x:v>false</x:v>
      </x:c>
      <x:c r="M229" s="1" t="str">
        <x:v>1,069 sq. ft.</x:v>
      </x:c>
      <x:c r="N229" s="1" t="n">
        <x:v>1</x:v>
      </x:c>
      <x:c r="O229" s="1" t="str">
        <x:v>AvailableNow</x:v>
      </x:c>
      <x:c r="P229" s="1" t="str">
        <x:v>Rentals Available</x:v>
      </x:c>
      <x:c r="Q229" s="1" t="n">
        <x:v>46267.99998842592</x:v>
      </x:c>
      <x:c r="R229" s="1" t="str"/>
      <x:c r="S229" s="1" t="str"/>
      <x:c r="T229" s="1" t="str"/>
      <x:c r="U229" s="1" t="str"/>
      <x:c r="V229" s="1" t="str"/>
      <x:c r="W229" s="1" t="str"/>
      <x:c r="X229" s="1" t="str">
        <x:v>false</x:v>
      </x:c>
      <x:c r="Y229" s="1" t="str">
        <x:v>false</x:v>
      </x:c>
      <x:c r="Z229" s="1" t="str">
        <x:v>[]</x:v>
      </x:c>
    </x:row>
    <x:row r="230" ht="15" hidden="0" customHeight="1">
      <x:c r="A230" s="1" t="str">
        <x:v>0zm5l03</x:v>
      </x:c>
      <x:c r="B230" s="5" t="str">
        <x:v>616 at the Village</x:v>
      </x:c>
      <x:c r="C230" s="1" t="str">
        <x:v>2030344</x:v>
      </x:c>
      <x:c r="D230" s="1" t="str">
        <x:v>5nl5elq</x:v>
      </x:c>
      <x:c r="E230" s="1" t="str">
        <x:v>B2J</x:v>
      </x:c>
      <x:c r="F230" s="1" t="n">
        <x:v>2</x:v>
      </x:c>
      <x:c r="G230" s="1" t="n">
        <x:v>2</x:v>
      </x:c>
      <x:c r="H230" s="1" t="n">
        <x:v>2630</x:v>
      </x:c>
      <x:c r="I230" s="1" t="n">
        <x:v>2630</x:v>
      </x:c>
      <x:c r="J230" s="1" t="str">
        <x:v>$2,630</x:v>
      </x:c>
      <x:c r="K230" s="1" t="str">
        <x:v>$2,667</x:v>
      </x:c>
      <x:c r="L230" s="1" t="str">
        <x:v>false</x:v>
      </x:c>
      <x:c r="M230" s="1" t="str">
        <x:v>1,328 sq. ft.</x:v>
      </x:c>
      <x:c r="N230" s="1" t="n">
        <x:v>1</x:v>
      </x:c>
      <x:c r="O230" s="1" t="str">
        <x:v>FutureDate</x:v>
      </x:c>
      <x:c r="P230" s="1" t="str">
        <x:v>Available Soon</x:v>
      </x:c>
      <x:c r="Q230" s="1" t="n">
        <x:v>46277.99998842592</x:v>
      </x:c>
      <x:c r="R230" s="1" t="str"/>
      <x:c r="S230" s="1" t="str"/>
      <x:c r="T230" s="1" t="str"/>
      <x:c r="U230" s="1" t="str"/>
      <x:c r="V230" s="1" t="str"/>
      <x:c r="W230" s="1" t="str"/>
      <x:c r="X230" s="1" t="str">
        <x:v>false</x:v>
      </x:c>
      <x:c r="Y230" s="1" t="str">
        <x:v>false</x:v>
      </x:c>
      <x:c r="Z230" s="1" t="str">
        <x:v>[]</x:v>
      </x:c>
    </x:row>
    <x:row r="231" ht="15" hidden="0" customHeight="1">
      <x:c r="A231" s="1" t="str">
        <x:v>0zm5l03</x:v>
      </x:c>
      <x:c r="B231" s="5" t="str">
        <x:v>616 at the Village</x:v>
      </x:c>
      <x:c r="C231" s="1" t="str">
        <x:v>2010138</x:v>
      </x:c>
      <x:c r="D231" s="1" t="str">
        <x:v>33wxbgd</x:v>
      </x:c>
      <x:c r="E231" s="1" t="str">
        <x:v>B2A</x:v>
      </x:c>
      <x:c r="F231" s="1" t="n">
        <x:v>2</x:v>
      </x:c>
      <x:c r="G231" s="1" t="n">
        <x:v>2</x:v>
      </x:c>
      <x:c r="H231" s="1" t="str"/>
      <x:c r="I231" s="1" t="str"/>
      <x:c r="J231" s="1" t="str"/>
      <x:c r="K231" s="1" t="str"/>
      <x:c r="L231" s="1" t="str">
        <x:v>false</x:v>
      </x:c>
      <x:c r="M231" s="1" t="str">
        <x:v>1,001 sq. ft.</x:v>
      </x:c>
      <x:c r="N231" s="1" t="n">
        <x:v>0</x:v>
      </x:c>
      <x:c r="O231" s="1" t="str">
        <x:v>AvailableSoon</x:v>
      </x:c>
      <x:c r="P231" s="1" t="str">
        <x:v>Available Soon</x:v>
      </x:c>
      <x:c r="Q231" s="1" t="str"/>
      <x:c r="R231" s="1" t="str"/>
      <x:c r="S231" s="1" t="str"/>
      <x:c r="T231" s="1" t="str"/>
      <x:c r="U231" s="1" t="str"/>
      <x:c r="V231" s="1" t="str"/>
      <x:c r="W231" s="1" t="str"/>
      <x:c r="X231" s="1" t="str">
        <x:v>false</x:v>
      </x:c>
      <x:c r="Y231" s="1" t="str">
        <x:v>false</x:v>
      </x:c>
      <x:c r="Z231" s="1" t="str">
        <x:v>[]</x:v>
      </x:c>
    </x:row>
    <x:row r="232" ht="15" hidden="0" customHeight="1">
      <x:c r="A232" s="1" t="str">
        <x:v>0zm5l03</x:v>
      </x:c>
      <x:c r="B232" s="5" t="str">
        <x:v>616 at the Village</x:v>
      </x:c>
      <x:c r="C232" s="1" t="str">
        <x:v>2010139</x:v>
      </x:c>
      <x:c r="D232" s="1" t="str">
        <x:v>6tv23kt</x:v>
      </x:c>
      <x:c r="E232" s="1" t="str">
        <x:v>B2B</x:v>
      </x:c>
      <x:c r="F232" s="1" t="n">
        <x:v>2</x:v>
      </x:c>
      <x:c r="G232" s="1" t="n">
        <x:v>2</x:v>
      </x:c>
      <x:c r="H232" s="1" t="str"/>
      <x:c r="I232" s="1" t="str"/>
      <x:c r="J232" s="1" t="str"/>
      <x:c r="K232" s="1" t="str"/>
      <x:c r="L232" s="1" t="str">
        <x:v>false</x:v>
      </x:c>
      <x:c r="M232" s="1" t="str">
        <x:v>1,001 sq. ft.</x:v>
      </x:c>
      <x:c r="N232" s="1" t="n">
        <x:v>0</x:v>
      </x:c>
      <x:c r="O232" s="1" t="str">
        <x:v>AvailableSoon</x:v>
      </x:c>
      <x:c r="P232" s="1" t="str">
        <x:v>Available Soon</x:v>
      </x:c>
      <x:c r="Q232" s="1" t="str"/>
      <x:c r="R232" s="1" t="str"/>
      <x:c r="S232" s="1" t="str"/>
      <x:c r="T232" s="1" t="str"/>
      <x:c r="U232" s="1" t="str"/>
      <x:c r="V232" s="1" t="str"/>
      <x:c r="W232" s="1" t="str"/>
      <x:c r="X232" s="1" t="str">
        <x:v>false</x:v>
      </x:c>
      <x:c r="Y232" s="1" t="str">
        <x:v>false</x:v>
      </x:c>
      <x:c r="Z232" s="1" t="str">
        <x:v>[]</x:v>
      </x:c>
    </x:row>
    <x:row r="233" ht="15" hidden="0" customHeight="1">
      <x:c r="A233" s="1" t="str">
        <x:v>0zm5l03</x:v>
      </x:c>
      <x:c r="B233" s="5" t="str">
        <x:v>616 at the Village</x:v>
      </x:c>
      <x:c r="C233" s="1" t="str">
        <x:v>2030339</x:v>
      </x:c>
      <x:c r="D233" s="1" t="str">
        <x:v>enkeenq</x:v>
      </x:c>
      <x:c r="E233" s="1" t="str">
        <x:v>B2E</x:v>
      </x:c>
      <x:c r="F233" s="1" t="n">
        <x:v>2</x:v>
      </x:c>
      <x:c r="G233" s="1" t="n">
        <x:v>2</x:v>
      </x:c>
      <x:c r="H233" s="1" t="str"/>
      <x:c r="I233" s="1" t="str"/>
      <x:c r="J233" s="1" t="str"/>
      <x:c r="K233" s="1" t="str"/>
      <x:c r="L233" s="1" t="str">
        <x:v>false</x:v>
      </x:c>
      <x:c r="M233" s="1" t="str">
        <x:v>1,097 sq. ft.</x:v>
      </x:c>
      <x:c r="N233" s="1" t="n">
        <x:v>0</x:v>
      </x:c>
      <x:c r="O233" s="1" t="str">
        <x:v>AvailableSoon</x:v>
      </x:c>
      <x:c r="P233" s="1" t="str">
        <x:v>Available Soon</x:v>
      </x:c>
      <x:c r="Q233" s="1" t="str"/>
      <x:c r="R233" s="1" t="str"/>
      <x:c r="S233" s="1" t="str"/>
      <x:c r="T233" s="1" t="str"/>
      <x:c r="U233" s="1" t="str"/>
      <x:c r="V233" s="1" t="str"/>
      <x:c r="W233" s="1" t="str"/>
      <x:c r="X233" s="1" t="str">
        <x:v>false</x:v>
      </x:c>
      <x:c r="Y233" s="1" t="str">
        <x:v>false</x:v>
      </x:c>
      <x:c r="Z233" s="1" t="str">
        <x:v>[]</x:v>
      </x:c>
    </x:row>
    <x:row r="234" ht="15" hidden="0" customHeight="1">
      <x:c r="A234" s="1" t="str">
        <x:v>0zm5l03</x:v>
      </x:c>
      <x:c r="B234" s="5" t="str">
        <x:v>616 at the Village</x:v>
      </x:c>
      <x:c r="C234" s="1" t="str">
        <x:v>2030340</x:v>
      </x:c>
      <x:c r="D234" s="1" t="str">
        <x:v>rgv27d0</x:v>
      </x:c>
      <x:c r="E234" s="1" t="str">
        <x:v>B2F</x:v>
      </x:c>
      <x:c r="F234" s="1" t="n">
        <x:v>2</x:v>
      </x:c>
      <x:c r="G234" s="1" t="n">
        <x:v>2</x:v>
      </x:c>
      <x:c r="H234" s="1" t="str"/>
      <x:c r="I234" s="1" t="str"/>
      <x:c r="J234" s="1" t="str"/>
      <x:c r="K234" s="1" t="str"/>
      <x:c r="L234" s="1" t="str">
        <x:v>false</x:v>
      </x:c>
      <x:c r="M234" s="1" t="str">
        <x:v>1,113 sq. ft.</x:v>
      </x:c>
      <x:c r="N234" s="1" t="n">
        <x:v>0</x:v>
      </x:c>
      <x:c r="O234" s="1" t="str">
        <x:v>AvailableSoon</x:v>
      </x:c>
      <x:c r="P234" s="1" t="str">
        <x:v>Available Soon</x:v>
      </x:c>
      <x:c r="Q234" s="1" t="str"/>
      <x:c r="R234" s="1" t="str"/>
      <x:c r="S234" s="1" t="str"/>
      <x:c r="T234" s="1" t="str"/>
      <x:c r="U234" s="1" t="str"/>
      <x:c r="V234" s="1" t="str"/>
      <x:c r="W234" s="1" t="str"/>
      <x:c r="X234" s="1" t="str">
        <x:v>false</x:v>
      </x:c>
      <x:c r="Y234" s="1" t="str">
        <x:v>false</x:v>
      </x:c>
      <x:c r="Z234" s="1" t="str">
        <x:v>[]</x:v>
      </x:c>
    </x:row>
    <x:row r="235" ht="15" hidden="0" customHeight="1">
      <x:c r="A235" s="1" t="str">
        <x:v>0zm5l03</x:v>
      </x:c>
      <x:c r="B235" s="5" t="str">
        <x:v>616 at the Village</x:v>
      </x:c>
      <x:c r="C235" s="1" t="str">
        <x:v>2030342</x:v>
      </x:c>
      <x:c r="D235" s="1" t="str">
        <x:v>dxjp5lj</x:v>
      </x:c>
      <x:c r="E235" s="1" t="str">
        <x:v>B2H</x:v>
      </x:c>
      <x:c r="F235" s="1" t="n">
        <x:v>2</x:v>
      </x:c>
      <x:c r="G235" s="1" t="n">
        <x:v>2</x:v>
      </x:c>
      <x:c r="H235" s="1" t="str"/>
      <x:c r="I235" s="1" t="str"/>
      <x:c r="J235" s="1" t="str"/>
      <x:c r="K235" s="1" t="str"/>
      <x:c r="L235" s="1" t="str">
        <x:v>false</x:v>
      </x:c>
      <x:c r="M235" s="1" t="str">
        <x:v>1,223 sq. ft.</x:v>
      </x:c>
      <x:c r="N235" s="1" t="n">
        <x:v>0</x:v>
      </x:c>
      <x:c r="O235" s="1" t="str">
        <x:v>AvailableSoon</x:v>
      </x:c>
      <x:c r="P235" s="1" t="str">
        <x:v>Available Soon</x:v>
      </x:c>
      <x:c r="Q235" s="1" t="str"/>
      <x:c r="R235" s="1" t="str"/>
      <x:c r="S235" s="1" t="str"/>
      <x:c r="T235" s="1" t="str"/>
      <x:c r="U235" s="1" t="str"/>
      <x:c r="V235" s="1" t="str"/>
      <x:c r="W235" s="1" t="str"/>
      <x:c r="X235" s="1" t="str">
        <x:v>false</x:v>
      </x:c>
      <x:c r="Y235" s="1" t="str">
        <x:v>false</x:v>
      </x:c>
      <x:c r="Z235" s="1" t="str">
        <x:v>[]</x:v>
      </x:c>
    </x:row>
    <x:row r="236" ht="15" hidden="0" customHeight="1">
      <x:c r="A236" s="1" t="str">
        <x:v>0zm5l03</x:v>
      </x:c>
      <x:c r="B236" s="5" t="str">
        <x:v>616 at the Village</x:v>
      </x:c>
      <x:c r="C236" s="1" t="str">
        <x:v>2030343</x:v>
      </x:c>
      <x:c r="D236" s="1" t="str">
        <x:v>t5l0nx9</x:v>
      </x:c>
      <x:c r="E236" s="1" t="str">
        <x:v>B2I</x:v>
      </x:c>
      <x:c r="F236" s="1" t="n">
        <x:v>2</x:v>
      </x:c>
      <x:c r="G236" s="1" t="n">
        <x:v>2</x:v>
      </x:c>
      <x:c r="H236" s="1" t="str"/>
      <x:c r="I236" s="1" t="str"/>
      <x:c r="J236" s="1" t="str"/>
      <x:c r="K236" s="1" t="str"/>
      <x:c r="L236" s="1" t="str">
        <x:v>false</x:v>
      </x:c>
      <x:c r="M236" s="1" t="str">
        <x:v>1,305 sq. ft.</x:v>
      </x:c>
      <x:c r="N236" s="1" t="n">
        <x:v>0</x:v>
      </x:c>
      <x:c r="O236" s="1" t="str">
        <x:v>AvailableSoon</x:v>
      </x:c>
      <x:c r="P236" s="1" t="str">
        <x:v>Available Soon</x:v>
      </x:c>
      <x:c r="Q236" s="1" t="str"/>
      <x:c r="R236" s="1" t="str"/>
      <x:c r="S236" s="1" t="str"/>
      <x:c r="T236" s="1" t="str"/>
      <x:c r="U236" s="1" t="str"/>
      <x:c r="V236" s="1" t="str"/>
      <x:c r="W236" s="1" t="str"/>
      <x:c r="X236" s="1" t="str">
        <x:v>false</x:v>
      </x:c>
      <x:c r="Y236" s="1" t="str">
        <x:v>false</x:v>
      </x:c>
      <x:c r="Z236" s="1" t="str">
        <x:v>[]</x:v>
      </x:c>
    </x:row>
    <x:row r="237" ht="15" hidden="0" customHeight="1">
      <x:c r="A237" s="1" t="str">
        <x:v>0zm5l03</x:v>
      </x:c>
      <x:c r="B237" s="5" t="str">
        <x:v>616 at the Village</x:v>
      </x:c>
      <x:c r="C237" s="1" t="str">
        <x:v>2365479</x:v>
      </x:c>
      <x:c r="D237" s="1" t="str">
        <x:v>x6v6p8n</x:v>
      </x:c>
      <x:c r="E237" s="1" t="str">
        <x:v>B2C</x:v>
      </x:c>
      <x:c r="F237" s="1" t="n">
        <x:v>2</x:v>
      </x:c>
      <x:c r="G237" s="1" t="n">
        <x:v>2</x:v>
      </x:c>
      <x:c r="H237" s="1" t="str"/>
      <x:c r="I237" s="1" t="str"/>
      <x:c r="J237" s="1" t="str"/>
      <x:c r="K237" s="1" t="str"/>
      <x:c r="L237" s="1" t="str">
        <x:v>false</x:v>
      </x:c>
      <x:c r="M237" s="1" t="str">
        <x:v>1,050 sq. ft.</x:v>
      </x:c>
      <x:c r="N237" s="1" t="n">
        <x:v>0</x:v>
      </x:c>
      <x:c r="O237" s="1" t="str">
        <x:v>AvailableSoon</x:v>
      </x:c>
      <x:c r="P237" s="1" t="str">
        <x:v>Available Soon</x:v>
      </x:c>
      <x:c r="Q237" s="1" t="str"/>
      <x:c r="R237" s="1" t="str"/>
      <x:c r="S237" s="1" t="str"/>
      <x:c r="T237" s="1" t="str"/>
      <x:c r="U237" s="1" t="str"/>
      <x:c r="V237" s="1" t="str"/>
      <x:c r="W237" s="1" t="str"/>
      <x:c r="X237" s="1" t="str">
        <x:v>false</x:v>
      </x:c>
      <x:c r="Y237" s="1" t="str">
        <x:v>false</x:v>
      </x:c>
      <x:c r="Z237" s="1" t="str">
        <x:v>[]</x:v>
      </x:c>
    </x:row>
    <x:row r="238" ht="15" hidden="0" customHeight="1">
      <x:c r="A238" s="1" t="str">
        <x:v>0zm5l03</x:v>
      </x:c>
      <x:c r="B238" s="5" t="str">
        <x:v>616 at the Village</x:v>
      </x:c>
      <x:c r="C238" s="1" t="str">
        <x:v>2030337</x:v>
      </x:c>
      <x:c r="D238" s="1" t="str">
        <x:v>zzrzz8y</x:v>
      </x:c>
      <x:c r="E238" s="1" t="str">
        <x:v>B3</x:v>
      </x:c>
      <x:c r="F238" s="1" t="n">
        <x:v>2</x:v>
      </x:c>
      <x:c r="G238" s="1" t="n">
        <x:v>2.5</x:v>
      </x:c>
      <x:c r="H238" s="1" t="str"/>
      <x:c r="I238" s="1" t="str"/>
      <x:c r="J238" s="1" t="str"/>
      <x:c r="K238" s="1" t="str"/>
      <x:c r="L238" s="1" t="str">
        <x:v>false</x:v>
      </x:c>
      <x:c r="M238" s="1" t="str">
        <x:v>1,517 sq. ft.</x:v>
      </x:c>
      <x:c r="N238" s="1" t="n">
        <x:v>0</x:v>
      </x:c>
      <x:c r="O238" s="1" t="str">
        <x:v>AvailableSoon</x:v>
      </x:c>
      <x:c r="P238" s="1" t="str">
        <x:v>Available Soon</x:v>
      </x:c>
      <x:c r="Q238" s="1" t="str"/>
      <x:c r="R238" s="1" t="str"/>
      <x:c r="S238" s="1" t="str"/>
      <x:c r="T238" s="1" t="str"/>
      <x:c r="U238" s="1" t="str"/>
      <x:c r="V238" s="1" t="str"/>
      <x:c r="W238" s="1" t="str"/>
      <x:c r="X238" s="1" t="str">
        <x:v>false</x:v>
      </x:c>
      <x:c r="Y238" s="1" t="str">
        <x:v>false</x:v>
      </x:c>
      <x:c r="Z238" s="1" t="str">
        <x:v>[]</x:v>
      </x:c>
    </x:row>
    <x:row r="239" ht="15" hidden="0" customHeight="1">
      <x:c r="A239" s="1" t="str">
        <x:v>0zm5l03</x:v>
      </x:c>
      <x:c r="B239" s="5" t="str">
        <x:v>616 at the Village</x:v>
      </x:c>
      <x:c r="C239" s="1" t="str">
        <x:v>2010140</x:v>
      </x:c>
      <x:c r="D239" s="1" t="str">
        <x:v>l56edlf</x:v>
      </x:c>
      <x:c r="E239" s="1" t="str">
        <x:v>C2A</x:v>
      </x:c>
      <x:c r="F239" s="1" t="n">
        <x:v>3</x:v>
      </x:c>
      <x:c r="G239" s="1" t="n">
        <x:v>2</x:v>
      </x:c>
      <x:c r="H239" s="1" t="n">
        <x:v>3430</x:v>
      </x:c>
      <x:c r="I239" s="1" t="n">
        <x:v>3430</x:v>
      </x:c>
      <x:c r="J239" s="1" t="str">
        <x:v>$3,430</x:v>
      </x:c>
      <x:c r="K239" s="1" t="str">
        <x:v>$3,467</x:v>
      </x:c>
      <x:c r="L239" s="1" t="str">
        <x:v>false</x:v>
      </x:c>
      <x:c r="M239" s="1" t="str">
        <x:v>1,317 sq. ft.</x:v>
      </x:c>
      <x:c r="N239" s="1" t="n">
        <x:v>1</x:v>
      </x:c>
      <x:c r="O239" s="1" t="str">
        <x:v>FutureDate</x:v>
      </x:c>
      <x:c r="P239" s="1" t="str">
        <x:v>Available Soon</x:v>
      </x:c>
      <x:c r="Q239" s="1" t="n">
        <x:v>46289.99998842592</x:v>
      </x:c>
      <x:c r="R239" s="1" t="str"/>
      <x:c r="S239" s="1" t="str"/>
      <x:c r="T239" s="1" t="str"/>
      <x:c r="U239" s="1" t="str"/>
      <x:c r="V239" s="1" t="str"/>
      <x:c r="W239" s="1" t="str"/>
      <x:c r="X239" s="1" t="str">
        <x:v>false</x:v>
      </x:c>
      <x:c r="Y239" s="1" t="str">
        <x:v>false</x:v>
      </x:c>
      <x:c r="Z239" s="1" t="str">
        <x:v>[]</x:v>
      </x:c>
    </x:row>
    <x:row r="240" ht="15" hidden="0" customHeight="1">
      <x:c r="A240" s="1" t="str">
        <x:v>ocp2k0px98</x:v>
      </x:c>
      <x:c r="B240" s="5" t="str">
        <x:v>Liberty station male only townhome- 5 miles from Centennial</x:v>
      </x:c>
      <x:c r="C240" s="1" t="str">
        <x:v>1</x:v>
      </x:c>
      <x:c r="D240" s="1" t="str">
        <x:v>q2j0gkx</x:v>
      </x:c>
      <x:c r="E240" s="1" t="str"/>
      <x:c r="F240" s="1" t="n">
        <x:v>1</x:v>
      </x:c>
      <x:c r="G240" s="1" t="n">
        <x:v>2.5</x:v>
      </x:c>
      <x:c r="H240" s="1" t="n">
        <x:v>900</x:v>
      </x:c>
      <x:c r="I240" s="1" t="n">
        <x:v>900</x:v>
      </x:c>
      <x:c r="J240" s="1" t="str">
        <x:v>$900</x:v>
      </x:c>
      <x:c r="K240" s="1" t="str">
        <x:v>$900</x:v>
      </x:c>
      <x:c r="L240" s="1" t="str">
        <x:v>true</x:v>
      </x:c>
      <x:c r="M240" s="1" t="str">
        <x:v>1,526 sq. ft.</x:v>
      </x:c>
      <x:c r="N240" s="1" t="n">
        <x:v>1</x:v>
      </x:c>
      <x:c r="O240" s="1" t="str">
        <x:v>AvailableNow</x:v>
      </x:c>
      <x:c r="P240" s="1" t="str">
        <x:v>Rentals Available</x:v>
      </x:c>
      <x:c r="Q240" s="1" t="n">
        <x:v>46235.99998842592</x:v>
      </x:c>
      <x:c r="R240" s="1" t="str"/>
      <x:c r="S240" s="1" t="str"/>
      <x:c r="T240" s="1" t="str">
        <x:v>N/A</x:v>
      </x:c>
      <x:c r="U240" s="1" t="str">
        <x:v>N/A</x:v>
      </x:c>
      <x:c r="V240" s="1" t="str">
        <x:v>3</x:v>
      </x:c>
      <x:c r="W240" s="1" t="str"/>
      <x:c r="X240" s="1" t="str">
        <x:v>false</x:v>
      </x:c>
      <x:c r="Y240" s="1" t="str">
        <x:v>false</x:v>
      </x:c>
      <x:c r="Z240" s="1" t="str">
        <x:v>[]</x:v>
      </x:c>
    </x:row>
    <x:row r="241" ht="15" hidden="0" customHeight="1">
      <x:c r="A241" s="1" t="str">
        <x:v>z8cfdjw</x:v>
      </x:c>
      <x:c r="B241" s="5" t="str">
        <x:v>Campus Crossings Raleigh</x:v>
      </x:c>
      <x:c r="C241" s="1" t="str">
        <x:v>778007</x:v>
      </x:c>
      <x:c r="D241" s="1" t="str">
        <x:v>0x8v0q2</x:v>
      </x:c>
      <x:c r="E241" s="1" t="str">
        <x:v>2 Bedroom 2 Bathroom</x:v>
      </x:c>
      <x:c r="F241" s="1" t="n">
        <x:v>2</x:v>
      </x:c>
      <x:c r="G241" s="1" t="n">
        <x:v>2</x:v>
      </x:c>
      <x:c r="H241" s="1" t="n">
        <x:v>755</x:v>
      </x:c>
      <x:c r="I241" s="1" t="n">
        <x:v>870</x:v>
      </x:c>
      <x:c r="J241" s="1" t="str">
        <x:v>$755 - $870</x:v>
      </x:c>
      <x:c r="K241" s="1" t="str">
        <x:v>$755 - $870</x:v>
      </x:c>
      <x:c r="L241" s="1" t="str">
        <x:v>true</x:v>
      </x:c>
      <x:c r="M241" s="1" t="str">
        <x:v>876 sq. ft.</x:v>
      </x:c>
      <x:c r="N241" s="1" t="n">
        <x:v>5</x:v>
      </x:c>
      <x:c r="O241" s="1" t="str">
        <x:v>AvailableNow</x:v>
      </x:c>
      <x:c r="P241" s="1" t="str">
        <x:v>Rentals Available</x:v>
      </x:c>
      <x:c r="Q241" s="1" t="n">
        <x:v>46247.99998842592</x:v>
      </x:c>
      <x:c r="R241" s="1" t="str"/>
      <x:c r="S241" s="1" t="str"/>
      <x:c r="T241" s="1" t="str"/>
      <x:c r="U241" s="1" t="str"/>
      <x:c r="V241" s="1" t="str">
        <x:v>2</x:v>
      </x:c>
      <x:c r="W241" s="1" t="str"/>
      <x:c r="X241" s="1" t="str">
        <x:v>false</x:v>
      </x:c>
      <x:c r="Y241" s="1" t="str">
        <x:v>false</x:v>
      </x:c>
      <x:c r="Z241" s="1" t="str">
        <x:v>[]</x:v>
      </x:c>
    </x:row>
    <x:row r="242" ht="15" hidden="0" customHeight="1">
      <x:c r="A242" s="1" t="str">
        <x:v>z8cfdjw</x:v>
      </x:c>
      <x:c r="B242" s="5" t="str">
        <x:v>Campus Crossings Raleigh</x:v>
      </x:c>
      <x:c r="C242" s="1" t="str">
        <x:v>778011</x:v>
      </x:c>
      <x:c r="D242" s="1" t="str">
        <x:v>p5behst</x:v>
      </x:c>
      <x:c r="E242" s="1" t="str">
        <x:v>3 Bedroom 3 Bathroom</x:v>
      </x:c>
      <x:c r="F242" s="1" t="n">
        <x:v>3</x:v>
      </x:c>
      <x:c r="G242" s="1" t="n">
        <x:v>3</x:v>
      </x:c>
      <x:c r="H242" s="1" t="n">
        <x:v>695</x:v>
      </x:c>
      <x:c r="I242" s="1" t="n">
        <x:v>805</x:v>
      </x:c>
      <x:c r="J242" s="1" t="str">
        <x:v>$695 - $805</x:v>
      </x:c>
      <x:c r="K242" s="1" t="str">
        <x:v>$695 - $805</x:v>
      </x:c>
      <x:c r="L242" s="1" t="str">
        <x:v>true</x:v>
      </x:c>
      <x:c r="M242" s="1" t="str">
        <x:v>1,163 sq. ft.</x:v>
      </x:c>
      <x:c r="N242" s="1" t="n">
        <x:v>5</x:v>
      </x:c>
      <x:c r="O242" s="1" t="str">
        <x:v>AvailableNow</x:v>
      </x:c>
      <x:c r="P242" s="1" t="str">
        <x:v>Rentals Available</x:v>
      </x:c>
      <x:c r="Q242" s="1" t="n">
        <x:v>46247.99998842592</x:v>
      </x:c>
      <x:c r="R242" s="1" t="str"/>
      <x:c r="S242" s="1" t="str"/>
      <x:c r="T242" s="1" t="str"/>
      <x:c r="U242" s="1" t="str"/>
      <x:c r="V242" s="1" t="str">
        <x:v>3</x:v>
      </x:c>
      <x:c r="W242" s="1" t="str"/>
      <x:c r="X242" s="1" t="str">
        <x:v>false</x:v>
      </x:c>
      <x:c r="Y242" s="1" t="str">
        <x:v>false</x:v>
      </x:c>
      <x:c r="Z242" s="1" t="str">
        <x:v>[]</x:v>
      </x:c>
    </x:row>
    <x:row r="243" ht="15" hidden="0" customHeight="1">
      <x:c r="A243" s="1" t="str">
        <x:v>z8cfdjw</x:v>
      </x:c>
      <x:c r="B243" s="5" t="str">
        <x:v>Campus Crossings Raleigh</x:v>
      </x:c>
      <x:c r="C243" s="1" t="str">
        <x:v>778015</x:v>
      </x:c>
      <x:c r="D243" s="1" t="str">
        <x:v>55c48km</x:v>
      </x:c>
      <x:c r="E243" s="1" t="str">
        <x:v>4 Bedroom 4 Bathroom</x:v>
      </x:c>
      <x:c r="F243" s="1" t="n">
        <x:v>4</x:v>
      </x:c>
      <x:c r="G243" s="1" t="n">
        <x:v>4</x:v>
      </x:c>
      <x:c r="H243" s="1" t="n">
        <x:v>685</x:v>
      </x:c>
      <x:c r="I243" s="1" t="n">
        <x:v>795</x:v>
      </x:c>
      <x:c r="J243" s="1" t="str">
        <x:v>$685 - $795</x:v>
      </x:c>
      <x:c r="K243" s="1" t="str">
        <x:v>$685 - $795</x:v>
      </x:c>
      <x:c r="L243" s="1" t="str">
        <x:v>true</x:v>
      </x:c>
      <x:c r="M243" s="1" t="str">
        <x:v>1,393 sq. ft.</x:v>
      </x:c>
      <x:c r="N243" s="1" t="n">
        <x:v>5</x:v>
      </x:c>
      <x:c r="O243" s="1" t="str">
        <x:v>AvailableNow</x:v>
      </x:c>
      <x:c r="P243" s="1" t="str">
        <x:v>Rentals Available</x:v>
      </x:c>
      <x:c r="Q243" s="1" t="n">
        <x:v>46247.99998842592</x:v>
      </x:c>
      <x:c r="R243" s="1" t="str"/>
      <x:c r="S243" s="1" t="str"/>
      <x:c r="T243" s="1" t="str"/>
      <x:c r="U243" s="1" t="str"/>
      <x:c r="V243" s="1" t="str">
        <x:v>4</x:v>
      </x:c>
      <x:c r="W243" s="1" t="str"/>
      <x:c r="X243" s="1" t="str">
        <x:v>false</x:v>
      </x:c>
      <x:c r="Y243" s="1" t="str">
        <x:v>false</x:v>
      </x:c>
      <x:c r="Z243" s="1" t="str">
        <x:v>[]</x:v>
      </x:c>
    </x:row>
    <x:row r="244" ht="15" hidden="0" customHeight="1">
      <x:c r="A244" s="1" t="str">
        <x:v>ocp6mp93ms</x:v>
      </x:c>
      <x:c r="B244" s="5" t="str">
        <x:v>Newly Renovated - All Girls Unit Room with Private Bathroom</x:v>
      </x:c>
      <x:c r="C244" s="1" t="str">
        <x:v>1</x:v>
      </x:c>
      <x:c r="D244" s="1" t="str">
        <x:v>q2j0gkx</x:v>
      </x:c>
      <x:c r="E244" s="1" t="str"/>
      <x:c r="F244" s="1" t="n">
        <x:v>4</x:v>
      </x:c>
      <x:c r="G244" s="1" t="n">
        <x:v>4</x:v>
      </x:c>
      <x:c r="H244" s="1" t="n">
        <x:v>645</x:v>
      </x:c>
      <x:c r="I244" s="1" t="n">
        <x:v>645</x:v>
      </x:c>
      <x:c r="J244" s="1" t="str">
        <x:v>$645</x:v>
      </x:c>
      <x:c r="K244" s="1" t="str">
        <x:v>$645</x:v>
      </x:c>
      <x:c r="L244" s="1" t="str">
        <x:v>true</x:v>
      </x:c>
      <x:c r="M244" s="1" t="str">
        <x:v>1,330 sq. ft.</x:v>
      </x:c>
      <x:c r="N244" s="1" t="n">
        <x:v>1</x:v>
      </x:c>
      <x:c r="O244" s="1" t="str">
        <x:v>AvailableNow</x:v>
      </x:c>
      <x:c r="P244" s="1" t="str">
        <x:v>Rentals Available</x:v>
      </x:c>
      <x:c r="Q244" s="1" t="n">
        <x:v>25569.999988425927</x:v>
      </x:c>
      <x:c r="R244" s="1" t="str"/>
      <x:c r="S244" s="1" t="str"/>
      <x:c r="T244" s="1" t="str">
        <x:v>N/A</x:v>
      </x:c>
      <x:c r="U244" s="1" t="str">
        <x:v>N/A</x:v>
      </x:c>
      <x:c r="V244" s="1" t="str">
        <x:v>1</x:v>
      </x:c>
      <x:c r="W244" s="1" t="str"/>
      <x:c r="X244" s="1" t="str">
        <x:v>false</x:v>
      </x:c>
      <x:c r="Y244" s="1" t="str">
        <x:v>false</x:v>
      </x:c>
      <x:c r="Z244" s="1" t="str">
        <x:v>[]</x:v>
      </x:c>
    </x:row>
    <x:row r="245" ht="15" hidden="0" customHeight="1">
      <x:c r="A245" s="1" t="str">
        <x:v>75medjw</x:v>
      </x:c>
      <x:c r="B245" s="5" t="str">
        <x:v>Brickside</x:v>
      </x:c>
      <x:c r="C245" s="1" t="str">
        <x:v>6076660</x:v>
      </x:c>
      <x:c r="D245" s="1" t="str">
        <x:v>telmqr9</x:v>
      </x:c>
      <x:c r="E245" s="1" t="str">
        <x:v>S2A</x:v>
      </x:c>
      <x:c r="F245" s="1" t="n">
        <x:v>0</x:v>
      </x:c>
      <x:c r="G245" s="1" t="n">
        <x:v>1</x:v>
      </x:c>
      <x:c r="H245" s="1" t="n">
        <x:v>1599</x:v>
      </x:c>
      <x:c r="I245" s="1" t="n">
        <x:v>1599</x:v>
      </x:c>
      <x:c r="J245" s="1" t="str">
        <x:v>$1,599</x:v>
      </x:c>
      <x:c r="K245" s="1" t="str">
        <x:v>$1,618</x:v>
      </x:c>
      <x:c r="L245" s="1" t="str">
        <x:v>true</x:v>
      </x:c>
      <x:c r="M245" s="1" t="str">
        <x:v>480 sq. ft.</x:v>
      </x:c>
      <x:c r="N245" s="1" t="n">
        <x:v>19</x:v>
      </x:c>
      <x:c r="O245" s="1" t="str">
        <x:v>AvailableNow</x:v>
      </x:c>
      <x:c r="P245" s="1" t="str">
        <x:v>Rentals Available</x:v>
      </x:c>
      <x:c r="Q245" s="1" t="str"/>
      <x:c r="R245" s="1" t="str"/>
      <x:c r="S245" s="1" t="str"/>
      <x:c r="T245" s="1" t="str"/>
      <x:c r="U245" s="1" t="str"/>
      <x:c r="V245" s="1" t="str">
        <x:v>1</x:v>
      </x:c>
      <x:c r="W245" s="1" t="str"/>
      <x:c r="X245" s="1" t="str">
        <x:v>false</x:v>
      </x:c>
      <x:c r="Y245" s="1" t="str">
        <x:v>false</x:v>
      </x:c>
      <x:c r="Z245" s="1" t="str">
        <x:v>[]</x:v>
      </x:c>
    </x:row>
    <x:row r="246" ht="15" hidden="0" customHeight="1">
      <x:c r="A246" s="1" t="str">
        <x:v>75medjw</x:v>
      </x:c>
      <x:c r="B246" s="5" t="str">
        <x:v>Brickside</x:v>
      </x:c>
      <x:c r="C246" s="1" t="str">
        <x:v>6076659</x:v>
      </x:c>
      <x:c r="D246" s="1" t="str">
        <x:v>mj2t3wk</x:v>
      </x:c>
      <x:c r="E246" s="1" t="str">
        <x:v>S1D</x:v>
      </x:c>
      <x:c r="F246" s="1" t="n">
        <x:v>0</x:v>
      </x:c>
      <x:c r="G246" s="1" t="n">
        <x:v>1</x:v>
      </x:c>
      <x:c r="H246" s="1" t="n">
        <x:v>1499</x:v>
      </x:c>
      <x:c r="I246" s="1" t="n">
        <x:v>1499</x:v>
      </x:c>
      <x:c r="J246" s="1" t="str">
        <x:v>$1,499</x:v>
      </x:c>
      <x:c r="K246" s="1" t="str">
        <x:v>$1,518</x:v>
      </x:c>
      <x:c r="L246" s="1" t="str">
        <x:v>true</x:v>
      </x:c>
      <x:c r="M246" s="1" t="str">
        <x:v>432 sq. ft.</x:v>
      </x:c>
      <x:c r="N246" s="1" t="n">
        <x:v>7</x:v>
      </x:c>
      <x:c r="O246" s="1" t="str">
        <x:v>AvailableNow</x:v>
      </x:c>
      <x:c r="P246" s="1" t="str">
        <x:v>Rentals Available</x:v>
      </x:c>
      <x:c r="Q246" s="1" t="str"/>
      <x:c r="R246" s="1" t="str"/>
      <x:c r="S246" s="1" t="str"/>
      <x:c r="T246" s="1" t="str"/>
      <x:c r="U246" s="1" t="str"/>
      <x:c r="V246" s="1" t="str">
        <x:v>1</x:v>
      </x:c>
      <x:c r="W246" s="1" t="str"/>
      <x:c r="X246" s="1" t="str">
        <x:v>false</x:v>
      </x:c>
      <x:c r="Y246" s="1" t="str">
        <x:v>false</x:v>
      </x:c>
      <x:c r="Z246" s="1" t="str">
        <x:v>[]</x:v>
      </x:c>
    </x:row>
    <x:row r="247" ht="15" hidden="0" customHeight="1">
      <x:c r="A247" s="1" t="str">
        <x:v>75medjw</x:v>
      </x:c>
      <x:c r="B247" s="5" t="str">
        <x:v>Brickside</x:v>
      </x:c>
      <x:c r="C247" s="1" t="str">
        <x:v>6076666</x:v>
      </x:c>
      <x:c r="D247" s="1" t="str">
        <x:v>dj123pk</x:v>
      </x:c>
      <x:c r="E247" s="1" t="str">
        <x:v>A2A</x:v>
      </x:c>
      <x:c r="F247" s="1" t="n">
        <x:v>1</x:v>
      </x:c>
      <x:c r="G247" s="1" t="n">
        <x:v>1</x:v>
      </x:c>
      <x:c r="H247" s="1" t="n">
        <x:v>1775</x:v>
      </x:c>
      <x:c r="I247" s="1" t="n">
        <x:v>1775</x:v>
      </x:c>
      <x:c r="J247" s="1" t="str">
        <x:v>$1,775</x:v>
      </x:c>
      <x:c r="K247" s="1" t="str">
        <x:v>$1,794</x:v>
      </x:c>
      <x:c r="L247" s="1" t="str">
        <x:v>true</x:v>
      </x:c>
      <x:c r="M247" s="1" t="str">
        <x:v>540 sq. ft.</x:v>
      </x:c>
      <x:c r="N247" s="1" t="n">
        <x:v>12</x:v>
      </x:c>
      <x:c r="O247" s="1" t="str">
        <x:v>AvailableNow</x:v>
      </x:c>
      <x:c r="P247" s="1" t="str">
        <x:v>Rentals Available</x:v>
      </x:c>
      <x:c r="Q247" s="1" t="str"/>
      <x:c r="R247" s="1" t="str"/>
      <x:c r="S247" s="1" t="str"/>
      <x:c r="T247" s="1" t="str"/>
      <x:c r="U247" s="1" t="str"/>
      <x:c r="V247" s="1" t="str">
        <x:v>1</x:v>
      </x:c>
      <x:c r="W247" s="1" t="str"/>
      <x:c r="X247" s="1" t="str">
        <x:v>false</x:v>
      </x:c>
      <x:c r="Y247" s="1" t="str">
        <x:v>false</x:v>
      </x:c>
      <x:c r="Z247" s="1" t="str">
        <x:v>[]</x:v>
      </x:c>
    </x:row>
    <x:row r="248" ht="15" hidden="0" customHeight="1">
      <x:c r="A248" s="1" t="str">
        <x:v>75medjw</x:v>
      </x:c>
      <x:c r="B248" s="5" t="str">
        <x:v>Brickside</x:v>
      </x:c>
      <x:c r="C248" s="1" t="str">
        <x:v>6076662</x:v>
      </x:c>
      <x:c r="D248" s="1" t="str">
        <x:v>gkfvrsx</x:v>
      </x:c>
      <x:c r="E248" s="1" t="str">
        <x:v>A1B</x:v>
      </x:c>
      <x:c r="F248" s="1" t="n">
        <x:v>1</x:v>
      </x:c>
      <x:c r="G248" s="1" t="n">
        <x:v>1</x:v>
      </x:c>
      <x:c r="H248" s="1" t="n">
        <x:v>1749</x:v>
      </x:c>
      <x:c r="I248" s="1" t="n">
        <x:v>1749</x:v>
      </x:c>
      <x:c r="J248" s="1" t="str">
        <x:v>$1,749</x:v>
      </x:c>
      <x:c r="K248" s="1" t="str">
        <x:v>$1,768</x:v>
      </x:c>
      <x:c r="L248" s="1" t="str">
        <x:v>true</x:v>
      </x:c>
      <x:c r="M248" s="1" t="str">
        <x:v>500 sq. ft.</x:v>
      </x:c>
      <x:c r="N248" s="1" t="n">
        <x:v>8</x:v>
      </x:c>
      <x:c r="O248" s="1" t="str">
        <x:v>AvailableNow</x:v>
      </x:c>
      <x:c r="P248" s="1" t="str">
        <x:v>Rentals Available</x:v>
      </x:c>
      <x:c r="Q248" s="1" t="str"/>
      <x:c r="R248" s="1" t="str"/>
      <x:c r="S248" s="1" t="str"/>
      <x:c r="T248" s="1" t="str"/>
      <x:c r="U248" s="1" t="str"/>
      <x:c r="V248" s="1" t="str">
        <x:v>1</x:v>
      </x:c>
      <x:c r="W248" s="1" t="str"/>
      <x:c r="X248" s="1" t="str">
        <x:v>false</x:v>
      </x:c>
      <x:c r="Y248" s="1" t="str">
        <x:v>false</x:v>
      </x:c>
      <x:c r="Z248" s="1" t="str">
        <x:v>[]</x:v>
      </x:c>
    </x:row>
    <x:row r="249" ht="15" hidden="0" customHeight="1">
      <x:c r="A249" s="1" t="str">
        <x:v>75medjw</x:v>
      </x:c>
      <x:c r="B249" s="5" t="str">
        <x:v>Brickside</x:v>
      </x:c>
      <x:c r="C249" s="1" t="str">
        <x:v>6076663</x:v>
      </x:c>
      <x:c r="D249" s="1" t="str">
        <x:v>1fzndx6</x:v>
      </x:c>
      <x:c r="E249" s="1" t="str">
        <x:v>A1C</x:v>
      </x:c>
      <x:c r="F249" s="1" t="n">
        <x:v>1</x:v>
      </x:c>
      <x:c r="G249" s="1" t="n">
        <x:v>1</x:v>
      </x:c>
      <x:c r="H249" s="1" t="n">
        <x:v>1749</x:v>
      </x:c>
      <x:c r="I249" s="1" t="n">
        <x:v>1749</x:v>
      </x:c>
      <x:c r="J249" s="1" t="str">
        <x:v>$1,749</x:v>
      </x:c>
      <x:c r="K249" s="1" t="str">
        <x:v>$1,768</x:v>
      </x:c>
      <x:c r="L249" s="1" t="str">
        <x:v>true</x:v>
      </x:c>
      <x:c r="M249" s="1" t="str">
        <x:v>500 sq. ft.</x:v>
      </x:c>
      <x:c r="N249" s="1" t="n">
        <x:v>8</x:v>
      </x:c>
      <x:c r="O249" s="1" t="str">
        <x:v>AvailableNow</x:v>
      </x:c>
      <x:c r="P249" s="1" t="str">
        <x:v>Rentals Available</x:v>
      </x:c>
      <x:c r="Q249" s="1" t="str"/>
      <x:c r="R249" s="1" t="str"/>
      <x:c r="S249" s="1" t="str"/>
      <x:c r="T249" s="1" t="str"/>
      <x:c r="U249" s="1" t="str"/>
      <x:c r="V249" s="1" t="str">
        <x:v>1</x:v>
      </x:c>
      <x:c r="W249" s="1" t="str"/>
      <x:c r="X249" s="1" t="str">
        <x:v>false</x:v>
      </x:c>
      <x:c r="Y249" s="1" t="str">
        <x:v>false</x:v>
      </x:c>
      <x:c r="Z249" s="1" t="str">
        <x:v>[]</x:v>
      </x:c>
    </x:row>
    <x:row r="250" ht="15" hidden="0" customHeight="1">
      <x:c r="A250" s="1" t="str">
        <x:v>75medjw</x:v>
      </x:c>
      <x:c r="B250" s="5" t="str">
        <x:v>Brickside</x:v>
      </x:c>
      <x:c r="C250" s="1" t="str">
        <x:v>6076667</x:v>
      </x:c>
      <x:c r="D250" s="1" t="str">
        <x:v>ptfrhnv</x:v>
      </x:c>
      <x:c r="E250" s="1" t="str">
        <x:v>A2B</x:v>
      </x:c>
      <x:c r="F250" s="1" t="n">
        <x:v>1</x:v>
      </x:c>
      <x:c r="G250" s="1" t="n">
        <x:v>1</x:v>
      </x:c>
      <x:c r="H250" s="1" t="n">
        <x:v>1775</x:v>
      </x:c>
      <x:c r="I250" s="1" t="n">
        <x:v>1775</x:v>
      </x:c>
      <x:c r="J250" s="1" t="str">
        <x:v>$1,775</x:v>
      </x:c>
      <x:c r="K250" s="1" t="str">
        <x:v>$1,794</x:v>
      </x:c>
      <x:c r="L250" s="1" t="str">
        <x:v>true</x:v>
      </x:c>
      <x:c r="M250" s="1" t="str">
        <x:v>540 sq. ft.</x:v>
      </x:c>
      <x:c r="N250" s="1" t="n">
        <x:v>8</x:v>
      </x:c>
      <x:c r="O250" s="1" t="str">
        <x:v>AvailableNow</x:v>
      </x:c>
      <x:c r="P250" s="1" t="str">
        <x:v>Rentals Available</x:v>
      </x:c>
      <x:c r="Q250" s="1" t="str"/>
      <x:c r="R250" s="1" t="str"/>
      <x:c r="S250" s="1" t="str"/>
      <x:c r="T250" s="1" t="str"/>
      <x:c r="U250" s="1" t="str"/>
      <x:c r="V250" s="1" t="str">
        <x:v>1</x:v>
      </x:c>
      <x:c r="W250" s="1" t="str"/>
      <x:c r="X250" s="1" t="str">
        <x:v>false</x:v>
      </x:c>
      <x:c r="Y250" s="1" t="str">
        <x:v>false</x:v>
      </x:c>
      <x:c r="Z250" s="1" t="str">
        <x:v>[]</x:v>
      </x:c>
    </x:row>
    <x:row r="251" ht="15" hidden="0" customHeight="1">
      <x:c r="A251" s="1" t="str">
        <x:v>75medjw</x:v>
      </x:c>
      <x:c r="B251" s="5" t="str">
        <x:v>Brickside</x:v>
      </x:c>
      <x:c r="C251" s="1" t="str">
        <x:v>6076661</x:v>
      </x:c>
      <x:c r="D251" s="1" t="str">
        <x:v>gqtvx1y</x:v>
      </x:c>
      <x:c r="E251" s="1" t="str">
        <x:v>A1A</x:v>
      </x:c>
      <x:c r="F251" s="1" t="n">
        <x:v>1</x:v>
      </x:c>
      <x:c r="G251" s="1" t="n">
        <x:v>1</x:v>
      </x:c>
      <x:c r="H251" s="1" t="n">
        <x:v>1749</x:v>
      </x:c>
      <x:c r="I251" s="1" t="n">
        <x:v>1749</x:v>
      </x:c>
      <x:c r="J251" s="1" t="str">
        <x:v>$1,749</x:v>
      </x:c>
      <x:c r="K251" s="1" t="str">
        <x:v>$1,768</x:v>
      </x:c>
      <x:c r="L251" s="1" t="str">
        <x:v>true</x:v>
      </x:c>
      <x:c r="M251" s="1" t="str">
        <x:v>477 sq. ft.</x:v>
      </x:c>
      <x:c r="N251" s="1" t="n">
        <x:v>4</x:v>
      </x:c>
      <x:c r="O251" s="1" t="str">
        <x:v>AvailableNow</x:v>
      </x:c>
      <x:c r="P251" s="1" t="str">
        <x:v>Rentals Available</x:v>
      </x:c>
      <x:c r="Q251" s="1" t="str"/>
      <x:c r="R251" s="1" t="str"/>
      <x:c r="S251" s="1" t="str"/>
      <x:c r="T251" s="1" t="str"/>
      <x:c r="U251" s="1" t="str"/>
      <x:c r="V251" s="1" t="str">
        <x:v>1</x:v>
      </x:c>
      <x:c r="W251" s="1" t="str"/>
      <x:c r="X251" s="1" t="str">
        <x:v>false</x:v>
      </x:c>
      <x:c r="Y251" s="1" t="str">
        <x:v>false</x:v>
      </x:c>
      <x:c r="Z251" s="1" t="str">
        <x:v>[]</x:v>
      </x:c>
    </x:row>
    <x:row r="252" ht="15" hidden="0" customHeight="1">
      <x:c r="A252" s="1" t="str">
        <x:v>75medjw</x:v>
      </x:c>
      <x:c r="B252" s="5" t="str">
        <x:v>Brickside</x:v>
      </x:c>
      <x:c r="C252" s="1" t="str">
        <x:v>6076664</x:v>
      </x:c>
      <x:c r="D252" s="1" t="str">
        <x:v>exksghq</x:v>
      </x:c>
      <x:c r="E252" s="1" t="str">
        <x:v>A1D</x:v>
      </x:c>
      <x:c r="F252" s="1" t="n">
        <x:v>1</x:v>
      </x:c>
      <x:c r="G252" s="1" t="n">
        <x:v>1</x:v>
      </x:c>
      <x:c r="H252" s="1" t="n">
        <x:v>1749</x:v>
      </x:c>
      <x:c r="I252" s="1" t="n">
        <x:v>1749</x:v>
      </x:c>
      <x:c r="J252" s="1" t="str">
        <x:v>$1,749</x:v>
      </x:c>
      <x:c r="K252" s="1" t="str">
        <x:v>$1,768</x:v>
      </x:c>
      <x:c r="L252" s="1" t="str">
        <x:v>true</x:v>
      </x:c>
      <x:c r="M252" s="1" t="str">
        <x:v>507 sq. ft.</x:v>
      </x:c>
      <x:c r="N252" s="1" t="n">
        <x:v>4</x:v>
      </x:c>
      <x:c r="O252" s="1" t="str">
        <x:v>AvailableNow</x:v>
      </x:c>
      <x:c r="P252" s="1" t="str">
        <x:v>Rentals Available</x:v>
      </x:c>
      <x:c r="Q252" s="1" t="str"/>
      <x:c r="R252" s="1" t="str"/>
      <x:c r="S252" s="1" t="str"/>
      <x:c r="T252" s="1" t="str"/>
      <x:c r="U252" s="1" t="str"/>
      <x:c r="V252" s="1" t="str">
        <x:v>1</x:v>
      </x:c>
      <x:c r="W252" s="1" t="str"/>
      <x:c r="X252" s="1" t="str">
        <x:v>false</x:v>
      </x:c>
      <x:c r="Y252" s="1" t="str">
        <x:v>false</x:v>
      </x:c>
      <x:c r="Z252" s="1" t="str">
        <x:v>[]</x:v>
      </x:c>
    </x:row>
    <x:row r="253" ht="15" hidden="0" customHeight="1">
      <x:c r="A253" s="1" t="str">
        <x:v>75medjw</x:v>
      </x:c>
      <x:c r="B253" s="5" t="str">
        <x:v>Brickside</x:v>
      </x:c>
      <x:c r="C253" s="1" t="str">
        <x:v>6076665</x:v>
      </x:c>
      <x:c r="D253" s="1" t="str">
        <x:v>s84eb74</x:v>
      </x:c>
      <x:c r="E253" s="1" t="str">
        <x:v>A1E</x:v>
      </x:c>
      <x:c r="F253" s="1" t="n">
        <x:v>1</x:v>
      </x:c>
      <x:c r="G253" s="1" t="n">
        <x:v>1</x:v>
      </x:c>
      <x:c r="H253" s="1" t="n">
        <x:v>1749</x:v>
      </x:c>
      <x:c r="I253" s="1" t="n">
        <x:v>1749</x:v>
      </x:c>
      <x:c r="J253" s="1" t="str">
        <x:v>$1,749</x:v>
      </x:c>
      <x:c r="K253" s="1" t="str">
        <x:v>$1,768</x:v>
      </x:c>
      <x:c r="L253" s="1" t="str">
        <x:v>true</x:v>
      </x:c>
      <x:c r="M253" s="1" t="str">
        <x:v>513 sq. ft.</x:v>
      </x:c>
      <x:c r="N253" s="1" t="n">
        <x:v>4</x:v>
      </x:c>
      <x:c r="O253" s="1" t="str">
        <x:v>AvailableNow</x:v>
      </x:c>
      <x:c r="P253" s="1" t="str">
        <x:v>Rentals Available</x:v>
      </x:c>
      <x:c r="Q253" s="1" t="str"/>
      <x:c r="R253" s="1" t="str"/>
      <x:c r="S253" s="1" t="str"/>
      <x:c r="T253" s="1" t="str"/>
      <x:c r="U253" s="1" t="str"/>
      <x:c r="V253" s="1" t="str">
        <x:v>1</x:v>
      </x:c>
      <x:c r="W253" s="1" t="str"/>
      <x:c r="X253" s="1" t="str">
        <x:v>false</x:v>
      </x:c>
      <x:c r="Y253" s="1" t="str">
        <x:v>false</x:v>
      </x:c>
      <x:c r="Z253" s="1" t="str">
        <x:v>[]</x:v>
      </x:c>
    </x:row>
    <x:row r="254" ht="15" hidden="0" customHeight="1">
      <x:c r="A254" s="1" t="str">
        <x:v>75medjw</x:v>
      </x:c>
      <x:c r="B254" s="5" t="str">
        <x:v>Brickside</x:v>
      </x:c>
      <x:c r="C254" s="1" t="str">
        <x:v>6076669</x:v>
      </x:c>
      <x:c r="D254" s="1" t="str">
        <x:v>h3by1g3</x:v>
      </x:c>
      <x:c r="E254" s="1" t="str">
        <x:v>A3B</x:v>
      </x:c>
      <x:c r="F254" s="1" t="n">
        <x:v>1</x:v>
      </x:c>
      <x:c r="G254" s="1" t="n">
        <x:v>1</x:v>
      </x:c>
      <x:c r="H254" s="1" t="n">
        <x:v>1825</x:v>
      </x:c>
      <x:c r="I254" s="1" t="n">
        <x:v>1825</x:v>
      </x:c>
      <x:c r="J254" s="1" t="str">
        <x:v>$1,825</x:v>
      </x:c>
      <x:c r="K254" s="1" t="str">
        <x:v>$1,844</x:v>
      </x:c>
      <x:c r="L254" s="1" t="str">
        <x:v>true</x:v>
      </x:c>
      <x:c r="M254" s="1" t="str">
        <x:v>652 sq. ft.</x:v>
      </x:c>
      <x:c r="N254" s="1" t="n">
        <x:v>4</x:v>
      </x:c>
      <x:c r="O254" s="1" t="str">
        <x:v>AvailableNow</x:v>
      </x:c>
      <x:c r="P254" s="1" t="str">
        <x:v>Rentals Available</x:v>
      </x:c>
      <x:c r="Q254" s="1" t="str"/>
      <x:c r="R254" s="1" t="str"/>
      <x:c r="S254" s="1" t="str"/>
      <x:c r="T254" s="1" t="str"/>
      <x:c r="U254" s="1" t="str"/>
      <x:c r="V254" s="1" t="str">
        <x:v>1</x:v>
      </x:c>
      <x:c r="W254" s="1" t="str"/>
      <x:c r="X254" s="1" t="str">
        <x:v>false</x:v>
      </x:c>
      <x:c r="Y254" s="1" t="str">
        <x:v>false</x:v>
      </x:c>
      <x:c r="Z254" s="1" t="str">
        <x:v>[]</x:v>
      </x:c>
    </x:row>
    <x:row r="255" ht="15" hidden="0" customHeight="1">
      <x:c r="A255" s="1" t="str">
        <x:v>75medjw</x:v>
      </x:c>
      <x:c r="B255" s="5" t="str">
        <x:v>Brickside</x:v>
      </x:c>
      <x:c r="C255" s="1" t="str">
        <x:v>6076670</x:v>
      </x:c>
      <x:c r="D255" s="1" t="str">
        <x:v>zmmcy5z</x:v>
      </x:c>
      <x:c r="E255" s="1" t="str">
        <x:v>A4A</x:v>
      </x:c>
      <x:c r="F255" s="1" t="n">
        <x:v>1</x:v>
      </x:c>
      <x:c r="G255" s="1" t="n">
        <x:v>1</x:v>
      </x:c>
      <x:c r="H255" s="1" t="n">
        <x:v>1825</x:v>
      </x:c>
      <x:c r="I255" s="1" t="n">
        <x:v>1825</x:v>
      </x:c>
      <x:c r="J255" s="1" t="str">
        <x:v>$1,825</x:v>
      </x:c>
      <x:c r="K255" s="1" t="str">
        <x:v>$1,844</x:v>
      </x:c>
      <x:c r="L255" s="1" t="str">
        <x:v>true</x:v>
      </x:c>
      <x:c r="M255" s="1" t="str">
        <x:v>667 sq. ft.</x:v>
      </x:c>
      <x:c r="N255" s="1" t="n">
        <x:v>4</x:v>
      </x:c>
      <x:c r="O255" s="1" t="str">
        <x:v>AvailableNow</x:v>
      </x:c>
      <x:c r="P255" s="1" t="str">
        <x:v>Rentals Available</x:v>
      </x:c>
      <x:c r="Q255" s="1" t="str"/>
      <x:c r="R255" s="1" t="str"/>
      <x:c r="S255" s="1" t="str"/>
      <x:c r="T255" s="1" t="str"/>
      <x:c r="U255" s="1" t="str"/>
      <x:c r="V255" s="1" t="str">
        <x:v>1</x:v>
      </x:c>
      <x:c r="W255" s="1" t="str"/>
      <x:c r="X255" s="1" t="str">
        <x:v>false</x:v>
      </x:c>
      <x:c r="Y255" s="1" t="str">
        <x:v>false</x:v>
      </x:c>
      <x:c r="Z255" s="1" t="str">
        <x:v>[]</x:v>
      </x:c>
    </x:row>
    <x:row r="256" ht="15" hidden="0" customHeight="1">
      <x:c r="A256" s="1" t="str">
        <x:v>75medjw</x:v>
      </x:c>
      <x:c r="B256" s="5" t="str">
        <x:v>Brickside</x:v>
      </x:c>
      <x:c r="C256" s="1" t="str">
        <x:v>6076671</x:v>
      </x:c>
      <x:c r="D256" s="1" t="str">
        <x:v>4qrb50h</x:v>
      </x:c>
      <x:c r="E256" s="1" t="str">
        <x:v>A4B</x:v>
      </x:c>
      <x:c r="F256" s="1" t="n">
        <x:v>1</x:v>
      </x:c>
      <x:c r="G256" s="1" t="n">
        <x:v>1</x:v>
      </x:c>
      <x:c r="H256" s="1" t="n">
        <x:v>1825</x:v>
      </x:c>
      <x:c r="I256" s="1" t="n">
        <x:v>1825</x:v>
      </x:c>
      <x:c r="J256" s="1" t="str">
        <x:v>$1,825</x:v>
      </x:c>
      <x:c r="K256" s="1" t="str">
        <x:v>$1,844</x:v>
      </x:c>
      <x:c r="L256" s="1" t="str">
        <x:v>true</x:v>
      </x:c>
      <x:c r="M256" s="1" t="str">
        <x:v>688 sq. ft.</x:v>
      </x:c>
      <x:c r="N256" s="1" t="n">
        <x:v>4</x:v>
      </x:c>
      <x:c r="O256" s="1" t="str">
        <x:v>AvailableNow</x:v>
      </x:c>
      <x:c r="P256" s="1" t="str">
        <x:v>Rentals Available</x:v>
      </x:c>
      <x:c r="Q256" s="1" t="str"/>
      <x:c r="R256" s="1" t="str"/>
      <x:c r="S256" s="1" t="str"/>
      <x:c r="T256" s="1" t="str"/>
      <x:c r="U256" s="1" t="str"/>
      <x:c r="V256" s="1" t="str">
        <x:v>1</x:v>
      </x:c>
      <x:c r="W256" s="1" t="str"/>
      <x:c r="X256" s="1" t="str">
        <x:v>false</x:v>
      </x:c>
      <x:c r="Y256" s="1" t="str">
        <x:v>false</x:v>
      </x:c>
      <x:c r="Z256" s="1" t="str">
        <x:v>[]</x:v>
      </x:c>
    </x:row>
    <x:row r="257" ht="15" hidden="0" customHeight="1">
      <x:c r="A257" s="1" t="str">
        <x:v>75medjw</x:v>
      </x:c>
      <x:c r="B257" s="5" t="str">
        <x:v>Brickside</x:v>
      </x:c>
      <x:c r="C257" s="1" t="str">
        <x:v>6076668</x:v>
      </x:c>
      <x:c r="D257" s="1" t="str">
        <x:v>xwm9f4q</x:v>
      </x:c>
      <x:c r="E257" s="1" t="str">
        <x:v>A3A</x:v>
      </x:c>
      <x:c r="F257" s="1" t="n">
        <x:v>1</x:v>
      </x:c>
      <x:c r="G257" s="1" t="n">
        <x:v>1</x:v>
      </x:c>
      <x:c r="H257" s="1" t="n">
        <x:v>1825</x:v>
      </x:c>
      <x:c r="I257" s="1" t="n">
        <x:v>1825</x:v>
      </x:c>
      <x:c r="J257" s="1" t="str">
        <x:v>$1,825</x:v>
      </x:c>
      <x:c r="K257" s="1" t="str">
        <x:v>$1,844</x:v>
      </x:c>
      <x:c r="L257" s="1" t="str">
        <x:v>true</x:v>
      </x:c>
      <x:c r="M257" s="1" t="str">
        <x:v>635 sq. ft.</x:v>
      </x:c>
      <x:c r="N257" s="1" t="n">
        <x:v>1</x:v>
      </x:c>
      <x:c r="O257" s="1" t="str">
        <x:v>AvailableNow</x:v>
      </x:c>
      <x:c r="P257" s="1" t="str">
        <x:v>Rentals Available</x:v>
      </x:c>
      <x:c r="Q257" s="1" t="str"/>
      <x:c r="R257" s="1" t="str"/>
      <x:c r="S257" s="1" t="str"/>
      <x:c r="T257" s="1" t="str"/>
      <x:c r="U257" s="1" t="str"/>
      <x:c r="V257" s="1" t="str">
        <x:v>1</x:v>
      </x:c>
      <x:c r="W257" s="1" t="str"/>
      <x:c r="X257" s="1" t="str">
        <x:v>false</x:v>
      </x:c>
      <x:c r="Y257" s="1" t="str">
        <x:v>false</x:v>
      </x:c>
      <x:c r="Z257" s="1" t="str">
        <x:v>[]</x:v>
      </x:c>
    </x:row>
    <x:row r="258" ht="15" hidden="0" customHeight="1">
      <x:c r="A258" s="1" t="str">
        <x:v>75medjw</x:v>
      </x:c>
      <x:c r="B258" s="5" t="str">
        <x:v>Brickside</x:v>
      </x:c>
      <x:c r="C258" s="1" t="str">
        <x:v>6076672</x:v>
      </x:c>
      <x:c r="D258" s="1" t="str">
        <x:v>dvmelwh</x:v>
      </x:c>
      <x:c r="E258" s="1" t="str">
        <x:v>B1A</x:v>
      </x:c>
      <x:c r="F258" s="1" t="n">
        <x:v>2</x:v>
      </x:c>
      <x:c r="G258" s="1" t="n">
        <x:v>2</x:v>
      </x:c>
      <x:c r="H258" s="1" t="n">
        <x:v>1195</x:v>
      </x:c>
      <x:c r="I258" s="1" t="n">
        <x:v>1195</x:v>
      </x:c>
      <x:c r="J258" s="1" t="str">
        <x:v>$1,195</x:v>
      </x:c>
      <x:c r="K258" s="1" t="str">
        <x:v>$1,214</x:v>
      </x:c>
      <x:c r="L258" s="1" t="str">
        <x:v>true</x:v>
      </x:c>
      <x:c r="M258" s="1" t="str">
        <x:v>954 sq. ft.</x:v>
      </x:c>
      <x:c r="N258" s="1" t="n">
        <x:v>4</x:v>
      </x:c>
      <x:c r="O258" s="1" t="str">
        <x:v>AvailableNow</x:v>
      </x:c>
      <x:c r="P258" s="1" t="str">
        <x:v>Rentals Available</x:v>
      </x:c>
      <x:c r="Q258" s="1" t="str"/>
      <x:c r="R258" s="1" t="str"/>
      <x:c r="S258" s="1" t="str"/>
      <x:c r="T258" s="1" t="str"/>
      <x:c r="U258" s="1" t="str"/>
      <x:c r="V258" s="1" t="str">
        <x:v>2</x:v>
      </x:c>
      <x:c r="W258" s="1" t="str"/>
      <x:c r="X258" s="1" t="str">
        <x:v>false</x:v>
      </x:c>
      <x:c r="Y258" s="1" t="str">
        <x:v>false</x:v>
      </x:c>
      <x:c r="Z258" s="1" t="str">
        <x:v>[]</x:v>
      </x:c>
    </x:row>
    <x:row r="259" ht="15" hidden="0" customHeight="1">
      <x:c r="A259" s="1" t="str">
        <x:v>75medjw</x:v>
      </x:c>
      <x:c r="B259" s="5" t="str">
        <x:v>Brickside</x:v>
      </x:c>
      <x:c r="C259" s="1" t="str">
        <x:v>6076673</x:v>
      </x:c>
      <x:c r="D259" s="1" t="str">
        <x:v>6hs70ls</x:v>
      </x:c>
      <x:c r="E259" s="1" t="str">
        <x:v>D1A</x:v>
      </x:c>
      <x:c r="F259" s="1" t="n">
        <x:v>4</x:v>
      </x:c>
      <x:c r="G259" s="1" t="n">
        <x:v>4</x:v>
      </x:c>
      <x:c r="H259" s="1" t="n">
        <x:v>999</x:v>
      </x:c>
      <x:c r="I259" s="1" t="n">
        <x:v>999</x:v>
      </x:c>
      <x:c r="J259" s="1" t="str">
        <x:v>$999</x:v>
      </x:c>
      <x:c r="K259" s="1" t="str">
        <x:v>$1,018</x:v>
      </x:c>
      <x:c r="L259" s="1" t="str">
        <x:v>true</x:v>
      </x:c>
      <x:c r="M259" s="1" t="str">
        <x:v>1,369 sq. ft.</x:v>
      </x:c>
      <x:c r="N259" s="1" t="n">
        <x:v>4</x:v>
      </x:c>
      <x:c r="O259" s="1" t="str">
        <x:v>AvailableNow</x:v>
      </x:c>
      <x:c r="P259" s="1" t="str">
        <x:v>Rentals Available</x:v>
      </x:c>
      <x:c r="Q259" s="1" t="str"/>
      <x:c r="R259" s="1" t="str"/>
      <x:c r="S259" s="1" t="str"/>
      <x:c r="T259" s="1" t="str"/>
      <x:c r="U259" s="1" t="str"/>
      <x:c r="V259" s="1" t="str">
        <x:v>4</x:v>
      </x:c>
      <x:c r="W259" s="1" t="str"/>
      <x:c r="X259" s="1" t="str">
        <x:v>false</x:v>
      </x:c>
      <x:c r="Y259" s="1" t="str">
        <x:v>false</x:v>
      </x:c>
      <x:c r="Z259" s="1" t="str">
        <x:v>[]</x:v>
      </x:c>
    </x:row>
    <x:row r="260" ht="15" hidden="0" customHeight="1">
      <x:c r="A260" s="1" t="str">
        <x:v>75medjw</x:v>
      </x:c>
      <x:c r="B260" s="5" t="str">
        <x:v>Brickside</x:v>
      </x:c>
      <x:c r="C260" s="1" t="str">
        <x:v>4297716</x:v>
      </x:c>
      <x:c r="D260" s="1" t="str">
        <x:v>k7dzddb</x:v>
      </x:c>
      <x:c r="E260" s="1" t="str">
        <x:v>D2A</x:v>
      </x:c>
      <x:c r="F260" s="1" t="n">
        <x:v>4</x:v>
      </x:c>
      <x:c r="G260" s="1" t="n">
        <x:v>4</x:v>
      </x:c>
      <x:c r="H260" s="1" t="n">
        <x:v>999</x:v>
      </x:c>
      <x:c r="I260" s="1" t="n">
        <x:v>999</x:v>
      </x:c>
      <x:c r="J260" s="1" t="str">
        <x:v>$999</x:v>
      </x:c>
      <x:c r="K260" s="1" t="str">
        <x:v>$1,018</x:v>
      </x:c>
      <x:c r="L260" s="1" t="str">
        <x:v>true</x:v>
      </x:c>
      <x:c r="M260" s="1" t="str">
        <x:v>1,467 sq. ft.</x:v>
      </x:c>
      <x:c r="N260" s="1" t="n">
        <x:v>3</x:v>
      </x:c>
      <x:c r="O260" s="1" t="str">
        <x:v>AvailableNow</x:v>
      </x:c>
      <x:c r="P260" s="1" t="str">
        <x:v>Rentals Available</x:v>
      </x:c>
      <x:c r="Q260" s="1" t="str"/>
      <x:c r="R260" s="1" t="str"/>
      <x:c r="S260" s="1" t="str"/>
      <x:c r="T260" s="1" t="str"/>
      <x:c r="U260" s="1" t="str"/>
      <x:c r="V260" s="1" t="str">
        <x:v>4</x:v>
      </x:c>
      <x:c r="W260" s="1" t="str"/>
      <x:c r="X260" s="1" t="str">
        <x:v>false</x:v>
      </x:c>
      <x:c r="Y260" s="1" t="str">
        <x:v>true</x:v>
      </x:c>
      <x:c r="Z260" s="1" t="str">
        <x:v>[]</x:v>
      </x:c>
    </x:row>
    <x:row r="261" ht="15" hidden="0" customHeight="1">
      <x:c r="A261" s="1" t="str">
        <x:v>75medjw</x:v>
      </x:c>
      <x:c r="B261" s="5" t="str">
        <x:v>Brickside</x:v>
      </x:c>
      <x:c r="C261" s="1" t="str">
        <x:v>6076674</x:v>
      </x:c>
      <x:c r="D261" s="1" t="str">
        <x:v>nq4fzhn</x:v>
      </x:c>
      <x:c r="E261" s="1" t="str">
        <x:v>D1B</x:v>
      </x:c>
      <x:c r="F261" s="1" t="n">
        <x:v>4</x:v>
      </x:c>
      <x:c r="G261" s="1" t="n">
        <x:v>4</x:v>
      </x:c>
      <x:c r="H261" s="1" t="n">
        <x:v>999</x:v>
      </x:c>
      <x:c r="I261" s="1" t="n">
        <x:v>999</x:v>
      </x:c>
      <x:c r="J261" s="1" t="str">
        <x:v>$999</x:v>
      </x:c>
      <x:c r="K261" s="1" t="str">
        <x:v>$1,018</x:v>
      </x:c>
      <x:c r="L261" s="1" t="str">
        <x:v>true</x:v>
      </x:c>
      <x:c r="M261" s="1" t="str">
        <x:v>1,369 sq. ft.</x:v>
      </x:c>
      <x:c r="N261" s="1" t="n">
        <x:v>2</x:v>
      </x:c>
      <x:c r="O261" s="1" t="str">
        <x:v>AvailableNow</x:v>
      </x:c>
      <x:c r="P261" s="1" t="str">
        <x:v>Rentals Available</x:v>
      </x:c>
      <x:c r="Q261" s="1" t="str"/>
      <x:c r="R261" s="1" t="str"/>
      <x:c r="S261" s="1" t="str"/>
      <x:c r="T261" s="1" t="str"/>
      <x:c r="U261" s="1" t="str"/>
      <x:c r="V261" s="1" t="str">
        <x:v>4</x:v>
      </x:c>
      <x:c r="W261" s="1" t="str"/>
      <x:c r="X261" s="1" t="str">
        <x:v>false</x:v>
      </x:c>
      <x:c r="Y261" s="1" t="str">
        <x:v>false</x:v>
      </x:c>
      <x:c r="Z261" s="1" t="str">
        <x:v>[]</x:v>
      </x:c>
    </x:row>
    <x:row r="262" ht="15" hidden="0" customHeight="1">
      <x:c r="A262" s="1" t="str">
        <x:v>75medjw</x:v>
      </x:c>
      <x:c r="B262" s="5" t="str">
        <x:v>Brickside</x:v>
      </x:c>
      <x:c r="C262" s="1" t="str">
        <x:v>4297717</x:v>
      </x:c>
      <x:c r="D262" s="1" t="str">
        <x:v>7x5h6nx</x:v>
      </x:c>
      <x:c r="E262" s="1" t="str">
        <x:v>D4A</x:v>
      </x:c>
      <x:c r="F262" s="1" t="n">
        <x:v>4</x:v>
      </x:c>
      <x:c r="G262" s="1" t="n">
        <x:v>4</x:v>
      </x:c>
      <x:c r="H262" s="1" t="n">
        <x:v>1225</x:v>
      </x:c>
      <x:c r="I262" s="1" t="n">
        <x:v>1225</x:v>
      </x:c>
      <x:c r="J262" s="1" t="str">
        <x:v>$1,225</x:v>
      </x:c>
      <x:c r="K262" s="1" t="str">
        <x:v>$1,244</x:v>
      </x:c>
      <x:c r="L262" s="1" t="str">
        <x:v>true</x:v>
      </x:c>
      <x:c r="M262" s="1" t="str">
        <x:v>1,762 sq. ft.</x:v>
      </x:c>
      <x:c r="N262" s="1" t="n">
        <x:v>1</x:v>
      </x:c>
      <x:c r="O262" s="1" t="str">
        <x:v>AvailableNow</x:v>
      </x:c>
      <x:c r="P262" s="1" t="str">
        <x:v>Rentals Available</x:v>
      </x:c>
      <x:c r="Q262" s="1" t="str"/>
      <x:c r="R262" s="1" t="str"/>
      <x:c r="S262" s="1" t="str"/>
      <x:c r="T262" s="1" t="str"/>
      <x:c r="U262" s="1" t="str"/>
      <x:c r="V262" s="1" t="str">
        <x:v>4</x:v>
      </x:c>
      <x:c r="W262" s="1" t="str"/>
      <x:c r="X262" s="1" t="str">
        <x:v>false</x:v>
      </x:c>
      <x:c r="Y262" s="1" t="str">
        <x:v>true</x:v>
      </x:c>
      <x:c r="Z262" s="1" t="str">
        <x:v>[]</x:v>
      </x:c>
    </x:row>
    <x:row r="263" ht="15" hidden="0" customHeight="1">
      <x:c r="A263" s="1" t="str">
        <x:v>75medjw</x:v>
      </x:c>
      <x:c r="B263" s="5" t="str">
        <x:v>Brickside</x:v>
      </x:c>
      <x:c r="C263" s="1" t="str">
        <x:v>4297718</x:v>
      </x:c>
      <x:c r="D263" s="1" t="str">
        <x:v>7rjh3ey</x:v>
      </x:c>
      <x:c r="E263" s="1" t="str">
        <x:v>D3A</x:v>
      </x:c>
      <x:c r="F263" s="1" t="n">
        <x:v>4</x:v>
      </x:c>
      <x:c r="G263" s="1" t="n">
        <x:v>4.5</x:v>
      </x:c>
      <x:c r="H263" s="1" t="n">
        <x:v>1109</x:v>
      </x:c>
      <x:c r="I263" s="1" t="n">
        <x:v>1109</x:v>
      </x:c>
      <x:c r="J263" s="1" t="str">
        <x:v>$1,109</x:v>
      </x:c>
      <x:c r="K263" s="1" t="str">
        <x:v>$1,128</x:v>
      </x:c>
      <x:c r="L263" s="1" t="str">
        <x:v>true</x:v>
      </x:c>
      <x:c r="M263" s="1" t="str">
        <x:v>1,729 sq. ft.</x:v>
      </x:c>
      <x:c r="N263" s="1" t="n">
        <x:v>2</x:v>
      </x:c>
      <x:c r="O263" s="1" t="str">
        <x:v>AvailableNow</x:v>
      </x:c>
      <x:c r="P263" s="1" t="str">
        <x:v>Rentals Available</x:v>
      </x:c>
      <x:c r="Q263" s="1" t="str"/>
      <x:c r="R263" s="1" t="str"/>
      <x:c r="S263" s="1" t="str"/>
      <x:c r="T263" s="1" t="str"/>
      <x:c r="U263" s="1" t="str"/>
      <x:c r="V263" s="1" t="str">
        <x:v>4</x:v>
      </x:c>
      <x:c r="W263" s="1" t="str"/>
      <x:c r="X263" s="1" t="str">
        <x:v>false</x:v>
      </x:c>
      <x:c r="Y263" s="1" t="str">
        <x:v>true</x:v>
      </x:c>
      <x:c r="Z263" s="1" t="str">
        <x:v>[]</x:v>
      </x:c>
    </x:row>
    <x:row r="264" ht="24" hidden="0" customHeight="1">
      <x:c r="A264" s="1" t="str">
        <x:v>ocp6wsb4yt</x:v>
      </x:c>
      <x:c r="B264" s="5" t="str">
        <x:v>We have 1 bedroom open In a luxury 5 bed 5 full bath house 1/1/27-6/30/27</x:v>
      </x:c>
      <x:c r="C264" s="1" t="str">
        <x:v>1</x:v>
      </x:c>
      <x:c r="D264" s="1" t="str">
        <x:v>q2j0gkx</x:v>
      </x:c>
      <x:c r="E264" s="1" t="str"/>
      <x:c r="F264" s="1" t="n">
        <x:v>1</x:v>
      </x:c>
      <x:c r="G264" s="1" t="n">
        <x:v>1</x:v>
      </x:c>
      <x:c r="H264" s="1" t="n">
        <x:v>1200</x:v>
      </x:c>
      <x:c r="I264" s="1" t="n">
        <x:v>1200</x:v>
      </x:c>
      <x:c r="J264" s="1" t="str">
        <x:v>$1,200</x:v>
      </x:c>
      <x:c r="K264" s="1" t="str">
        <x:v>$1,200</x:v>
      </x:c>
      <x:c r="L264" s="1" t="str">
        <x:v>true</x:v>
      </x:c>
      <x:c r="M264" s="1" t="str"/>
      <x:c r="N264" s="1" t="n">
        <x:v>1</x:v>
      </x:c>
      <x:c r="O264" s="1" t="str">
        <x:v>FutureDate</x:v>
      </x:c>
      <x:c r="P264" s="1" t="str">
        <x:v>Available Soon</x:v>
      </x:c>
      <x:c r="Q264" s="1" t="n">
        <x:v>46388.99998842592</x:v>
      </x:c>
      <x:c r="R264" s="1" t="str"/>
      <x:c r="S264" s="1" t="str"/>
      <x:c r="T264" s="1" t="str">
        <x:v>N/A</x:v>
      </x:c>
      <x:c r="U264" s="1" t="str">
        <x:v>N/A</x:v>
      </x:c>
      <x:c r="V264" s="1" t="str">
        <x:v>5</x:v>
      </x:c>
      <x:c r="W264" s="1" t="str"/>
      <x:c r="X264" s="1" t="str">
        <x:v>false</x:v>
      </x:c>
      <x:c r="Y264" s="1" t="str">
        <x:v>false</x:v>
      </x:c>
      <x:c r="Z264" s="1" t="str">
        <x:v>[]</x:v>
      </x:c>
    </x:row>
    <x:row r="265" ht="15" hidden="0" customHeight="1">
      <x:c r="A265" s="1" t="str">
        <x:v>tv2h1cb</x:v>
      </x:c>
      <x:c r="B265" s="5" t="str">
        <x:v>Gorman Crossings</x:v>
      </x:c>
      <x:c r="C265" s="1" t="str">
        <x:v>756248</x:v>
      </x:c>
      <x:c r="D265" s="1" t="str">
        <x:v>kvhg6f8</x:v>
      </x:c>
      <x:c r="E265" s="1" t="str">
        <x:v>2B</x:v>
      </x:c>
      <x:c r="F265" s="1" t="n">
        <x:v>2</x:v>
      </x:c>
      <x:c r="G265" s="1" t="n">
        <x:v>1.5</x:v>
      </x:c>
      <x:c r="H265" s="1" t="n">
        <x:v>1295</x:v>
      </x:c>
      <x:c r="I265" s="1" t="n">
        <x:v>1325</x:v>
      </x:c>
      <x:c r="J265" s="1" t="str">
        <x:v>$1,295 - $1,325</x:v>
      </x:c>
      <x:c r="K265" s="1" t="str">
        <x:v>$1,295 - $1,325</x:v>
      </x:c>
      <x:c r="L265" s="1" t="str">
        <x:v>false</x:v>
      </x:c>
      <x:c r="M265" s="1" t="str">
        <x:v>985 sq. ft.</x:v>
      </x:c>
      <x:c r="N265" s="1" t="n">
        <x:v>1</x:v>
      </x:c>
      <x:c r="O265" s="1" t="str">
        <x:v>CallForAvailability</x:v>
      </x:c>
      <x:c r="P265" s="1" t="str">
        <x:v>Rentals Available</x:v>
      </x:c>
      <x:c r="Q265" s="1" t="str"/>
      <x:c r="R265" s="1" t="str"/>
      <x:c r="S265" s="1" t="str"/>
      <x:c r="T265" s="1" t="str"/>
      <x:c r="U265" s="1" t="str"/>
      <x:c r="V265" s="1" t="str"/>
      <x:c r="W265" s="1" t="str"/>
      <x:c r="X265" s="1" t="str">
        <x:v>false</x:v>
      </x:c>
      <x:c r="Y265" s="1" t="str">
        <x:v>false</x:v>
      </x:c>
      <x:c r="Z265" s="1" t="str">
        <x:v>[]</x:v>
      </x:c>
    </x:row>
    <x:row r="266" ht="15" hidden="0" customHeight="1">
      <x:c r="A266" s="1" t="str">
        <x:v>tv2h1cb</x:v>
      </x:c>
      <x:c r="B266" s="5" t="str">
        <x:v>Gorman Crossings</x:v>
      </x:c>
      <x:c r="C266" s="1" t="str">
        <x:v>756249</x:v>
      </x:c>
      <x:c r="D266" s="1" t="str">
        <x:v>0lkxp30</x:v>
      </x:c>
      <x:c r="E266" s="1" t="str">
        <x:v>2C</x:v>
      </x:c>
      <x:c r="F266" s="1" t="n">
        <x:v>2</x:v>
      </x:c>
      <x:c r="G266" s="1" t="n">
        <x:v>1.5</x:v>
      </x:c>
      <x:c r="H266" s="1" t="n">
        <x:v>1335</x:v>
      </x:c>
      <x:c r="I266" s="1" t="n">
        <x:v>1375</x:v>
      </x:c>
      <x:c r="J266" s="1" t="str">
        <x:v>$1,335 - $1,375</x:v>
      </x:c>
      <x:c r="K266" s="1" t="str">
        <x:v>$1,335 - $1,375</x:v>
      </x:c>
      <x:c r="L266" s="1" t="str">
        <x:v>false</x:v>
      </x:c>
      <x:c r="M266" s="1" t="str">
        <x:v>1,035 sq. ft.</x:v>
      </x:c>
      <x:c r="N266" s="1" t="n">
        <x:v>1</x:v>
      </x:c>
      <x:c r="O266" s="1" t="str">
        <x:v>CallForAvailability</x:v>
      </x:c>
      <x:c r="P266" s="1" t="str">
        <x:v>Rentals Available</x:v>
      </x:c>
      <x:c r="Q266" s="1" t="str"/>
      <x:c r="R266" s="1" t="str"/>
      <x:c r="S266" s="1" t="str"/>
      <x:c r="T266" s="1" t="str"/>
      <x:c r="U266" s="1" t="str"/>
      <x:c r="V266" s="1" t="str"/>
      <x:c r="W266" s="1" t="str"/>
      <x:c r="X266" s="1" t="str">
        <x:v>false</x:v>
      </x:c>
      <x:c r="Y266" s="1" t="str">
        <x:v>false</x:v>
      </x:c>
      <x:c r="Z266" s="1" t="str">
        <x:v>[]</x:v>
      </x:c>
    </x:row>
    <x:row r="267" ht="15" hidden="0" customHeight="1">
      <x:c r="A267" s="1" t="str">
        <x:v>tv2h1cb</x:v>
      </x:c>
      <x:c r="B267" s="5" t="str">
        <x:v>Gorman Crossings</x:v>
      </x:c>
      <x:c r="C267" s="1" t="str">
        <x:v>756247</x:v>
      </x:c>
      <x:c r="D267" s="1" t="str">
        <x:v>bxcq0mb</x:v>
      </x:c>
      <x:c r="E267" s="1" t="str">
        <x:v>2F</x:v>
      </x:c>
      <x:c r="F267" s="1" t="n">
        <x:v>2</x:v>
      </x:c>
      <x:c r="G267" s="1" t="n">
        <x:v>2.5</x:v>
      </x:c>
      <x:c r="H267" s="1" t="n">
        <x:v>1595</x:v>
      </x:c>
      <x:c r="I267" s="1" t="n">
        <x:v>1635</x:v>
      </x:c>
      <x:c r="J267" s="1" t="str">
        <x:v>$1,595 - $1,635</x:v>
      </x:c>
      <x:c r="K267" s="1" t="str">
        <x:v>$1,595 - $1,635</x:v>
      </x:c>
      <x:c r="L267" s="1" t="str">
        <x:v>false</x:v>
      </x:c>
      <x:c r="M267" s="1" t="str">
        <x:v>1,185 sq. ft.</x:v>
      </x:c>
      <x:c r="N267" s="1" t="n">
        <x:v>1</x:v>
      </x:c>
      <x:c r="O267" s="1" t="str">
        <x:v>CallForAvailability</x:v>
      </x:c>
      <x:c r="P267" s="1" t="str">
        <x:v>Rentals Available</x:v>
      </x:c>
      <x:c r="Q267" s="1" t="str"/>
      <x:c r="R267" s="1" t="str"/>
      <x:c r="S267" s="1" t="str"/>
      <x:c r="T267" s="1" t="str"/>
      <x:c r="U267" s="1" t="str"/>
      <x:c r="V267" s="1" t="str"/>
      <x:c r="W267" s="1" t="str"/>
      <x:c r="X267" s="1" t="str">
        <x:v>false</x:v>
      </x:c>
      <x:c r="Y267" s="1" t="str">
        <x:v>false</x:v>
      </x:c>
      <x:c r="Z267" s="1" t="str">
        <x:v>[]</x:v>
      </x:c>
    </x:row>
    <x:row r="268" ht="15" hidden="0" customHeight="1">
      <x:c r="A268" s="1" t="str">
        <x:v>tv2h1cb</x:v>
      </x:c>
      <x:c r="B268" s="5" t="str">
        <x:v>Gorman Crossings</x:v>
      </x:c>
      <x:c r="C268" s="1" t="str">
        <x:v>756250</x:v>
      </x:c>
      <x:c r="D268" s="1" t="str">
        <x:v>swfys74</x:v>
      </x:c>
      <x:c r="E268" s="1" t="str">
        <x:v>2E</x:v>
      </x:c>
      <x:c r="F268" s="1" t="n">
        <x:v>2</x:v>
      </x:c>
      <x:c r="G268" s="1" t="n">
        <x:v>2.5</x:v>
      </x:c>
      <x:c r="H268" s="1" t="n">
        <x:v>1595</x:v>
      </x:c>
      <x:c r="I268" s="1" t="n">
        <x:v>1635</x:v>
      </x:c>
      <x:c r="J268" s="1" t="str">
        <x:v>$1,595 - $1,635</x:v>
      </x:c>
      <x:c r="K268" s="1" t="str">
        <x:v>$1,595 - $1,635</x:v>
      </x:c>
      <x:c r="L268" s="1" t="str">
        <x:v>false</x:v>
      </x:c>
      <x:c r="M268" s="1" t="str">
        <x:v>1,125 sq. ft.</x:v>
      </x:c>
      <x:c r="N268" s="1" t="n">
        <x:v>1</x:v>
      </x:c>
      <x:c r="O268" s="1" t="str">
        <x:v>CallForAvailability</x:v>
      </x:c>
      <x:c r="P268" s="1" t="str">
        <x:v>Rentals Available</x:v>
      </x:c>
      <x:c r="Q268" s="1" t="str"/>
      <x:c r="R268" s="1" t="str"/>
      <x:c r="S268" s="1" t="str"/>
      <x:c r="T268" s="1" t="str"/>
      <x:c r="U268" s="1" t="str"/>
      <x:c r="V268" s="1" t="str"/>
      <x:c r="W268" s="1" t="str"/>
      <x:c r="X268" s="1" t="str">
        <x:v>false</x:v>
      </x:c>
      <x:c r="Y268" s="1" t="str">
        <x:v>false</x:v>
      </x:c>
      <x:c r="Z268" s="1" t="str">
        <x:v>[]</x:v>
      </x:c>
    </x:row>
    <x:row r="269" ht="15" hidden="0" customHeight="1">
      <x:c r="A269" s="1" t="str">
        <x:v>tv2h1cb</x:v>
      </x:c>
      <x:c r="B269" s="5" t="str">
        <x:v>Gorman Crossings</x:v>
      </x:c>
      <x:c r="C269" s="1" t="str">
        <x:v>756251</x:v>
      </x:c>
      <x:c r="D269" s="1" t="str">
        <x:v>w591htk</x:v>
      </x:c>
      <x:c r="E269" s="1" t="str">
        <x:v>3A</x:v>
      </x:c>
      <x:c r="F269" s="1" t="n">
        <x:v>3</x:v>
      </x:c>
      <x:c r="G269" s="1" t="n">
        <x:v>1.5</x:v>
      </x:c>
      <x:c r="H269" s="1" t="n">
        <x:v>1575</x:v>
      </x:c>
      <x:c r="I269" s="1" t="n">
        <x:v>1625</x:v>
      </x:c>
      <x:c r="J269" s="1" t="str">
        <x:v>$1,575 - $1,625</x:v>
      </x:c>
      <x:c r="K269" s="1" t="str">
        <x:v>$1,575 - $1,625</x:v>
      </x:c>
      <x:c r="L269" s="1" t="str">
        <x:v>false</x:v>
      </x:c>
      <x:c r="M269" s="1" t="str">
        <x:v>1,315 sq. ft.</x:v>
      </x:c>
      <x:c r="N269" s="1" t="n">
        <x:v>1</x:v>
      </x:c>
      <x:c r="O269" s="1" t="str">
        <x:v>CallForAvailability</x:v>
      </x:c>
      <x:c r="P269" s="1" t="str">
        <x:v>Rentals Available</x:v>
      </x:c>
      <x:c r="Q269" s="1" t="str"/>
      <x:c r="R269" s="1" t="str"/>
      <x:c r="S269" s="1" t="str"/>
      <x:c r="T269" s="1" t="str"/>
      <x:c r="U269" s="1" t="str"/>
      <x:c r="V269" s="1" t="str"/>
      <x:c r="W269" s="1" t="str"/>
      <x:c r="X269" s="1" t="str">
        <x:v>false</x:v>
      </x:c>
      <x:c r="Y269" s="1" t="str">
        <x:v>false</x:v>
      </x:c>
      <x:c r="Z269" s="1" t="str">
        <x:v>[]</x:v>
      </x:c>
    </x:row>
    <x:row r="270" ht="15" hidden="0" customHeight="1">
      <x:c r="A270" s="1" t="str">
        <x:v>tv2h1cb</x:v>
      </x:c>
      <x:c r="B270" s="5" t="str">
        <x:v>Gorman Crossings</x:v>
      </x:c>
      <x:c r="C270" s="1" t="str">
        <x:v>756252</x:v>
      </x:c>
      <x:c r="D270" s="1" t="str">
        <x:v>9tmfzv6</x:v>
      </x:c>
      <x:c r="E270" s="1" t="str">
        <x:v>3B</x:v>
      </x:c>
      <x:c r="F270" s="1" t="n">
        <x:v>3</x:v>
      </x:c>
      <x:c r="G270" s="1" t="n">
        <x:v>2</x:v>
      </x:c>
      <x:c r="H270" s="1" t="n">
        <x:v>1645</x:v>
      </x:c>
      <x:c r="I270" s="1" t="n">
        <x:v>1695</x:v>
      </x:c>
      <x:c r="J270" s="1" t="str">
        <x:v>$1,645 - $1,695</x:v>
      </x:c>
      <x:c r="K270" s="1" t="str">
        <x:v>$1,645 - $1,695</x:v>
      </x:c>
      <x:c r="L270" s="1" t="str">
        <x:v>false</x:v>
      </x:c>
      <x:c r="M270" s="1" t="str">
        <x:v>1,115 sq. ft.</x:v>
      </x:c>
      <x:c r="N270" s="1" t="n">
        <x:v>2</x:v>
      </x:c>
      <x:c r="O270" s="1" t="str">
        <x:v>CallForAvailability</x:v>
      </x:c>
      <x:c r="P270" s="1" t="str">
        <x:v>Rentals Available</x:v>
      </x:c>
      <x:c r="Q270" s="1" t="n">
        <x:v>46058.99998842592</x:v>
      </x:c>
      <x:c r="R270" s="1" t="str"/>
      <x:c r="S270" s="1" t="str"/>
      <x:c r="T270" s="1" t="str"/>
      <x:c r="U270" s="1" t="str"/>
      <x:c r="V270" s="1" t="str"/>
      <x:c r="W270" s="1" t="str"/>
      <x:c r="X270" s="1" t="str">
        <x:v>false</x:v>
      </x:c>
      <x:c r="Y270" s="1" t="str">
        <x:v>false</x:v>
      </x:c>
      <x:c r="Z270" s="1" t="str">
        <x:v>[]</x:v>
      </x:c>
    </x:row>
    <x:row r="271" ht="15" hidden="0" customHeight="1">
      <x:c r="A271" s="1" t="str">
        <x:v>tv2h1cb</x:v>
      </x:c>
      <x:c r="B271" s="5" t="str">
        <x:v>Gorman Crossings</x:v>
      </x:c>
      <x:c r="C271" s="1" t="str">
        <x:v>5827422</x:v>
      </x:c>
      <x:c r="D271" s="1" t="str">
        <x:v>gsfpqrz</x:v>
      </x:c>
      <x:c r="E271" s="1" t="str">
        <x:v>3E</x:v>
      </x:c>
      <x:c r="F271" s="1" t="n">
        <x:v>3</x:v>
      </x:c>
      <x:c r="G271" s="1" t="n">
        <x:v>2.5</x:v>
      </x:c>
      <x:c r="H271" s="1" t="n">
        <x:v>1845</x:v>
      </x:c>
      <x:c r="I271" s="1" t="n">
        <x:v>1895</x:v>
      </x:c>
      <x:c r="J271" s="1" t="str">
        <x:v>$1,845 - $1,895</x:v>
      </x:c>
      <x:c r="K271" s="1" t="str">
        <x:v>$1,845 - $1,895</x:v>
      </x:c>
      <x:c r="L271" s="1" t="str">
        <x:v>false</x:v>
      </x:c>
      <x:c r="M271" s="1" t="str">
        <x:v>1,315 sq. ft.</x:v>
      </x:c>
      <x:c r="N271" s="1" t="n">
        <x:v>0</x:v>
      </x:c>
      <x:c r="O271" s="1" t="str">
        <x:v>CallForAvailability</x:v>
      </x:c>
      <x:c r="P271" s="1" t="str">
        <x:v>Available Soon</x:v>
      </x:c>
      <x:c r="Q271" s="1" t="str"/>
      <x:c r="R271" s="1" t="str"/>
      <x:c r="S271" s="1" t="str"/>
      <x:c r="T271" s="1" t="str"/>
      <x:c r="U271" s="1" t="str"/>
      <x:c r="V271" s="1" t="str"/>
      <x:c r="W271" s="1" t="str"/>
      <x:c r="X271" s="1" t="str">
        <x:v>false</x:v>
      </x:c>
      <x:c r="Y271" s="1" t="str">
        <x:v>false</x:v>
      </x:c>
      <x:c r="Z271" s="1" t="str">
        <x:v>[]</x:v>
      </x:c>
    </x:row>
    <x:row r="272" ht="15" hidden="0" customHeight="1">
      <x:c r="A272" s="1" t="str">
        <x:v>tv2h1cb</x:v>
      </x:c>
      <x:c r="B272" s="5" t="str">
        <x:v>Gorman Crossings</x:v>
      </x:c>
      <x:c r="C272" s="1" t="str">
        <x:v>756253</x:v>
      </x:c>
      <x:c r="D272" s="1" t="str">
        <x:v>ybn37lr</x:v>
      </x:c>
      <x:c r="E272" s="1" t="str">
        <x:v>3C</x:v>
      </x:c>
      <x:c r="F272" s="1" t="n">
        <x:v>3</x:v>
      </x:c>
      <x:c r="G272" s="1" t="n">
        <x:v>2.5</x:v>
      </x:c>
      <x:c r="H272" s="1" t="n">
        <x:v>1975</x:v>
      </x:c>
      <x:c r="I272" s="1" t="n">
        <x:v>2025</x:v>
      </x:c>
      <x:c r="J272" s="1" t="str">
        <x:v>$1,975 - $2,025</x:v>
      </x:c>
      <x:c r="K272" s="1" t="str">
        <x:v>$1,975 - $2,025</x:v>
      </x:c>
      <x:c r="L272" s="1" t="str">
        <x:v>false</x:v>
      </x:c>
      <x:c r="M272" s="1" t="str">
        <x:v>1,485 sq. ft.</x:v>
      </x:c>
      <x:c r="N272" s="1" t="n">
        <x:v>0</x:v>
      </x:c>
      <x:c r="O272" s="1" t="str">
        <x:v>CallForAvailability</x:v>
      </x:c>
      <x:c r="P272" s="1" t="str">
        <x:v>Available Soon</x:v>
      </x:c>
      <x:c r="Q272" s="1" t="str"/>
      <x:c r="R272" s="1" t="str"/>
      <x:c r="S272" s="1" t="str"/>
      <x:c r="T272" s="1" t="str"/>
      <x:c r="U272" s="1" t="str"/>
      <x:c r="V272" s="1" t="str"/>
      <x:c r="W272" s="1" t="str"/>
      <x:c r="X272" s="1" t="str">
        <x:v>false</x:v>
      </x:c>
      <x:c r="Y272" s="1" t="str">
        <x:v>false</x:v>
      </x:c>
      <x:c r="Z272" s="1" t="str">
        <x:v>[]</x:v>
      </x:c>
    </x:row>
    <x:row r="273" ht="15" hidden="0" customHeight="1">
      <x:c r="A273" s="1" t="str">
        <x:v>tv2h1cb</x:v>
      </x:c>
      <x:c r="B273" s="5" t="str">
        <x:v>Gorman Crossings</x:v>
      </x:c>
      <x:c r="C273" s="1" t="str">
        <x:v>756254</x:v>
      </x:c>
      <x:c r="D273" s="1" t="str">
        <x:v>w0x1n2j</x:v>
      </x:c>
      <x:c r="E273" s="1" t="str">
        <x:v>3D</x:v>
      </x:c>
      <x:c r="F273" s="1" t="n">
        <x:v>3</x:v>
      </x:c>
      <x:c r="G273" s="1" t="n">
        <x:v>3.5</x:v>
      </x:c>
      <x:c r="H273" s="1" t="n">
        <x:v>2095</x:v>
      </x:c>
      <x:c r="I273" s="1" t="n">
        <x:v>2145</x:v>
      </x:c>
      <x:c r="J273" s="1" t="str">
        <x:v>$2,095 - $2,145</x:v>
      </x:c>
      <x:c r="K273" s="1" t="str">
        <x:v>$2,095 - $2,145</x:v>
      </x:c>
      <x:c r="L273" s="1" t="str">
        <x:v>false</x:v>
      </x:c>
      <x:c r="M273" s="1" t="str">
        <x:v>1,785 sq. ft.</x:v>
      </x:c>
      <x:c r="N273" s="1" t="n">
        <x:v>0</x:v>
      </x:c>
      <x:c r="O273" s="1" t="str">
        <x:v>CallForAvailability</x:v>
      </x:c>
      <x:c r="P273" s="1" t="str">
        <x:v>Available Soon</x:v>
      </x:c>
      <x:c r="Q273" s="1" t="str"/>
      <x:c r="R273" s="1" t="str"/>
      <x:c r="S273" s="1" t="str"/>
      <x:c r="T273" s="1" t="str"/>
      <x:c r="U273" s="1" t="str"/>
      <x:c r="V273" s="1" t="str"/>
      <x:c r="W273" s="1" t="str"/>
      <x:c r="X273" s="1" t="str">
        <x:v>false</x:v>
      </x:c>
      <x:c r="Y273" s="1" t="str">
        <x:v>false</x:v>
      </x:c>
      <x:c r="Z273" s="1" t="str">
        <x:v>[]</x:v>
      </x:c>
    </x:row>
    <x:row r="274" ht="15" hidden="0" customHeight="1">
      <x:c r="A274" s="1" t="str">
        <x:v>ocpbp1v5c9</x:v>
      </x:c>
      <x:c r="B274" s="5" t="str">
        <x:v>Prime ITB location one block off Ridge Road</x:v>
      </x:c>
      <x:c r="C274" s="1" t="str">
        <x:v>1</x:v>
      </x:c>
      <x:c r="D274" s="1" t="str">
        <x:v>q2j0gkx</x:v>
      </x:c>
      <x:c r="E274" s="1" t="str"/>
      <x:c r="F274" s="1" t="n">
        <x:v>3</x:v>
      </x:c>
      <x:c r="G274" s="1" t="n">
        <x:v>2</x:v>
      </x:c>
      <x:c r="H274" s="1" t="n">
        <x:v>2800</x:v>
      </x:c>
      <x:c r="I274" s="1" t="n">
        <x:v>2800</x:v>
      </x:c>
      <x:c r="J274" s="1" t="str">
        <x:v>$2,800</x:v>
      </x:c>
      <x:c r="K274" s="1" t="str">
        <x:v>$2,800</x:v>
      </x:c>
      <x:c r="L274" s="1" t="str">
        <x:v>false</x:v>
      </x:c>
      <x:c r="M274" s="1" t="str">
        <x:v>1,900 sq. ft.</x:v>
      </x:c>
      <x:c r="N274" s="1" t="n">
        <x:v>1</x:v>
      </x:c>
      <x:c r="O274" s="1" t="str">
        <x:v>AvailableNow</x:v>
      </x:c>
      <x:c r="P274" s="1" t="str">
        <x:v>Rentals Available</x:v>
      </x:c>
      <x:c r="Q274" s="1" t="n">
        <x:v>25569.999988425927</x:v>
      </x:c>
      <x:c r="R274" s="1" t="str"/>
      <x:c r="S274" s="1" t="str"/>
      <x:c r="T274" s="1" t="str">
        <x:v>N/A</x:v>
      </x:c>
      <x:c r="U274" s="1" t="str">
        <x:v>N/A</x:v>
      </x:c>
      <x:c r="V274" s="1" t="str">
        <x:v>4</x:v>
      </x:c>
      <x:c r="W274" s="1" t="str"/>
      <x:c r="X274" s="1" t="str">
        <x:v>false</x:v>
      </x:c>
      <x:c r="Y274" s="1" t="str">
        <x:v>false</x:v>
      </x:c>
      <x:c r="Z274" s="1" t="str">
        <x:v>[]</x:v>
      </x:c>
    </x:row>
    <x:row r="275" ht="15" hidden="0" customHeight="1">
      <x:c r="A275" s="1" t="str">
        <x:v>5x5ph7m</x:v>
      </x:c>
      <x:c r="B275" s="5" t="str">
        <x:v>Redpoint Raleigh</x:v>
      </x:c>
      <x:c r="C275" s="1" t="str">
        <x:v>1333967</x:v>
      </x:c>
      <x:c r="D275" s="1" t="str">
        <x:v>jz3xeb5</x:v>
      </x:c>
      <x:c r="E275" s="1" t="str">
        <x:v>3 Bedroom, 3 BathTownhome</x:v>
      </x:c>
      <x:c r="F275" s="1" t="n">
        <x:v>3</x:v>
      </x:c>
      <x:c r="G275" s="1" t="n">
        <x:v>3</x:v>
      </x:c>
      <x:c r="H275" s="1" t="n">
        <x:v>995</x:v>
      </x:c>
      <x:c r="I275" s="1" t="n">
        <x:v>995</x:v>
      </x:c>
      <x:c r="J275" s="1" t="str">
        <x:v>$995</x:v>
      </x:c>
      <x:c r="K275" s="1" t="str">
        <x:v>$995</x:v>
      </x:c>
      <x:c r="L275" s="1" t="str">
        <x:v>true</x:v>
      </x:c>
      <x:c r="M275" s="1" t="str">
        <x:v>1,353 - 1,395 sq. ft.</x:v>
      </x:c>
      <x:c r="N275" s="1" t="n">
        <x:v>0</x:v>
      </x:c>
      <x:c r="O275" s="1" t="str">
        <x:v>AvailableSoon</x:v>
      </x:c>
      <x:c r="P275" s="1" t="str">
        <x:v>Available Soon</x:v>
      </x:c>
      <x:c r="Q275" s="1" t="str"/>
      <x:c r="R275" s="1" t="str"/>
      <x:c r="S275" s="1" t="str"/>
      <x:c r="T275" s="1" t="str"/>
      <x:c r="U275" s="1" t="str"/>
      <x:c r="V275" s="1" t="str">
        <x:v>3</x:v>
      </x:c>
      <x:c r="W275" s="1" t="str"/>
      <x:c r="X275" s="1" t="str">
        <x:v>false</x:v>
      </x:c>
      <x:c r="Y275" s="1" t="str">
        <x:v>false</x:v>
      </x:c>
      <x:c r="Z275" s="1" t="str">
        <x:v>[]</x:v>
      </x:c>
    </x:row>
    <x:row r="276" ht="15" hidden="0" customHeight="1">
      <x:c r="A276" s="1" t="str">
        <x:v>5x5ph7m</x:v>
      </x:c>
      <x:c r="B276" s="5" t="str">
        <x:v>Redpoint Raleigh</x:v>
      </x:c>
      <x:c r="C276" s="1" t="str">
        <x:v>1333978</x:v>
      </x:c>
      <x:c r="D276" s="1" t="str">
        <x:v>z1tlvyz</x:v>
      </x:c>
      <x:c r="E276" s="1" t="str">
        <x:v>4 Bedroom, 4 Bath Townhome</x:v>
      </x:c>
      <x:c r="F276" s="1" t="n">
        <x:v>4</x:v>
      </x:c>
      <x:c r="G276" s="1" t="n">
        <x:v>4</x:v>
      </x:c>
      <x:c r="H276" s="1" t="n">
        <x:v>899</x:v>
      </x:c>
      <x:c r="I276" s="1" t="n">
        <x:v>899</x:v>
      </x:c>
      <x:c r="J276" s="1" t="str">
        <x:v>$899</x:v>
      </x:c>
      <x:c r="K276" s="1" t="str">
        <x:v>$899</x:v>
      </x:c>
      <x:c r="L276" s="1" t="str">
        <x:v>true</x:v>
      </x:c>
      <x:c r="M276" s="1" t="str">
        <x:v>1,748 - 2,124 sq. ft.</x:v>
      </x:c>
      <x:c r="N276" s="1" t="n">
        <x:v>0</x:v>
      </x:c>
      <x:c r="O276" s="1" t="str">
        <x:v>AvailableSoon</x:v>
      </x:c>
      <x:c r="P276" s="1" t="str">
        <x:v>Available Soon</x:v>
      </x:c>
      <x:c r="Q276" s="1" t="str"/>
      <x:c r="R276" s="1" t="str"/>
      <x:c r="S276" s="1" t="str"/>
      <x:c r="T276" s="1" t="str"/>
      <x:c r="U276" s="1" t="str"/>
      <x:c r="V276" s="1" t="str">
        <x:v>4</x:v>
      </x:c>
      <x:c r="W276" s="1" t="str"/>
      <x:c r="X276" s="1" t="str">
        <x:v>false</x:v>
      </x:c>
      <x:c r="Y276" s="1" t="str">
        <x:v>false</x:v>
      </x:c>
      <x:c r="Z276" s="1" t="str">
        <x:v>[]</x:v>
      </x:c>
    </x:row>
    <x:row r="277" ht="15" hidden="0" customHeight="1">
      <x:c r="A277" s="1" t="str">
        <x:v>5x5ph7m</x:v>
      </x:c>
      <x:c r="B277" s="5" t="str">
        <x:v>Redpoint Raleigh</x:v>
      </x:c>
      <x:c r="C277" s="1" t="str">
        <x:v>1699433</x:v>
      </x:c>
      <x:c r="D277" s="1" t="str">
        <x:v>k61qb4c</x:v>
      </x:c>
      <x:c r="E277" s="1" t="str">
        <x:v>4 Bedroom, 4.5 Bath Commons</x:v>
      </x:c>
      <x:c r="F277" s="1" t="n">
        <x:v>4</x:v>
      </x:c>
      <x:c r="G277" s="1" t="n">
        <x:v>4.5</x:v>
      </x:c>
      <x:c r="H277" s="1" t="n">
        <x:v>905</x:v>
      </x:c>
      <x:c r="I277" s="1" t="n">
        <x:v>905</x:v>
      </x:c>
      <x:c r="J277" s="1" t="str">
        <x:v>$905</x:v>
      </x:c>
      <x:c r="K277" s="1" t="str">
        <x:v>$905</x:v>
      </x:c>
      <x:c r="L277" s="1" t="str">
        <x:v>true</x:v>
      </x:c>
      <x:c r="M277" s="1" t="str">
        <x:v>1,785 - 2,333 sq. ft.</x:v>
      </x:c>
      <x:c r="N277" s="1" t="n">
        <x:v>0</x:v>
      </x:c>
      <x:c r="O277" s="1" t="str">
        <x:v>AvailableSoon</x:v>
      </x:c>
      <x:c r="P277" s="1" t="str">
        <x:v>Available Soon</x:v>
      </x:c>
      <x:c r="Q277" s="1" t="str"/>
      <x:c r="R277" s="1" t="str"/>
      <x:c r="S277" s="1" t="str"/>
      <x:c r="T277" s="1" t="str"/>
      <x:c r="U277" s="1" t="str"/>
      <x:c r="V277" s="1" t="str">
        <x:v>4</x:v>
      </x:c>
      <x:c r="W277" s="1" t="str"/>
      <x:c r="X277" s="1" t="str">
        <x:v>false</x:v>
      </x:c>
      <x:c r="Y277" s="1" t="str">
        <x:v>false</x:v>
      </x:c>
      <x:c r="Z277" s="1" t="str">
        <x:v>[]</x:v>
      </x:c>
    </x:row>
    <x:row r="278" ht="24" hidden="0" customHeight="1">
      <x:c r="A278" s="1" t="str">
        <x:v>ocp5z7c91m</x:v>
      </x:c>
      <x:c r="B278" s="5" t="str">
        <x:v>$300 off 1st month's rent! Spacious 3BD/2.5BA Townhome Rental available near NCSU for fall semester!</x:v>
      </x:c>
      <x:c r="C278" s="1" t="str">
        <x:v>1</x:v>
      </x:c>
      <x:c r="D278" s="1" t="str">
        <x:v>q2j0gkx</x:v>
      </x:c>
      <x:c r="E278" s="1" t="str"/>
      <x:c r="F278" s="1" t="n">
        <x:v>3</x:v>
      </x:c>
      <x:c r="G278" s="1" t="n">
        <x:v>2</x:v>
      </x:c>
      <x:c r="H278" s="1" t="n">
        <x:v>1800</x:v>
      </x:c>
      <x:c r="I278" s="1" t="n">
        <x:v>1800</x:v>
      </x:c>
      <x:c r="J278" s="1" t="str">
        <x:v>$1,800</x:v>
      </x:c>
      <x:c r="K278" s="1" t="str">
        <x:v>$1,800</x:v>
      </x:c>
      <x:c r="L278" s="1" t="str">
        <x:v>false</x:v>
      </x:c>
      <x:c r="M278" s="1" t="str">
        <x:v>1,100 sq. ft.</x:v>
      </x:c>
      <x:c r="N278" s="1" t="n">
        <x:v>1</x:v>
      </x:c>
      <x:c r="O278" s="1" t="str">
        <x:v>AvailableNow</x:v>
      </x:c>
      <x:c r="P278" s="1" t="str">
        <x:v>Rentals Available</x:v>
      </x:c>
      <x:c r="Q278" s="1" t="n">
        <x:v>46247.99998842592</x:v>
      </x:c>
      <x:c r="R278" s="1" t="str"/>
      <x:c r="S278" s="1" t="str"/>
      <x:c r="T278" s="1" t="str">
        <x:v>N/A</x:v>
      </x:c>
      <x:c r="U278" s="1" t="str">
        <x:v>N/A</x:v>
      </x:c>
      <x:c r="V278" s="1" t="str">
        <x:v>4</x:v>
      </x:c>
      <x:c r="W278" s="1" t="str"/>
      <x:c r="X278" s="1" t="str">
        <x:v>false</x:v>
      </x:c>
      <x:c r="Y278" s="1" t="str">
        <x:v>false</x:v>
      </x:c>
      <x:c r="Z278" s="1" t="str">
        <x:v>[]</x:v>
      </x:c>
    </x:row>
    <x:row r="279" ht="15" hidden="0" customHeight="1">
      <x:c r="A279" s="1" t="str">
        <x:v>syvz9l4</x:v>
      </x:c>
      <x:c r="B279" s="5" t="str">
        <x:v>The Wilde</x:v>
      </x:c>
      <x:c r="C279" s="1" t="str">
        <x:v>4289016</x:v>
      </x:c>
      <x:c r="D279" s="1" t="str">
        <x:v>zp6yngw</x:v>
      </x:c>
      <x:c r="E279" s="1" t="str">
        <x:v>B1 Premium</x:v>
      </x:c>
      <x:c r="F279" s="1" t="n">
        <x:v>2</x:v>
      </x:c>
      <x:c r="G279" s="1" t="n">
        <x:v>2</x:v>
      </x:c>
      <x:c r="H279" s="1" t="n">
        <x:v>730</x:v>
      </x:c>
      <x:c r="I279" s="1" t="n">
        <x:v>730</x:v>
      </x:c>
      <x:c r="J279" s="1" t="str">
        <x:v>$730</x:v>
      </x:c>
      <x:c r="K279" s="1" t="str">
        <x:v>$730</x:v>
      </x:c>
      <x:c r="L279" s="1" t="str">
        <x:v>true</x:v>
      </x:c>
      <x:c r="M279" s="1" t="str">
        <x:v>430 sq. ft.</x:v>
      </x:c>
      <x:c r="N279" s="1" t="n">
        <x:v>3</x:v>
      </x:c>
      <x:c r="O279" s="1" t="str">
        <x:v>AvailableNow</x:v>
      </x:c>
      <x:c r="P279" s="1" t="str">
        <x:v>Rentals Available</x:v>
      </x:c>
      <x:c r="Q279" s="1" t="n">
        <x:v>46248.99998842592</x:v>
      </x:c>
      <x:c r="R279" s="1" t="str"/>
      <x:c r="S279" s="1" t="str"/>
      <x:c r="T279" s="1" t="str"/>
      <x:c r="U279" s="1" t="str"/>
      <x:c r="V279" s="1" t="str"/>
      <x:c r="W279" s="1" t="str"/>
      <x:c r="X279" s="1" t="str">
        <x:v>false</x:v>
      </x:c>
      <x:c r="Y279" s="1" t="str">
        <x:v>false</x:v>
      </x:c>
      <x:c r="Z279" s="1" t="str">
        <x:v>[]</x:v>
      </x:c>
    </x:row>
    <x:row r="280" ht="15" hidden="0" customHeight="1">
      <x:c r="A280" s="1" t="str">
        <x:v>syvz9l4</x:v>
      </x:c>
      <x:c r="B280" s="5" t="str">
        <x:v>The Wilde</x:v>
      </x:c>
      <x:c r="C280" s="1" t="str">
        <x:v>4289021</x:v>
      </x:c>
      <x:c r="D280" s="1" t="str">
        <x:v>28ysvh8</x:v>
      </x:c>
      <x:c r="E280" s="1" t="str">
        <x:v>B1</x:v>
      </x:c>
      <x:c r="F280" s="1" t="n">
        <x:v>2</x:v>
      </x:c>
      <x:c r="G280" s="1" t="n">
        <x:v>2</x:v>
      </x:c>
      <x:c r="H280" s="1" t="n">
        <x:v>920</x:v>
      </x:c>
      <x:c r="I280" s="1" t="n">
        <x:v>920</x:v>
      </x:c>
      <x:c r="J280" s="1" t="str">
        <x:v>$920</x:v>
      </x:c>
      <x:c r="K280" s="1" t="str">
        <x:v>$920</x:v>
      </x:c>
      <x:c r="L280" s="1" t="str">
        <x:v>true</x:v>
      </x:c>
      <x:c r="M280" s="1" t="str">
        <x:v>430 sq. ft.</x:v>
      </x:c>
      <x:c r="N280" s="1" t="n">
        <x:v>0</x:v>
      </x:c>
      <x:c r="O280" s="1" t="str">
        <x:v>AvailableSoon</x:v>
      </x:c>
      <x:c r="P280" s="1" t="str">
        <x:v>Available Soon</x:v>
      </x:c>
      <x:c r="Q280" s="1" t="str"/>
      <x:c r="R280" s="1" t="str"/>
      <x:c r="S280" s="1" t="str"/>
      <x:c r="T280" s="1" t="str"/>
      <x:c r="U280" s="1" t="str"/>
      <x:c r="V280" s="1" t="str"/>
      <x:c r="W280" s="1" t="str"/>
      <x:c r="X280" s="1" t="str">
        <x:v>false</x:v>
      </x:c>
      <x:c r="Y280" s="1" t="str">
        <x:v>false</x:v>
      </x:c>
      <x:c r="Z280" s="1" t="str">
        <x:v>[]</x:v>
      </x:c>
    </x:row>
    <x:row r="281" ht="15" hidden="0" customHeight="1">
      <x:c r="A281" s="1" t="str">
        <x:v>syvz9l4</x:v>
      </x:c>
      <x:c r="B281" s="5" t="str">
        <x:v>The Wilde</x:v>
      </x:c>
      <x:c r="C281" s="1" t="str">
        <x:v>4289020</x:v>
      </x:c>
      <x:c r="D281" s="1" t="str">
        <x:v>gq0fmvw</x:v>
      </x:c>
      <x:c r="E281" s="1" t="str">
        <x:v>C1 Premium</x:v>
      </x:c>
      <x:c r="F281" s="1" t="n">
        <x:v>3</x:v>
      </x:c>
      <x:c r="G281" s="1" t="n">
        <x:v>3</x:v>
      </x:c>
      <x:c r="H281" s="1" t="n">
        <x:v>690</x:v>
      </x:c>
      <x:c r="I281" s="1" t="n">
        <x:v>690</x:v>
      </x:c>
      <x:c r="J281" s="1" t="str">
        <x:v>$690</x:v>
      </x:c>
      <x:c r="K281" s="1" t="str">
        <x:v>$690</x:v>
      </x:c>
      <x:c r="L281" s="1" t="str">
        <x:v>true</x:v>
      </x:c>
      <x:c r="M281" s="1" t="str">
        <x:v>381 sq. ft.</x:v>
      </x:c>
      <x:c r="N281" s="1" t="n">
        <x:v>3</x:v>
      </x:c>
      <x:c r="O281" s="1" t="str">
        <x:v>AvailableNow</x:v>
      </x:c>
      <x:c r="P281" s="1" t="str">
        <x:v>Rentals Available</x:v>
      </x:c>
      <x:c r="Q281" s="1" t="n">
        <x:v>46248.99998842592</x:v>
      </x:c>
      <x:c r="R281" s="1" t="str"/>
      <x:c r="S281" s="1" t="str"/>
      <x:c r="T281" s="1" t="str"/>
      <x:c r="U281" s="1" t="str"/>
      <x:c r="V281" s="1" t="str"/>
      <x:c r="W281" s="1" t="str"/>
      <x:c r="X281" s="1" t="str">
        <x:v>false</x:v>
      </x:c>
      <x:c r="Y281" s="1" t="str">
        <x:v>false</x:v>
      </x:c>
      <x:c r="Z281" s="1" t="str">
        <x:v>[]</x:v>
      </x:c>
    </x:row>
    <x:row r="282" ht="15" hidden="0" customHeight="1">
      <x:c r="A282" s="1" t="str">
        <x:v>syvz9l4</x:v>
      </x:c>
      <x:c r="B282" s="5" t="str">
        <x:v>The Wilde</x:v>
      </x:c>
      <x:c r="C282" s="1" t="str">
        <x:v>4289018</x:v>
      </x:c>
      <x:c r="D282" s="1" t="str">
        <x:v>ytn5s9s</x:v>
      </x:c>
      <x:c r="E282" s="1" t="str">
        <x:v>D1</x:v>
      </x:c>
      <x:c r="F282" s="1" t="n">
        <x:v>4</x:v>
      </x:c>
      <x:c r="G282" s="1" t="n">
        <x:v>4</x:v>
      </x:c>
      <x:c r="H282" s="1" t="n">
        <x:v>599</x:v>
      </x:c>
      <x:c r="I282" s="1" t="n">
        <x:v>599</x:v>
      </x:c>
      <x:c r="J282" s="1" t="str">
        <x:v>$599</x:v>
      </x:c>
      <x:c r="K282" s="1" t="str">
        <x:v>$599</x:v>
      </x:c>
      <x:c r="L282" s="1" t="str">
        <x:v>true</x:v>
      </x:c>
      <x:c r="M282" s="1" t="str">
        <x:v>330 sq. ft.</x:v>
      </x:c>
      <x:c r="N282" s="1" t="n">
        <x:v>3</x:v>
      </x:c>
      <x:c r="O282" s="1" t="str">
        <x:v>AvailableNow</x:v>
      </x:c>
      <x:c r="P282" s="1" t="str">
        <x:v>Rentals Available</x:v>
      </x:c>
      <x:c r="Q282" s="1" t="n">
        <x:v>46248.99998842592</x:v>
      </x:c>
      <x:c r="R282" s="1" t="str"/>
      <x:c r="S282" s="1" t="str"/>
      <x:c r="T282" s="1" t="str"/>
      <x:c r="U282" s="1" t="str"/>
      <x:c r="V282" s="1" t="str"/>
      <x:c r="W282" s="1" t="str"/>
      <x:c r="X282" s="1" t="str">
        <x:v>false</x:v>
      </x:c>
      <x:c r="Y282" s="1" t="str">
        <x:v>false</x:v>
      </x:c>
      <x:c r="Z282" s="1" t="str">
        <x:v>[]</x:v>
      </x:c>
    </x:row>
    <x:row r="283" ht="15" hidden="0" customHeight="1">
      <x:c r="A283" s="1" t="str">
        <x:v>syvz9l4</x:v>
      </x:c>
      <x:c r="B283" s="5" t="str">
        <x:v>The Wilde</x:v>
      </x:c>
      <x:c r="C283" s="1" t="str">
        <x:v>4289017</x:v>
      </x:c>
      <x:c r="D283" s="1" t="str">
        <x:v>c3hbhrg</x:v>
      </x:c>
      <x:c r="E283" s="1" t="str">
        <x:v>D1 Premium</x:v>
      </x:c>
      <x:c r="F283" s="1" t="n">
        <x:v>4</x:v>
      </x:c>
      <x:c r="G283" s="1" t="n">
        <x:v>4</x:v>
      </x:c>
      <x:c r="H283" s="1" t="n">
        <x:v>660</x:v>
      </x:c>
      <x:c r="I283" s="1" t="n">
        <x:v>660</x:v>
      </x:c>
      <x:c r="J283" s="1" t="str">
        <x:v>$660</x:v>
      </x:c>
      <x:c r="K283" s="1" t="str">
        <x:v>$660</x:v>
      </x:c>
      <x:c r="L283" s="1" t="str">
        <x:v>true</x:v>
      </x:c>
      <x:c r="M283" s="1" t="str">
        <x:v>330 sq. ft.</x:v>
      </x:c>
      <x:c r="N283" s="1" t="n">
        <x:v>3</x:v>
      </x:c>
      <x:c r="O283" s="1" t="str">
        <x:v>AvailableNow</x:v>
      </x:c>
      <x:c r="P283" s="1" t="str">
        <x:v>Rentals Available</x:v>
      </x:c>
      <x:c r="Q283" s="1" t="n">
        <x:v>46248.99998842592</x:v>
      </x:c>
      <x:c r="R283" s="1" t="str"/>
      <x:c r="S283" s="1" t="str"/>
      <x:c r="T283" s="1" t="str"/>
      <x:c r="U283" s="1" t="str"/>
      <x:c r="V283" s="1" t="str"/>
      <x:c r="W283" s="1" t="str"/>
      <x:c r="X283" s="1" t="str">
        <x:v>false</x:v>
      </x:c>
      <x:c r="Y283" s="1" t="str">
        <x:v>false</x:v>
      </x:c>
      <x:c r="Z283" s="1" t="str">
        <x:v>[]</x:v>
      </x:c>
    </x:row>
    <x:row r="284" ht="15" hidden="0" customHeight="1">
      <x:c r="A284" s="1" t="str">
        <x:v>ocph8n0fc0</x:v>
      </x:c>
      <x:c r="B284" s="5" t="str">
        <x:v>Affordable Student Housing 1 Block from Campus on Wolf Line</x:v>
      </x:c>
      <x:c r="C284" s="1" t="str">
        <x:v>1</x:v>
      </x:c>
      <x:c r="D284" s="1" t="str">
        <x:v>q2j0gkx</x:v>
      </x:c>
      <x:c r="E284" s="1" t="str"/>
      <x:c r="F284" s="1" t="n">
        <x:v>4</x:v>
      </x:c>
      <x:c r="G284" s="1" t="n">
        <x:v>4</x:v>
      </x:c>
      <x:c r="H284" s="1" t="n">
        <x:v>640</x:v>
      </x:c>
      <x:c r="I284" s="1" t="n">
        <x:v>640</x:v>
      </x:c>
      <x:c r="J284" s="1" t="str">
        <x:v>$640</x:v>
      </x:c>
      <x:c r="K284" s="1" t="str">
        <x:v>$640</x:v>
      </x:c>
      <x:c r="L284" s="1" t="str">
        <x:v>true</x:v>
      </x:c>
      <x:c r="M284" s="1" t="str">
        <x:v>1,200 sq. ft.</x:v>
      </x:c>
      <x:c r="N284" s="1" t="n">
        <x:v>1</x:v>
      </x:c>
      <x:c r="O284" s="1" t="str">
        <x:v>AvailableNow</x:v>
      </x:c>
      <x:c r="P284" s="1" t="str">
        <x:v>Rentals Available</x:v>
      </x:c>
      <x:c r="Q284" s="1" t="n">
        <x:v>46248.99998842592</x:v>
      </x:c>
      <x:c r="R284" s="1" t="str"/>
      <x:c r="S284" s="1" t="str"/>
      <x:c r="T284" s="1" t="str">
        <x:v>N/A</x:v>
      </x:c>
      <x:c r="U284" s="1" t="str">
        <x:v>N/A</x:v>
      </x:c>
      <x:c r="V284" s="1" t="str">
        <x:v>1</x:v>
      </x:c>
      <x:c r="W284" s="1" t="str"/>
      <x:c r="X284" s="1" t="str">
        <x:v>false</x:v>
      </x:c>
      <x:c r="Y284" s="1" t="str">
        <x:v>false</x:v>
      </x:c>
      <x:c r="Z284" s="1" t="str">
        <x:v>[]</x:v>
      </x:c>
    </x:row>
    <x:row r="285" ht="15" hidden="0" customHeight="1">
      <x:c r="A285" s="1" t="str">
        <x:v>61y0ywr</x:v>
      </x:c>
      <x:c r="B285" s="5" t="str">
        <x:v>Hub Raleigh</x:v>
      </x:c>
      <x:c r="C285" s="1" t="str">
        <x:v>5960266</x:v>
      </x:c>
      <x:c r="D285" s="1" t="str">
        <x:v>qx07e5z</x:v>
      </x:c>
      <x:c r="E285" s="1" t="str">
        <x:v>Murphy</x:v>
      </x:c>
      <x:c r="F285" s="1" t="n">
        <x:v>0</x:v>
      </x:c>
      <x:c r="G285" s="1" t="n">
        <x:v>1</x:v>
      </x:c>
      <x:c r="H285" s="1" t="n">
        <x:v>1599</x:v>
      </x:c>
      <x:c r="I285" s="1" t="n">
        <x:v>1599</x:v>
      </x:c>
      <x:c r="J285" s="1" t="str">
        <x:v>$1,599</x:v>
      </x:c>
      <x:c r="K285" s="1" t="str">
        <x:v>$1,599</x:v>
      </x:c>
      <x:c r="L285" s="1" t="str">
        <x:v>false</x:v>
      </x:c>
      <x:c r="M285" s="1" t="str">
        <x:v>339 - 396 sq. ft.</x:v>
      </x:c>
      <x:c r="N285" s="1" t="n">
        <x:v>1</x:v>
      </x:c>
      <x:c r="O285" s="1" t="str">
        <x:v>AvailableNow</x:v>
      </x:c>
      <x:c r="P285" s="1" t="str">
        <x:v>Rentals Available</x:v>
      </x:c>
      <x:c r="Q285" s="1" t="n">
        <x:v>46239.99998842592</x:v>
      </x:c>
      <x:c r="R285" s="1" t="str"/>
      <x:c r="S285" s="1" t="str"/>
      <x:c r="T285" s="1" t="str"/>
      <x:c r="U285" s="1" t="str"/>
      <x:c r="V285" s="1" t="str"/>
      <x:c r="W285" s="1" t="str"/>
      <x:c r="X285" s="1" t="str">
        <x:v>false</x:v>
      </x:c>
      <x:c r="Y285" s="1" t="str">
        <x:v>false</x:v>
      </x:c>
      <x:c r="Z285" s="1" t="str">
        <x:v>[]</x:v>
      </x:c>
    </x:row>
    <x:row r="286" ht="15" hidden="0" customHeight="1">
      <x:c r="A286" s="1" t="str">
        <x:v>61y0ywr</x:v>
      </x:c>
      <x:c r="B286" s="5" t="str">
        <x:v>Hub Raleigh</x:v>
      </x:c>
      <x:c r="C286" s="1" t="str">
        <x:v>5960270</x:v>
      </x:c>
      <x:c r="D286" s="1" t="str">
        <x:v>0febp50</x:v>
      </x:c>
      <x:c r="E286" s="1" t="str">
        <x:v>2x1 Lite</x:v>
      </x:c>
      <x:c r="F286" s="1" t="n">
        <x:v>2</x:v>
      </x:c>
      <x:c r="G286" s="1" t="n">
        <x:v>1</x:v>
      </x:c>
      <x:c r="H286" s="1" t="n">
        <x:v>999</x:v>
      </x:c>
      <x:c r="I286" s="1" t="n">
        <x:v>999</x:v>
      </x:c>
      <x:c r="J286" s="1" t="str">
        <x:v>$999</x:v>
      </x:c>
      <x:c r="K286" s="1" t="str">
        <x:v>$999</x:v>
      </x:c>
      <x:c r="L286" s="1" t="str">
        <x:v>false</x:v>
      </x:c>
      <x:c r="M286" s="1" t="str">
        <x:v>607 - 728 sq. ft.</x:v>
      </x:c>
      <x:c r="N286" s="1" t="n">
        <x:v>2</x:v>
      </x:c>
      <x:c r="O286" s="1" t="str">
        <x:v>AvailableNow</x:v>
      </x:c>
      <x:c r="P286" s="1" t="str">
        <x:v>Rentals Available</x:v>
      </x:c>
      <x:c r="Q286" s="1" t="n">
        <x:v>46239.99998842592</x:v>
      </x:c>
      <x:c r="R286" s="1" t="str"/>
      <x:c r="S286" s="1" t="str"/>
      <x:c r="T286" s="1" t="str"/>
      <x:c r="U286" s="1" t="str"/>
      <x:c r="V286" s="1" t="str"/>
      <x:c r="W286" s="1" t="str"/>
      <x:c r="X286" s="1" t="str">
        <x:v>false</x:v>
      </x:c>
      <x:c r="Y286" s="1" t="str">
        <x:v>false</x:v>
      </x:c>
      <x:c r="Z286" s="1" t="str">
        <x:v>[]</x:v>
      </x:c>
    </x:row>
    <x:row r="287" ht="15" hidden="0" customHeight="1">
      <x:c r="A287" s="1" t="str">
        <x:v>61y0ywr</x:v>
      </x:c>
      <x:c r="B287" s="5" t="str">
        <x:v>Hub Raleigh</x:v>
      </x:c>
      <x:c r="C287" s="1" t="str">
        <x:v>5960271</x:v>
      </x:c>
      <x:c r="D287" s="1" t="str">
        <x:v>r8pkhz2</x:v>
      </x:c>
      <x:c r="E287" s="1" t="str">
        <x:v>2x1</x:v>
      </x:c>
      <x:c r="F287" s="1" t="n">
        <x:v>2</x:v>
      </x:c>
      <x:c r="G287" s="1" t="n">
        <x:v>1</x:v>
      </x:c>
      <x:c r="H287" s="1" t="n">
        <x:v>1225</x:v>
      </x:c>
      <x:c r="I287" s="1" t="n">
        <x:v>1225</x:v>
      </x:c>
      <x:c r="J287" s="1" t="str">
        <x:v>$1,225</x:v>
      </x:c>
      <x:c r="K287" s="1" t="str">
        <x:v>$1,225</x:v>
      </x:c>
      <x:c r="L287" s="1" t="str">
        <x:v>false</x:v>
      </x:c>
      <x:c r="M287" s="1" t="str">
        <x:v>594 - 686 sq. ft.</x:v>
      </x:c>
      <x:c r="N287" s="1" t="n">
        <x:v>2</x:v>
      </x:c>
      <x:c r="O287" s="1" t="str">
        <x:v>AvailableNow</x:v>
      </x:c>
      <x:c r="P287" s="1" t="str">
        <x:v>Rentals Available</x:v>
      </x:c>
      <x:c r="Q287" s="1" t="n">
        <x:v>46239.99998842592</x:v>
      </x:c>
      <x:c r="R287" s="1" t="str"/>
      <x:c r="S287" s="1" t="str"/>
      <x:c r="T287" s="1" t="str"/>
      <x:c r="U287" s="1" t="str"/>
      <x:c r="V287" s="1" t="str"/>
      <x:c r="W287" s="1" t="str"/>
      <x:c r="X287" s="1" t="str">
        <x:v>false</x:v>
      </x:c>
      <x:c r="Y287" s="1" t="str">
        <x:v>false</x:v>
      </x:c>
      <x:c r="Z287" s="1" t="str">
        <x:v>[]</x:v>
      </x:c>
    </x:row>
    <x:row r="288" ht="15" hidden="0" customHeight="1">
      <x:c r="A288" s="1" t="str">
        <x:v>61y0ywr</x:v>
      </x:c>
      <x:c r="B288" s="5" t="str">
        <x:v>Hub Raleigh</x:v>
      </x:c>
      <x:c r="C288" s="1" t="str">
        <x:v>5960268</x:v>
      </x:c>
      <x:c r="D288" s="1" t="str">
        <x:v>t1kh16b</x:v>
      </x:c>
      <x:c r="E288" s="1" t="str">
        <x:v>2x1 Shared</x:v>
      </x:c>
      <x:c r="F288" s="1" t="n">
        <x:v>2</x:v>
      </x:c>
      <x:c r="G288" s="1" t="n">
        <x:v>1</x:v>
      </x:c>
      <x:c r="H288" s="1" t="n">
        <x:v>1079</x:v>
      </x:c>
      <x:c r="I288" s="1" t="n">
        <x:v>1079</x:v>
      </x:c>
      <x:c r="J288" s="1" t="str">
        <x:v>$1,079</x:v>
      </x:c>
      <x:c r="K288" s="1" t="str">
        <x:v>$1,079</x:v>
      </x:c>
      <x:c r="L288" s="1" t="str">
        <x:v>false</x:v>
      </x:c>
      <x:c r="M288" s="1" t="str">
        <x:v>575 sq. ft.</x:v>
      </x:c>
      <x:c r="N288" s="1" t="n">
        <x:v>1</x:v>
      </x:c>
      <x:c r="O288" s="1" t="str">
        <x:v>AvailableNow</x:v>
      </x:c>
      <x:c r="P288" s="1" t="str">
        <x:v>Rentals Available</x:v>
      </x:c>
      <x:c r="Q288" s="1" t="n">
        <x:v>46239.99998842592</x:v>
      </x:c>
      <x:c r="R288" s="1" t="str"/>
      <x:c r="S288" s="1" t="str"/>
      <x:c r="T288" s="1" t="str"/>
      <x:c r="U288" s="1" t="str"/>
      <x:c r="V288" s="1" t="str"/>
      <x:c r="W288" s="1" t="str"/>
      <x:c r="X288" s="1" t="str">
        <x:v>false</x:v>
      </x:c>
      <x:c r="Y288" s="1" t="str">
        <x:v>false</x:v>
      </x:c>
      <x:c r="Z288" s="1" t="str">
        <x:v>[]</x:v>
      </x:c>
    </x:row>
    <x:row r="289" ht="15" hidden="0" customHeight="1">
      <x:c r="A289" s="1" t="str">
        <x:v>61y0ywr</x:v>
      </x:c>
      <x:c r="B289" s="5" t="str">
        <x:v>Hub Raleigh</x:v>
      </x:c>
      <x:c r="C289" s="1" t="str">
        <x:v>5960269</x:v>
      </x:c>
      <x:c r="D289" s="1" t="str">
        <x:v>gtzzb7x</x:v>
      </x:c>
      <x:c r="E289" s="1" t="str">
        <x:v>2x2</x:v>
      </x:c>
      <x:c r="F289" s="1" t="n">
        <x:v>2</x:v>
      </x:c>
      <x:c r="G289" s="1" t="n">
        <x:v>2</x:v>
      </x:c>
      <x:c r="H289" s="1" t="n">
        <x:v>1449</x:v>
      </x:c>
      <x:c r="I289" s="1" t="n">
        <x:v>1449</x:v>
      </x:c>
      <x:c r="J289" s="1" t="str">
        <x:v>$1,449</x:v>
      </x:c>
      <x:c r="K289" s="1" t="str">
        <x:v>$1,449</x:v>
      </x:c>
      <x:c r="L289" s="1" t="str">
        <x:v>false</x:v>
      </x:c>
      <x:c r="M289" s="1" t="str">
        <x:v>797 - 843 sq. ft.</x:v>
      </x:c>
      <x:c r="N289" s="1" t="n">
        <x:v>0</x:v>
      </x:c>
      <x:c r="O289" s="1" t="str">
        <x:v>AvailableSoon</x:v>
      </x:c>
      <x:c r="P289" s="1" t="str">
        <x:v>Available Soon</x:v>
      </x:c>
      <x:c r="Q289" s="1" t="str"/>
      <x:c r="R289" s="1" t="str"/>
      <x:c r="S289" s="1" t="str"/>
      <x:c r="T289" s="1" t="str"/>
      <x:c r="U289" s="1" t="str"/>
      <x:c r="V289" s="1" t="str"/>
      <x:c r="W289" s="1" t="str"/>
      <x:c r="X289" s="1" t="str">
        <x:v>false</x:v>
      </x:c>
      <x:c r="Y289" s="1" t="str">
        <x:v>false</x:v>
      </x:c>
      <x:c r="Z289" s="1" t="str">
        <x:v>[]</x:v>
      </x:c>
    </x:row>
    <x:row r="290" ht="15" hidden="0" customHeight="1">
      <x:c r="A290" s="1" t="str">
        <x:v>61y0ywr</x:v>
      </x:c>
      <x:c r="B290" s="5" t="str">
        <x:v>Hub Raleigh</x:v>
      </x:c>
      <x:c r="C290" s="1" t="str">
        <x:v>5960275</x:v>
      </x:c>
      <x:c r="D290" s="1" t="str">
        <x:v>91lsse4</x:v>
      </x:c>
      <x:c r="E290" s="1" t="str">
        <x:v>3x2</x:v>
      </x:c>
      <x:c r="F290" s="1" t="n">
        <x:v>3</x:v>
      </x:c>
      <x:c r="G290" s="1" t="n">
        <x:v>2</x:v>
      </x:c>
      <x:c r="H290" s="1" t="n">
        <x:v>1159</x:v>
      </x:c>
      <x:c r="I290" s="1" t="n">
        <x:v>1159</x:v>
      </x:c>
      <x:c r="J290" s="1" t="str">
        <x:v>$1,159</x:v>
      </x:c>
      <x:c r="K290" s="1" t="str">
        <x:v>$1,159</x:v>
      </x:c>
      <x:c r="L290" s="1" t="str">
        <x:v>false</x:v>
      </x:c>
      <x:c r="M290" s="1" t="str">
        <x:v>1,024 - 1,126 sq. ft.</x:v>
      </x:c>
      <x:c r="N290" s="1" t="n">
        <x:v>1</x:v>
      </x:c>
      <x:c r="O290" s="1" t="str">
        <x:v>AvailableNow</x:v>
      </x:c>
      <x:c r="P290" s="1" t="str">
        <x:v>Rentals Available</x:v>
      </x:c>
      <x:c r="Q290" s="1" t="n">
        <x:v>46239.99998842592</x:v>
      </x:c>
      <x:c r="R290" s="1" t="str"/>
      <x:c r="S290" s="1" t="str"/>
      <x:c r="T290" s="1" t="str"/>
      <x:c r="U290" s="1" t="str"/>
      <x:c r="V290" s="1" t="str"/>
      <x:c r="W290" s="1" t="str"/>
      <x:c r="X290" s="1" t="str">
        <x:v>false</x:v>
      </x:c>
      <x:c r="Y290" s="1" t="str">
        <x:v>false</x:v>
      </x:c>
      <x:c r="Z290" s="1" t="str">
        <x:v>[]</x:v>
      </x:c>
    </x:row>
    <x:row r="291" ht="15" hidden="0" customHeight="1">
      <x:c r="A291" s="1" t="str">
        <x:v>61y0ywr</x:v>
      </x:c>
      <x:c r="B291" s="5" t="str">
        <x:v>Hub Raleigh</x:v>
      </x:c>
      <x:c r="C291" s="1" t="str">
        <x:v>5960274</x:v>
      </x:c>
      <x:c r="D291" s="1" t="str">
        <x:v>39kl9bd</x:v>
      </x:c>
      <x:c r="E291" s="1" t="str">
        <x:v>3x2 Mansion Spa</x:v>
      </x:c>
      <x:c r="F291" s="1" t="n">
        <x:v>3</x:v>
      </x:c>
      <x:c r="G291" s="1" t="n">
        <x:v>2</x:v>
      </x:c>
      <x:c r="H291" s="1" t="n">
        <x:v>1284</x:v>
      </x:c>
      <x:c r="I291" s="1" t="n">
        <x:v>1284</x:v>
      </x:c>
      <x:c r="J291" s="1" t="str">
        <x:v>$1,284</x:v>
      </x:c>
      <x:c r="K291" s="1" t="str">
        <x:v>$1,284</x:v>
      </x:c>
      <x:c r="L291" s="1" t="str">
        <x:v>false</x:v>
      </x:c>
      <x:c r="M291" s="1" t="str">
        <x:v>1,026 sq. ft.</x:v>
      </x:c>
      <x:c r="N291" s="1" t="n">
        <x:v>1</x:v>
      </x:c>
      <x:c r="O291" s="1" t="str">
        <x:v>AvailableNow</x:v>
      </x:c>
      <x:c r="P291" s="1" t="str">
        <x:v>Rentals Available</x:v>
      </x:c>
      <x:c r="Q291" s="1" t="n">
        <x:v>46239.99998842592</x:v>
      </x:c>
      <x:c r="R291" s="1" t="str"/>
      <x:c r="S291" s="1" t="str"/>
      <x:c r="T291" s="1" t="str"/>
      <x:c r="U291" s="1" t="str"/>
      <x:c r="V291" s="1" t="str"/>
      <x:c r="W291" s="1" t="str"/>
      <x:c r="X291" s="1" t="str">
        <x:v>false</x:v>
      </x:c>
      <x:c r="Y291" s="1" t="str">
        <x:v>false</x:v>
      </x:c>
      <x:c r="Z291" s="1" t="str">
        <x:v>[]</x:v>
      </x:c>
    </x:row>
    <x:row r="292" ht="15" hidden="0" customHeight="1">
      <x:c r="A292" s="1" t="str">
        <x:v>61y0ywr</x:v>
      </x:c>
      <x:c r="B292" s="5" t="str">
        <x:v>Hub Raleigh</x:v>
      </x:c>
      <x:c r="C292" s="1" t="str">
        <x:v>5960276</x:v>
      </x:c>
      <x:c r="D292" s="1" t="str">
        <x:v>mzcyqkh</x:v>
      </x:c>
      <x:c r="E292" s="1" t="str">
        <x:v>3x3</x:v>
      </x:c>
      <x:c r="F292" s="1" t="n">
        <x:v>3</x:v>
      </x:c>
      <x:c r="G292" s="1" t="n">
        <x:v>3</x:v>
      </x:c>
      <x:c r="H292" s="1" t="n">
        <x:v>1355</x:v>
      </x:c>
      <x:c r="I292" s="1" t="n">
        <x:v>1355</x:v>
      </x:c>
      <x:c r="J292" s="1" t="str">
        <x:v>$1,355</x:v>
      </x:c>
      <x:c r="K292" s="1" t="str">
        <x:v>$1,355</x:v>
      </x:c>
      <x:c r="L292" s="1" t="str">
        <x:v>false</x:v>
      </x:c>
      <x:c r="M292" s="1" t="str">
        <x:v>1,029 - 1,190 sq. ft.</x:v>
      </x:c>
      <x:c r="N292" s="1" t="n">
        <x:v>0</x:v>
      </x:c>
      <x:c r="O292" s="1" t="str">
        <x:v>AvailableSoon</x:v>
      </x:c>
      <x:c r="P292" s="1" t="str">
        <x:v>Available Soon</x:v>
      </x:c>
      <x:c r="Q292" s="1" t="str"/>
      <x:c r="R292" s="1" t="str"/>
      <x:c r="S292" s="1" t="str"/>
      <x:c r="T292" s="1" t="str"/>
      <x:c r="U292" s="1" t="str"/>
      <x:c r="V292" s="1" t="str"/>
      <x:c r="W292" s="1" t="str"/>
      <x:c r="X292" s="1" t="str">
        <x:v>false</x:v>
      </x:c>
      <x:c r="Y292" s="1" t="str">
        <x:v>false</x:v>
      </x:c>
      <x:c r="Z292" s="1" t="str">
        <x:v>[]</x:v>
      </x:c>
    </x:row>
    <x:row r="293" ht="15" hidden="0" customHeight="1">
      <x:c r="A293" s="1" t="str">
        <x:v>61y0ywr</x:v>
      </x:c>
      <x:c r="B293" s="5" t="str">
        <x:v>Hub Raleigh</x:v>
      </x:c>
      <x:c r="C293" s="1" t="str">
        <x:v>5960279</x:v>
      </x:c>
      <x:c r="D293" s="1" t="str">
        <x:v>5kynt0n</x:v>
      </x:c>
      <x:c r="E293" s="1" t="str">
        <x:v>4x2 Lite</x:v>
      </x:c>
      <x:c r="F293" s="1" t="n">
        <x:v>4</x:v>
      </x:c>
      <x:c r="G293" s="1" t="n">
        <x:v>2</x:v>
      </x:c>
      <x:c r="H293" s="1" t="n">
        <x:v>1029</x:v>
      </x:c>
      <x:c r="I293" s="1" t="n">
        <x:v>1029</x:v>
      </x:c>
      <x:c r="J293" s="1" t="str">
        <x:v>$1,029</x:v>
      </x:c>
      <x:c r="K293" s="1" t="str">
        <x:v>$1,029</x:v>
      </x:c>
      <x:c r="L293" s="1" t="str">
        <x:v>false</x:v>
      </x:c>
      <x:c r="M293" s="1" t="str">
        <x:v>955 - 1,044 sq. ft.</x:v>
      </x:c>
      <x:c r="N293" s="1" t="n">
        <x:v>2</x:v>
      </x:c>
      <x:c r="O293" s="1" t="str">
        <x:v>AvailableNow</x:v>
      </x:c>
      <x:c r="P293" s="1" t="str">
        <x:v>Rentals Available</x:v>
      </x:c>
      <x:c r="Q293" s="1" t="n">
        <x:v>46239.99998842592</x:v>
      </x:c>
      <x:c r="R293" s="1" t="str"/>
      <x:c r="S293" s="1" t="str"/>
      <x:c r="T293" s="1" t="str"/>
      <x:c r="U293" s="1" t="str"/>
      <x:c r="V293" s="1" t="str"/>
      <x:c r="W293" s="1" t="str"/>
      <x:c r="X293" s="1" t="str">
        <x:v>false</x:v>
      </x:c>
      <x:c r="Y293" s="1" t="str">
        <x:v>false</x:v>
      </x:c>
      <x:c r="Z293" s="1" t="str">
        <x:v>[]</x:v>
      </x:c>
    </x:row>
    <x:row r="294" ht="15" hidden="0" customHeight="1">
      <x:c r="A294" s="1" t="str">
        <x:v>61y0ywr</x:v>
      </x:c>
      <x:c r="B294" s="5" t="str">
        <x:v>Hub Raleigh</x:v>
      </x:c>
      <x:c r="C294" s="1" t="str">
        <x:v>5960278</x:v>
      </x:c>
      <x:c r="D294" s="1" t="str">
        <x:v>j501x77</x:v>
      </x:c>
      <x:c r="E294" s="1" t="str">
        <x:v>4x2 Pod</x:v>
      </x:c>
      <x:c r="F294" s="1" t="n">
        <x:v>4</x:v>
      </x:c>
      <x:c r="G294" s="1" t="n">
        <x:v>2</x:v>
      </x:c>
      <x:c r="H294" s="1" t="n">
        <x:v>799</x:v>
      </x:c>
      <x:c r="I294" s="1" t="n">
        <x:v>799</x:v>
      </x:c>
      <x:c r="J294" s="1" t="str">
        <x:v>$799</x:v>
      </x:c>
      <x:c r="K294" s="1" t="str">
        <x:v>$799</x:v>
      </x:c>
      <x:c r="L294" s="1" t="str">
        <x:v>false</x:v>
      </x:c>
      <x:c r="M294" s="1" t="str">
        <x:v>901 - 908 sq. ft.</x:v>
      </x:c>
      <x:c r="N294" s="1" t="n">
        <x:v>1</x:v>
      </x:c>
      <x:c r="O294" s="1" t="str">
        <x:v>AvailableNow</x:v>
      </x:c>
      <x:c r="P294" s="1" t="str">
        <x:v>Rentals Available</x:v>
      </x:c>
      <x:c r="Q294" s="1" t="n">
        <x:v>46239.99998842592</x:v>
      </x:c>
      <x:c r="R294" s="1" t="str"/>
      <x:c r="S294" s="1" t="str"/>
      <x:c r="T294" s="1" t="str"/>
      <x:c r="U294" s="1" t="str"/>
      <x:c r="V294" s="1" t="str"/>
      <x:c r="W294" s="1" t="str"/>
      <x:c r="X294" s="1" t="str">
        <x:v>false</x:v>
      </x:c>
      <x:c r="Y294" s="1" t="str">
        <x:v>false</x:v>
      </x:c>
      <x:c r="Z294" s="1" t="str">
        <x:v>[]</x:v>
      </x:c>
    </x:row>
    <x:row r="295" ht="15" hidden="0" customHeight="1">
      <x:c r="A295" s="1" t="str">
        <x:v>61y0ywr</x:v>
      </x:c>
      <x:c r="B295" s="5" t="str">
        <x:v>Hub Raleigh</x:v>
      </x:c>
      <x:c r="C295" s="1" t="str">
        <x:v>5960281</x:v>
      </x:c>
      <x:c r="D295" s="1" t="str">
        <x:v>vcscche</x:v>
      </x:c>
      <x:c r="E295" s="1" t="str">
        <x:v>4x2</x:v>
      </x:c>
      <x:c r="F295" s="1" t="n">
        <x:v>4</x:v>
      </x:c>
      <x:c r="G295" s="1" t="n">
        <x:v>2</x:v>
      </x:c>
      <x:c r="H295" s="1" t="n">
        <x:v>799</x:v>
      </x:c>
      <x:c r="I295" s="1" t="n">
        <x:v>799</x:v>
      </x:c>
      <x:c r="J295" s="1" t="str">
        <x:v>$799</x:v>
      </x:c>
      <x:c r="K295" s="1" t="str">
        <x:v>$799</x:v>
      </x:c>
      <x:c r="L295" s="1" t="str">
        <x:v>false</x:v>
      </x:c>
      <x:c r="M295" s="1" t="str">
        <x:v>1,089 - 1,201 sq. ft.</x:v>
      </x:c>
      <x:c r="N295" s="1" t="n">
        <x:v>1</x:v>
      </x:c>
      <x:c r="O295" s="1" t="str">
        <x:v>AvailableNow</x:v>
      </x:c>
      <x:c r="P295" s="1" t="str">
        <x:v>Rentals Available</x:v>
      </x:c>
      <x:c r="Q295" s="1" t="n">
        <x:v>46239.99998842592</x:v>
      </x:c>
      <x:c r="R295" s="1" t="str"/>
      <x:c r="S295" s="1" t="str"/>
      <x:c r="T295" s="1" t="str"/>
      <x:c r="U295" s="1" t="str"/>
      <x:c r="V295" s="1" t="str"/>
      <x:c r="W295" s="1" t="str"/>
      <x:c r="X295" s="1" t="str">
        <x:v>false</x:v>
      </x:c>
      <x:c r="Y295" s="1" t="str">
        <x:v>false</x:v>
      </x:c>
      <x:c r="Z295" s="1" t="str">
        <x:v>[]</x:v>
      </x:c>
    </x:row>
    <x:row r="296" ht="15" hidden="0" customHeight="1">
      <x:c r="A296" s="1" t="str">
        <x:v>61y0ywr</x:v>
      </x:c>
      <x:c r="B296" s="5" t="str">
        <x:v>Hub Raleigh</x:v>
      </x:c>
      <x:c r="C296" s="1" t="str">
        <x:v>5960283</x:v>
      </x:c>
      <x:c r="D296" s="1" t="str">
        <x:v>plvw3lv</x:v>
      </x:c>
      <x:c r="E296" s="1" t="str">
        <x:v>4x2 Corner</x:v>
      </x:c>
      <x:c r="F296" s="1" t="n">
        <x:v>4</x:v>
      </x:c>
      <x:c r="G296" s="1" t="n">
        <x:v>2</x:v>
      </x:c>
      <x:c r="H296" s="1" t="n">
        <x:v>799</x:v>
      </x:c>
      <x:c r="I296" s="1" t="n">
        <x:v>799</x:v>
      </x:c>
      <x:c r="J296" s="1" t="str">
        <x:v>$799</x:v>
      </x:c>
      <x:c r="K296" s="1" t="str">
        <x:v>$799</x:v>
      </x:c>
      <x:c r="L296" s="1" t="str">
        <x:v>false</x:v>
      </x:c>
      <x:c r="M296" s="1" t="str">
        <x:v>1,117 - 1,201 sq. ft.</x:v>
      </x:c>
      <x:c r="N296" s="1" t="n">
        <x:v>1</x:v>
      </x:c>
      <x:c r="O296" s="1" t="str">
        <x:v>AvailableNow</x:v>
      </x:c>
      <x:c r="P296" s="1" t="str">
        <x:v>Rentals Available</x:v>
      </x:c>
      <x:c r="Q296" s="1" t="n">
        <x:v>46239.99998842592</x:v>
      </x:c>
      <x:c r="R296" s="1" t="str"/>
      <x:c r="S296" s="1" t="str"/>
      <x:c r="T296" s="1" t="str"/>
      <x:c r="U296" s="1" t="str"/>
      <x:c r="V296" s="1" t="str"/>
      <x:c r="W296" s="1" t="str"/>
      <x:c r="X296" s="1" t="str">
        <x:v>false</x:v>
      </x:c>
      <x:c r="Y296" s="1" t="str">
        <x:v>false</x:v>
      </x:c>
      <x:c r="Z296" s="1" t="str">
        <x:v>[]</x:v>
      </x:c>
    </x:row>
    <x:row r="297" ht="15" hidden="0" customHeight="1">
      <x:c r="A297" s="1" t="str">
        <x:v>61y0ywr</x:v>
      </x:c>
      <x:c r="B297" s="5" t="str">
        <x:v>Hub Raleigh</x:v>
      </x:c>
      <x:c r="C297" s="1" t="str">
        <x:v>5960282</x:v>
      </x:c>
      <x:c r="D297" s="1" t="str">
        <x:v>4w5fmpj</x:v>
      </x:c>
      <x:c r="E297" s="1" t="str">
        <x:v>4x2 VIP</x:v>
      </x:c>
      <x:c r="F297" s="1" t="n">
        <x:v>4</x:v>
      </x:c>
      <x:c r="G297" s="1" t="n">
        <x:v>2</x:v>
      </x:c>
      <x:c r="H297" s="1" t="n">
        <x:v>849</x:v>
      </x:c>
      <x:c r="I297" s="1" t="n">
        <x:v>849</x:v>
      </x:c>
      <x:c r="J297" s="1" t="str">
        <x:v>$849</x:v>
      </x:c>
      <x:c r="K297" s="1" t="str">
        <x:v>$849</x:v>
      </x:c>
      <x:c r="L297" s="1" t="str">
        <x:v>false</x:v>
      </x:c>
      <x:c r="M297" s="1" t="str">
        <x:v>1,135 - 1,201 sq. ft.</x:v>
      </x:c>
      <x:c r="N297" s="1" t="n">
        <x:v>1</x:v>
      </x:c>
      <x:c r="O297" s="1" t="str">
        <x:v>AvailableNow</x:v>
      </x:c>
      <x:c r="P297" s="1" t="str">
        <x:v>Rentals Available</x:v>
      </x:c>
      <x:c r="Q297" s="1" t="n">
        <x:v>46239.99998842592</x:v>
      </x:c>
      <x:c r="R297" s="1" t="str"/>
      <x:c r="S297" s="1" t="str"/>
      <x:c r="T297" s="1" t="str"/>
      <x:c r="U297" s="1" t="str"/>
      <x:c r="V297" s="1" t="str"/>
      <x:c r="W297" s="1" t="str"/>
      <x:c r="X297" s="1" t="str">
        <x:v>false</x:v>
      </x:c>
      <x:c r="Y297" s="1" t="str">
        <x:v>false</x:v>
      </x:c>
      <x:c r="Z297" s="1" t="str">
        <x:v>[]</x:v>
      </x:c>
    </x:row>
    <x:row r="298" ht="15" hidden="0" customHeight="1">
      <x:c r="A298" s="1" t="str">
        <x:v>61y0ywr</x:v>
      </x:c>
      <x:c r="B298" s="5" t="str">
        <x:v>Hub Raleigh</x:v>
      </x:c>
      <x:c r="C298" s="1" t="str">
        <x:v>5960284</x:v>
      </x:c>
      <x:c r="D298" s="1" t="str">
        <x:v>hd7tms1</x:v>
      </x:c>
      <x:c r="E298" s="1" t="str">
        <x:v>4x2 VIP Corner</x:v>
      </x:c>
      <x:c r="F298" s="1" t="n">
        <x:v>4</x:v>
      </x:c>
      <x:c r="G298" s="1" t="n">
        <x:v>2</x:v>
      </x:c>
      <x:c r="H298" s="1" t="n">
        <x:v>1074</x:v>
      </x:c>
      <x:c r="I298" s="1" t="n">
        <x:v>1074</x:v>
      </x:c>
      <x:c r="J298" s="1" t="str">
        <x:v>$1,074</x:v>
      </x:c>
      <x:c r="K298" s="1" t="str">
        <x:v>$1,074</x:v>
      </x:c>
      <x:c r="L298" s="1" t="str">
        <x:v>false</x:v>
      </x:c>
      <x:c r="M298" s="1" t="str">
        <x:v>1,139 sq. ft.</x:v>
      </x:c>
      <x:c r="N298" s="1" t="n">
        <x:v>1</x:v>
      </x:c>
      <x:c r="O298" s="1" t="str">
        <x:v>AvailableNow</x:v>
      </x:c>
      <x:c r="P298" s="1" t="str">
        <x:v>Rentals Available</x:v>
      </x:c>
      <x:c r="Q298" s="1" t="n">
        <x:v>46239.99998842592</x:v>
      </x:c>
      <x:c r="R298" s="1" t="str"/>
      <x:c r="S298" s="1" t="str"/>
      <x:c r="T298" s="1" t="str"/>
      <x:c r="U298" s="1" t="str"/>
      <x:c r="V298" s="1" t="str"/>
      <x:c r="W298" s="1" t="str"/>
      <x:c r="X298" s="1" t="str">
        <x:v>false</x:v>
      </x:c>
      <x:c r="Y298" s="1" t="str">
        <x:v>false</x:v>
      </x:c>
      <x:c r="Z298" s="1" t="str">
        <x:v>[]</x:v>
      </x:c>
    </x:row>
    <x:row r="299" ht="15" hidden="0" customHeight="1">
      <x:c r="A299" s="1" t="str">
        <x:v>61y0ywr</x:v>
      </x:c>
      <x:c r="B299" s="5" t="str">
        <x:v>Hub Raleigh</x:v>
      </x:c>
      <x:c r="C299" s="1" t="str">
        <x:v>5960280</x:v>
      </x:c>
      <x:c r="D299" s="1" t="str">
        <x:v>08nbhn2</x:v>
      </x:c>
      <x:c r="E299" s="1" t="str">
        <x:v>4x2 Mansion Spa</x:v>
      </x:c>
      <x:c r="F299" s="1" t="n">
        <x:v>4</x:v>
      </x:c>
      <x:c r="G299" s="1" t="n">
        <x:v>2</x:v>
      </x:c>
      <x:c r="H299" s="1" t="n">
        <x:v>1124</x:v>
      </x:c>
      <x:c r="I299" s="1" t="n">
        <x:v>1124</x:v>
      </x:c>
      <x:c r="J299" s="1" t="str">
        <x:v>$1,124</x:v>
      </x:c>
      <x:c r="K299" s="1" t="str">
        <x:v>$1,124</x:v>
      </x:c>
      <x:c r="L299" s="1" t="str">
        <x:v>false</x:v>
      </x:c>
      <x:c r="M299" s="1" t="str">
        <x:v>1,089 - 1,186 sq. ft.</x:v>
      </x:c>
      <x:c r="N299" s="1" t="n">
        <x:v>1</x:v>
      </x:c>
      <x:c r="O299" s="1" t="str">
        <x:v>AvailableNow</x:v>
      </x:c>
      <x:c r="P299" s="1" t="str">
        <x:v>Rentals Available</x:v>
      </x:c>
      <x:c r="Q299" s="1" t="n">
        <x:v>46239.99998842592</x:v>
      </x:c>
      <x:c r="R299" s="1" t="str"/>
      <x:c r="S299" s="1" t="str"/>
      <x:c r="T299" s="1" t="str"/>
      <x:c r="U299" s="1" t="str"/>
      <x:c r="V299" s="1" t="str"/>
      <x:c r="W299" s="1" t="str"/>
      <x:c r="X299" s="1" t="str">
        <x:v>false</x:v>
      </x:c>
      <x:c r="Y299" s="1" t="str">
        <x:v>false</x:v>
      </x:c>
      <x:c r="Z299" s="1" t="str">
        <x:v>[]</x:v>
      </x:c>
    </x:row>
    <x:row r="300" ht="15" hidden="0" customHeight="1">
      <x:c r="A300" s="1" t="str">
        <x:v>61y0ywr</x:v>
      </x:c>
      <x:c r="B300" s="5" t="str">
        <x:v>Hub Raleigh</x:v>
      </x:c>
      <x:c r="C300" s="1" t="str">
        <x:v>5960286</x:v>
      </x:c>
      <x:c r="D300" s="1" t="str">
        <x:v>zsjg93w</x:v>
      </x:c>
      <x:c r="E300" s="1" t="str">
        <x:v>4x3</x:v>
      </x:c>
      <x:c r="F300" s="1" t="n">
        <x:v>4</x:v>
      </x:c>
      <x:c r="G300" s="1" t="n">
        <x:v>3</x:v>
      </x:c>
      <x:c r="H300" s="1" t="n">
        <x:v>899</x:v>
      </x:c>
      <x:c r="I300" s="1" t="n">
        <x:v>899</x:v>
      </x:c>
      <x:c r="J300" s="1" t="str">
        <x:v>$899</x:v>
      </x:c>
      <x:c r="K300" s="1" t="str">
        <x:v>$899</x:v>
      </x:c>
      <x:c r="L300" s="1" t="str">
        <x:v>false</x:v>
      </x:c>
      <x:c r="M300" s="1" t="str">
        <x:v>1,145 - 1,340 sq. ft.</x:v>
      </x:c>
      <x:c r="N300" s="1" t="n">
        <x:v>2</x:v>
      </x:c>
      <x:c r="O300" s="1" t="str">
        <x:v>AvailableNow</x:v>
      </x:c>
      <x:c r="P300" s="1" t="str">
        <x:v>Rentals Available</x:v>
      </x:c>
      <x:c r="Q300" s="1" t="n">
        <x:v>46239.99998842592</x:v>
      </x:c>
      <x:c r="R300" s="1" t="str"/>
      <x:c r="S300" s="1" t="str"/>
      <x:c r="T300" s="1" t="str"/>
      <x:c r="U300" s="1" t="str"/>
      <x:c r="V300" s="1" t="str"/>
      <x:c r="W300" s="1" t="str"/>
      <x:c r="X300" s="1" t="str">
        <x:v>false</x:v>
      </x:c>
      <x:c r="Y300" s="1" t="str">
        <x:v>false</x:v>
      </x:c>
      <x:c r="Z300" s="1" t="str">
        <x:v>[]</x:v>
      </x:c>
    </x:row>
    <x:row r="301" ht="15" hidden="0" customHeight="1">
      <x:c r="A301" s="1" t="str">
        <x:v>61y0ywr</x:v>
      </x:c>
      <x:c r="B301" s="5" t="str">
        <x:v>Hub Raleigh</x:v>
      </x:c>
      <x:c r="C301" s="1" t="str">
        <x:v>5960288</x:v>
      </x:c>
      <x:c r="D301" s="1" t="str">
        <x:v>947swn7</x:v>
      </x:c>
      <x:c r="E301" s="1" t="str">
        <x:v>4x3 Corner</x:v>
      </x:c>
      <x:c r="F301" s="1" t="n">
        <x:v>4</x:v>
      </x:c>
      <x:c r="G301" s="1" t="n">
        <x:v>3</x:v>
      </x:c>
      <x:c r="H301" s="1" t="n">
        <x:v>899</x:v>
      </x:c>
      <x:c r="I301" s="1" t="n">
        <x:v>899</x:v>
      </x:c>
      <x:c r="J301" s="1" t="str">
        <x:v>$899</x:v>
      </x:c>
      <x:c r="K301" s="1" t="str">
        <x:v>$899</x:v>
      </x:c>
      <x:c r="L301" s="1" t="str">
        <x:v>false</x:v>
      </x:c>
      <x:c r="M301" s="1" t="str">
        <x:v>1,253 sq. ft.</x:v>
      </x:c>
      <x:c r="N301" s="1" t="n">
        <x:v>2</x:v>
      </x:c>
      <x:c r="O301" s="1" t="str">
        <x:v>AvailableNow</x:v>
      </x:c>
      <x:c r="P301" s="1" t="str">
        <x:v>Rentals Available</x:v>
      </x:c>
      <x:c r="Q301" s="1" t="n">
        <x:v>46239.99998842592</x:v>
      </x:c>
      <x:c r="R301" s="1" t="str"/>
      <x:c r="S301" s="1" t="str"/>
      <x:c r="T301" s="1" t="str"/>
      <x:c r="U301" s="1" t="str"/>
      <x:c r="V301" s="1" t="str"/>
      <x:c r="W301" s="1" t="str"/>
      <x:c r="X301" s="1" t="str">
        <x:v>false</x:v>
      </x:c>
      <x:c r="Y301" s="1" t="str">
        <x:v>false</x:v>
      </x:c>
      <x:c r="Z301" s="1" t="str">
        <x:v>[]</x:v>
      </x:c>
    </x:row>
    <x:row r="302" ht="15" hidden="0" customHeight="1">
      <x:c r="A302" s="1" t="str">
        <x:v>61y0ywr</x:v>
      </x:c>
      <x:c r="B302" s="5" t="str">
        <x:v>Hub Raleigh</x:v>
      </x:c>
      <x:c r="C302" s="1" t="str">
        <x:v>5960287</x:v>
      </x:c>
      <x:c r="D302" s="1" t="str">
        <x:v>4txfk6l</x:v>
      </x:c>
      <x:c r="E302" s="1" t="str">
        <x:v>4x3 Mansion Spa</x:v>
      </x:c>
      <x:c r="F302" s="1" t="n">
        <x:v>4</x:v>
      </x:c>
      <x:c r="G302" s="1" t="n">
        <x:v>3</x:v>
      </x:c>
      <x:c r="H302" s="1" t="n">
        <x:v>1099</x:v>
      </x:c>
      <x:c r="I302" s="1" t="n">
        <x:v>1099</x:v>
      </x:c>
      <x:c r="J302" s="1" t="str">
        <x:v>$1,099</x:v>
      </x:c>
      <x:c r="K302" s="1" t="str">
        <x:v>$1,099</x:v>
      </x:c>
      <x:c r="L302" s="1" t="str">
        <x:v>false</x:v>
      </x:c>
      <x:c r="M302" s="1" t="str">
        <x:v>1,237 - 1,318 sq. ft.</x:v>
      </x:c>
      <x:c r="N302" s="1" t="n">
        <x:v>2</x:v>
      </x:c>
      <x:c r="O302" s="1" t="str">
        <x:v>AvailableNow</x:v>
      </x:c>
      <x:c r="P302" s="1" t="str">
        <x:v>Rentals Available</x:v>
      </x:c>
      <x:c r="Q302" s="1" t="n">
        <x:v>46239.99998842592</x:v>
      </x:c>
      <x:c r="R302" s="1" t="str"/>
      <x:c r="S302" s="1" t="str"/>
      <x:c r="T302" s="1" t="str"/>
      <x:c r="U302" s="1" t="str"/>
      <x:c r="V302" s="1" t="str"/>
      <x:c r="W302" s="1" t="str"/>
      <x:c r="X302" s="1" t="str">
        <x:v>false</x:v>
      </x:c>
      <x:c r="Y302" s="1" t="str">
        <x:v>false</x:v>
      </x:c>
      <x:c r="Z302" s="1" t="str">
        <x:v>[]</x:v>
      </x:c>
    </x:row>
    <x:row r="303" ht="15" hidden="0" customHeight="1">
      <x:c r="A303" s="1" t="str">
        <x:v>61y0ywr</x:v>
      </x:c>
      <x:c r="B303" s="5" t="str">
        <x:v>Hub Raleigh</x:v>
      </x:c>
      <x:c r="C303" s="1" t="str">
        <x:v>5960285</x:v>
      </x:c>
      <x:c r="D303" s="1" t="str">
        <x:v>gvvzczx</x:v>
      </x:c>
      <x:c r="E303" s="1" t="str">
        <x:v>4x3 VIP</x:v>
      </x:c>
      <x:c r="F303" s="1" t="n">
        <x:v>4</x:v>
      </x:c>
      <x:c r="G303" s="1" t="n">
        <x:v>3</x:v>
      </x:c>
      <x:c r="H303" s="1" t="n">
        <x:v>1124</x:v>
      </x:c>
      <x:c r="I303" s="1" t="n">
        <x:v>1124</x:v>
      </x:c>
      <x:c r="J303" s="1" t="str">
        <x:v>$1,124</x:v>
      </x:c>
      <x:c r="K303" s="1" t="str">
        <x:v>$1,124</x:v>
      </x:c>
      <x:c r="L303" s="1" t="str">
        <x:v>false</x:v>
      </x:c>
      <x:c r="M303" s="1" t="str">
        <x:v>1,145 - 1,286 sq. ft.</x:v>
      </x:c>
      <x:c r="N303" s="1" t="n">
        <x:v>1</x:v>
      </x:c>
      <x:c r="O303" s="1" t="str">
        <x:v>AvailableNow</x:v>
      </x:c>
      <x:c r="P303" s="1" t="str">
        <x:v>Rentals Available</x:v>
      </x:c>
      <x:c r="Q303" s="1" t="n">
        <x:v>46239.99998842592</x:v>
      </x:c>
      <x:c r="R303" s="1" t="str"/>
      <x:c r="S303" s="1" t="str"/>
      <x:c r="T303" s="1" t="str"/>
      <x:c r="U303" s="1" t="str"/>
      <x:c r="V303" s="1" t="str"/>
      <x:c r="W303" s="1" t="str"/>
      <x:c r="X303" s="1" t="str">
        <x:v>false</x:v>
      </x:c>
      <x:c r="Y303" s="1" t="str">
        <x:v>false</x:v>
      </x:c>
      <x:c r="Z303" s="1" t="str">
        <x:v>[]</x:v>
      </x:c>
    </x:row>
    <x:row r="304" ht="15" hidden="0" customHeight="1">
      <x:c r="A304" s="1" t="str">
        <x:v>61y0ywr</x:v>
      </x:c>
      <x:c r="B304" s="5" t="str">
        <x:v>Hub Raleigh</x:v>
      </x:c>
      <x:c r="C304" s="1" t="str">
        <x:v>5960289</x:v>
      </x:c>
      <x:c r="D304" s="1" t="str">
        <x:v>k2zr28c</x:v>
      </x:c>
      <x:c r="E304" s="1" t="str">
        <x:v>4x3 Corner VIP</x:v>
      </x:c>
      <x:c r="F304" s="1" t="n">
        <x:v>4</x:v>
      </x:c>
      <x:c r="G304" s="1" t="n">
        <x:v>3</x:v>
      </x:c>
      <x:c r="H304" s="1" t="n">
        <x:v>1124</x:v>
      </x:c>
      <x:c r="I304" s="1" t="n">
        <x:v>1124</x:v>
      </x:c>
      <x:c r="J304" s="1" t="str">
        <x:v>$1,124</x:v>
      </x:c>
      <x:c r="K304" s="1" t="str">
        <x:v>$1,124</x:v>
      </x:c>
      <x:c r="L304" s="1" t="str">
        <x:v>false</x:v>
      </x:c>
      <x:c r="M304" s="1" t="str">
        <x:v>1,253 sq. ft.</x:v>
      </x:c>
      <x:c r="N304" s="1" t="n">
        <x:v>1</x:v>
      </x:c>
      <x:c r="O304" s="1" t="str">
        <x:v>AvailableNow</x:v>
      </x:c>
      <x:c r="P304" s="1" t="str">
        <x:v>Rentals Available</x:v>
      </x:c>
      <x:c r="Q304" s="1" t="n">
        <x:v>46239.99998842592</x:v>
      </x:c>
      <x:c r="R304" s="1" t="str"/>
      <x:c r="S304" s="1" t="str"/>
      <x:c r="T304" s="1" t="str"/>
      <x:c r="U304" s="1" t="str"/>
      <x:c r="V304" s="1" t="str"/>
      <x:c r="W304" s="1" t="str"/>
      <x:c r="X304" s="1" t="str">
        <x:v>false</x:v>
      </x:c>
      <x:c r="Y304" s="1" t="str">
        <x:v>false</x:v>
      </x:c>
      <x:c r="Z304" s="1" t="str">
        <x:v>[]</x:v>
      </x:c>
    </x:row>
    <x:row r="305" ht="15" hidden="0" customHeight="1">
      <x:c r="A305" s="1" t="str">
        <x:v>61y0ywr</x:v>
      </x:c>
      <x:c r="B305" s="5" t="str">
        <x:v>Hub Raleigh</x:v>
      </x:c>
      <x:c r="C305" s="1" t="str">
        <x:v>5960290</x:v>
      </x:c>
      <x:c r="D305" s="1" t="str">
        <x:v>c8qv8md</x:v>
      </x:c>
      <x:c r="E305" s="1" t="str">
        <x:v>4x3 TH</x:v>
      </x:c>
      <x:c r="F305" s="1" t="n">
        <x:v>4</x:v>
      </x:c>
      <x:c r="G305" s="1" t="n">
        <x:v>3</x:v>
      </x:c>
      <x:c r="H305" s="1" t="n">
        <x:v>1149</x:v>
      </x:c>
      <x:c r="I305" s="1" t="n">
        <x:v>1149</x:v>
      </x:c>
      <x:c r="J305" s="1" t="str">
        <x:v>$1,149</x:v>
      </x:c>
      <x:c r="K305" s="1" t="str">
        <x:v>$1,149</x:v>
      </x:c>
      <x:c r="L305" s="1" t="str">
        <x:v>false</x:v>
      </x:c>
      <x:c r="M305" s="1" t="str">
        <x:v>1,427 sq. ft.</x:v>
      </x:c>
      <x:c r="N305" s="1" t="n">
        <x:v>1</x:v>
      </x:c>
      <x:c r="O305" s="1" t="str">
        <x:v>AvailableNow</x:v>
      </x:c>
      <x:c r="P305" s="1" t="str">
        <x:v>Rentals Available</x:v>
      </x:c>
      <x:c r="Q305" s="1" t="n">
        <x:v>46239.99998842592</x:v>
      </x:c>
      <x:c r="R305" s="1" t="str"/>
      <x:c r="S305" s="1" t="str"/>
      <x:c r="T305" s="1" t="str"/>
      <x:c r="U305" s="1" t="str"/>
      <x:c r="V305" s="1" t="str"/>
      <x:c r="W305" s="1" t="str"/>
      <x:c r="X305" s="1" t="str">
        <x:v>false</x:v>
      </x:c>
      <x:c r="Y305" s="1" t="str">
        <x:v>false</x:v>
      </x:c>
      <x:c r="Z305" s="1" t="str">
        <x:v>[]</x:v>
      </x:c>
    </x:row>
    <x:row r="306" ht="15" hidden="0" customHeight="1">
      <x:c r="A306" s="1" t="str">
        <x:v>61y0ywr</x:v>
      </x:c>
      <x:c r="B306" s="5" t="str">
        <x:v>Hub Raleigh</x:v>
      </x:c>
      <x:c r="C306" s="1" t="str">
        <x:v>5960291</x:v>
      </x:c>
      <x:c r="D306" s="1" t="str">
        <x:v>22x824c</x:v>
      </x:c>
      <x:c r="E306" s="1" t="str">
        <x:v>4x3 TH Mansion</x:v>
      </x:c>
      <x:c r="F306" s="1" t="n">
        <x:v>4</x:v>
      </x:c>
      <x:c r="G306" s="1" t="n">
        <x:v>3</x:v>
      </x:c>
      <x:c r="H306" s="1" t="n">
        <x:v>1249</x:v>
      </x:c>
      <x:c r="I306" s="1" t="n">
        <x:v>1249</x:v>
      </x:c>
      <x:c r="J306" s="1" t="str">
        <x:v>$1,249</x:v>
      </x:c>
      <x:c r="K306" s="1" t="str">
        <x:v>$1,249</x:v>
      </x:c>
      <x:c r="L306" s="1" t="str">
        <x:v>false</x:v>
      </x:c>
      <x:c r="M306" s="1" t="str">
        <x:v>1,431 sq. ft.</x:v>
      </x:c>
      <x:c r="N306" s="1" t="n">
        <x:v>1</x:v>
      </x:c>
      <x:c r="O306" s="1" t="str">
        <x:v>AvailableNow</x:v>
      </x:c>
      <x:c r="P306" s="1" t="str">
        <x:v>Rentals Available</x:v>
      </x:c>
      <x:c r="Q306" s="1" t="n">
        <x:v>46239.99998842592</x:v>
      </x:c>
      <x:c r="R306" s="1" t="str"/>
      <x:c r="S306" s="1" t="str"/>
      <x:c r="T306" s="1" t="str"/>
      <x:c r="U306" s="1" t="str"/>
      <x:c r="V306" s="1" t="str"/>
      <x:c r="W306" s="1" t="str"/>
      <x:c r="X306" s="1" t="str">
        <x:v>false</x:v>
      </x:c>
      <x:c r="Y306" s="1" t="str">
        <x:v>false</x:v>
      </x:c>
      <x:c r="Z306" s="1" t="str">
        <x:v>[]</x:v>
      </x:c>
    </x:row>
    <x:row r="307" ht="15" hidden="0" customHeight="1">
      <x:c r="A307" s="1" t="str">
        <x:v>61y0ywr</x:v>
      </x:c>
      <x:c r="B307" s="5" t="str">
        <x:v>Hub Raleigh</x:v>
      </x:c>
      <x:c r="C307" s="1" t="str">
        <x:v>5960292</x:v>
      </x:c>
      <x:c r="D307" s="1" t="str">
        <x:v>92zst55</x:v>
      </x:c>
      <x:c r="E307" s="1" t="str">
        <x:v>4x3.5 TH</x:v>
      </x:c>
      <x:c r="F307" s="1" t="n">
        <x:v>4</x:v>
      </x:c>
      <x:c r="G307" s="1" t="n">
        <x:v>3.5</x:v>
      </x:c>
      <x:c r="H307" s="1" t="n">
        <x:v>1275</x:v>
      </x:c>
      <x:c r="I307" s="1" t="n">
        <x:v>1275</x:v>
      </x:c>
      <x:c r="J307" s="1" t="str">
        <x:v>$1,275</x:v>
      </x:c>
      <x:c r="K307" s="1" t="str">
        <x:v>$1,275</x:v>
      </x:c>
      <x:c r="L307" s="1" t="str">
        <x:v>false</x:v>
      </x:c>
      <x:c r="M307" s="1" t="str">
        <x:v>1,699 - 1,769 sq. ft.</x:v>
      </x:c>
      <x:c r="N307" s="1" t="n">
        <x:v>2</x:v>
      </x:c>
      <x:c r="O307" s="1" t="str">
        <x:v>AvailableNow</x:v>
      </x:c>
      <x:c r="P307" s="1" t="str">
        <x:v>Rentals Available</x:v>
      </x:c>
      <x:c r="Q307" s="1" t="n">
        <x:v>46239.99998842592</x:v>
      </x:c>
      <x:c r="R307" s="1" t="str"/>
      <x:c r="S307" s="1" t="str"/>
      <x:c r="T307" s="1" t="str"/>
      <x:c r="U307" s="1" t="str"/>
      <x:c r="V307" s="1" t="str"/>
      <x:c r="W307" s="1" t="str"/>
      <x:c r="X307" s="1" t="str">
        <x:v>false</x:v>
      </x:c>
      <x:c r="Y307" s="1" t="str">
        <x:v>false</x:v>
      </x:c>
      <x:c r="Z307" s="1" t="str">
        <x:v>[]</x:v>
      </x:c>
    </x:row>
    <x:row r="308" ht="15" hidden="0" customHeight="1">
      <x:c r="A308" s="1" t="str">
        <x:v>61y0ywr</x:v>
      </x:c>
      <x:c r="B308" s="5" t="str">
        <x:v>Hub Raleigh</x:v>
      </x:c>
      <x:c r="C308" s="1" t="str">
        <x:v>5960294</x:v>
      </x:c>
      <x:c r="D308" s="1" t="str">
        <x:v>njh5s4m</x:v>
      </x:c>
      <x:c r="E308" s="1" t="str">
        <x:v>4x4</x:v>
      </x:c>
      <x:c r="F308" s="1" t="n">
        <x:v>4</x:v>
      </x:c>
      <x:c r="G308" s="1" t="n">
        <x:v>4</x:v>
      </x:c>
      <x:c r="H308" s="1" t="n">
        <x:v>999</x:v>
      </x:c>
      <x:c r="I308" s="1" t="n">
        <x:v>999</x:v>
      </x:c>
      <x:c r="J308" s="1" t="str">
        <x:v>$999</x:v>
      </x:c>
      <x:c r="K308" s="1" t="str">
        <x:v>$999</x:v>
      </x:c>
      <x:c r="L308" s="1" t="str">
        <x:v>false</x:v>
      </x:c>
      <x:c r="M308" s="1" t="str">
        <x:v>1,211 - 1,453 sq. ft.</x:v>
      </x:c>
      <x:c r="N308" s="1" t="n">
        <x:v>2</x:v>
      </x:c>
      <x:c r="O308" s="1" t="str">
        <x:v>AvailableNow</x:v>
      </x:c>
      <x:c r="P308" s="1" t="str">
        <x:v>Rentals Available</x:v>
      </x:c>
      <x:c r="Q308" s="1" t="n">
        <x:v>46239.99998842592</x:v>
      </x:c>
      <x:c r="R308" s="1" t="str"/>
      <x:c r="S308" s="1" t="str"/>
      <x:c r="T308" s="1" t="str"/>
      <x:c r="U308" s="1" t="str"/>
      <x:c r="V308" s="1" t="str"/>
      <x:c r="W308" s="1" t="str"/>
      <x:c r="X308" s="1" t="str">
        <x:v>false</x:v>
      </x:c>
      <x:c r="Y308" s="1" t="str">
        <x:v>false</x:v>
      </x:c>
      <x:c r="Z308" s="1" t="str">
        <x:v>[]</x:v>
      </x:c>
    </x:row>
    <x:row r="309" ht="15" hidden="0" customHeight="1">
      <x:c r="A309" s="1" t="str">
        <x:v>61y0ywr</x:v>
      </x:c>
      <x:c r="B309" s="5" t="str">
        <x:v>Hub Raleigh</x:v>
      </x:c>
      <x:c r="C309" s="1" t="str">
        <x:v>5960296</x:v>
      </x:c>
      <x:c r="D309" s="1" t="str">
        <x:v>5n2nx8q</x:v>
      </x:c>
      <x:c r="E309" s="1" t="str">
        <x:v>4x4 TH Mansion</x:v>
      </x:c>
      <x:c r="F309" s="1" t="n">
        <x:v>4</x:v>
      </x:c>
      <x:c r="G309" s="1" t="n">
        <x:v>4</x:v>
      </x:c>
      <x:c r="H309" s="1" t="n">
        <x:v>1199</x:v>
      </x:c>
      <x:c r="I309" s="1" t="n">
        <x:v>1199</x:v>
      </x:c>
      <x:c r="J309" s="1" t="str">
        <x:v>$1,199</x:v>
      </x:c>
      <x:c r="K309" s="1" t="str">
        <x:v>$1,199</x:v>
      </x:c>
      <x:c r="L309" s="1" t="str">
        <x:v>false</x:v>
      </x:c>
      <x:c r="M309" s="1" t="str">
        <x:v>1,359 sq. ft.</x:v>
      </x:c>
      <x:c r="N309" s="1" t="n">
        <x:v>2</x:v>
      </x:c>
      <x:c r="O309" s="1" t="str">
        <x:v>AvailableNow</x:v>
      </x:c>
      <x:c r="P309" s="1" t="str">
        <x:v>Rentals Available</x:v>
      </x:c>
      <x:c r="Q309" s="1" t="n">
        <x:v>46239.99998842592</x:v>
      </x:c>
      <x:c r="R309" s="1" t="str"/>
      <x:c r="S309" s="1" t="str"/>
      <x:c r="T309" s="1" t="str"/>
      <x:c r="U309" s="1" t="str"/>
      <x:c r="V309" s="1" t="str"/>
      <x:c r="W309" s="1" t="str"/>
      <x:c r="X309" s="1" t="str">
        <x:v>false</x:v>
      </x:c>
      <x:c r="Y309" s="1" t="str">
        <x:v>false</x:v>
      </x:c>
      <x:c r="Z309" s="1" t="str">
        <x:v>[]</x:v>
      </x:c>
    </x:row>
    <x:row r="310" ht="15" hidden="0" customHeight="1">
      <x:c r="A310" s="1" t="str">
        <x:v>61y0ywr</x:v>
      </x:c>
      <x:c r="B310" s="5" t="str">
        <x:v>Hub Raleigh</x:v>
      </x:c>
      <x:c r="C310" s="1" t="str">
        <x:v>5960295</x:v>
      </x:c>
      <x:c r="D310" s="1" t="str">
        <x:v>grqz8qw</x:v>
      </x:c>
      <x:c r="E310" s="1" t="str">
        <x:v>4x4 Mansion Spa</x:v>
      </x:c>
      <x:c r="F310" s="1" t="n">
        <x:v>4</x:v>
      </x:c>
      <x:c r="G310" s="1" t="n">
        <x:v>4</x:v>
      </x:c>
      <x:c r="H310" s="1" t="n">
        <x:v>1244</x:v>
      </x:c>
      <x:c r="I310" s="1" t="n">
        <x:v>1244</x:v>
      </x:c>
      <x:c r="J310" s="1" t="str">
        <x:v>$1,244</x:v>
      </x:c>
      <x:c r="K310" s="1" t="str">
        <x:v>$1,244</x:v>
      </x:c>
      <x:c r="L310" s="1" t="str">
        <x:v>false</x:v>
      </x:c>
      <x:c r="M310" s="1" t="str">
        <x:v>1,318 - 1,415 sq. ft.</x:v>
      </x:c>
      <x:c r="N310" s="1" t="n">
        <x:v>2</x:v>
      </x:c>
      <x:c r="O310" s="1" t="str">
        <x:v>AvailableNow</x:v>
      </x:c>
      <x:c r="P310" s="1" t="str">
        <x:v>Rentals Available</x:v>
      </x:c>
      <x:c r="Q310" s="1" t="n">
        <x:v>46239.99998842592</x:v>
      </x:c>
      <x:c r="R310" s="1" t="str"/>
      <x:c r="S310" s="1" t="str"/>
      <x:c r="T310" s="1" t="str"/>
      <x:c r="U310" s="1" t="str"/>
      <x:c r="V310" s="1" t="str"/>
      <x:c r="W310" s="1" t="str"/>
      <x:c r="X310" s="1" t="str">
        <x:v>false</x:v>
      </x:c>
      <x:c r="Y310" s="1" t="str">
        <x:v>false</x:v>
      </x:c>
      <x:c r="Z310" s="1" t="str">
        <x:v>[]</x:v>
      </x:c>
    </x:row>
    <x:row r="311" ht="15" hidden="0" customHeight="1">
      <x:c r="A311" s="1" t="str">
        <x:v>61y0ywr</x:v>
      </x:c>
      <x:c r="B311" s="5" t="str">
        <x:v>Hub Raleigh</x:v>
      </x:c>
      <x:c r="C311" s="1" t="str">
        <x:v>5960298</x:v>
      </x:c>
      <x:c r="D311" s="1" t="str">
        <x:v>yn2m55s</x:v>
      </x:c>
      <x:c r="E311" s="1" t="str">
        <x:v>4x4 TH</x:v>
      </x:c>
      <x:c r="F311" s="1" t="n">
        <x:v>4</x:v>
      </x:c>
      <x:c r="G311" s="1" t="n">
        <x:v>4</x:v>
      </x:c>
      <x:c r="H311" s="1" t="n">
        <x:v>1299</x:v>
      </x:c>
      <x:c r="I311" s="1" t="n">
        <x:v>1299</x:v>
      </x:c>
      <x:c r="J311" s="1" t="str">
        <x:v>$1,299</x:v>
      </x:c>
      <x:c r="K311" s="1" t="str">
        <x:v>$1,299</x:v>
      </x:c>
      <x:c r="L311" s="1" t="str">
        <x:v>false</x:v>
      </x:c>
      <x:c r="M311" s="1" t="str">
        <x:v>1,446 - 1,502 sq. ft.</x:v>
      </x:c>
      <x:c r="N311" s="1" t="n">
        <x:v>2</x:v>
      </x:c>
      <x:c r="O311" s="1" t="str">
        <x:v>AvailableNow</x:v>
      </x:c>
      <x:c r="P311" s="1" t="str">
        <x:v>Rentals Available</x:v>
      </x:c>
      <x:c r="Q311" s="1" t="n">
        <x:v>46239.99998842592</x:v>
      </x:c>
      <x:c r="R311" s="1" t="str"/>
      <x:c r="S311" s="1" t="str"/>
      <x:c r="T311" s="1" t="str"/>
      <x:c r="U311" s="1" t="str"/>
      <x:c r="V311" s="1" t="str"/>
      <x:c r="W311" s="1" t="str"/>
      <x:c r="X311" s="1" t="str">
        <x:v>false</x:v>
      </x:c>
      <x:c r="Y311" s="1" t="str">
        <x:v>false</x:v>
      </x:c>
      <x:c r="Z311" s="1" t="str">
        <x:v>[]</x:v>
      </x:c>
    </x:row>
    <x:row r="312" ht="15" hidden="0" customHeight="1">
      <x:c r="A312" s="1" t="str">
        <x:v>61y0ywr</x:v>
      </x:c>
      <x:c r="B312" s="5" t="str">
        <x:v>Hub Raleigh</x:v>
      </x:c>
      <x:c r="C312" s="1" t="str">
        <x:v>5960293</x:v>
      </x:c>
      <x:c r="D312" s="1" t="str">
        <x:v>h8qths2</x:v>
      </x:c>
      <x:c r="E312" s="1" t="str">
        <x:v>4x4 Mansion</x:v>
      </x:c>
      <x:c r="F312" s="1" t="n">
        <x:v>4</x:v>
      </x:c>
      <x:c r="G312" s="1" t="n">
        <x:v>4</x:v>
      </x:c>
      <x:c r="H312" s="1" t="n">
        <x:v>1219</x:v>
      </x:c>
      <x:c r="I312" s="1" t="n">
        <x:v>1219</x:v>
      </x:c>
      <x:c r="J312" s="1" t="str">
        <x:v>$1,219</x:v>
      </x:c>
      <x:c r="K312" s="1" t="str">
        <x:v>$1,219</x:v>
      </x:c>
      <x:c r="L312" s="1" t="str">
        <x:v>false</x:v>
      </x:c>
      <x:c r="M312" s="1" t="str">
        <x:v>1,213 sq. ft.</x:v>
      </x:c>
      <x:c r="N312" s="1" t="n">
        <x:v>1</x:v>
      </x:c>
      <x:c r="O312" s="1" t="str">
        <x:v>AvailableNow</x:v>
      </x:c>
      <x:c r="P312" s="1" t="str">
        <x:v>Rentals Available</x:v>
      </x:c>
      <x:c r="Q312" s="1" t="n">
        <x:v>46239.99998842592</x:v>
      </x:c>
      <x:c r="R312" s="1" t="str"/>
      <x:c r="S312" s="1" t="str"/>
      <x:c r="T312" s="1" t="str"/>
      <x:c r="U312" s="1" t="str"/>
      <x:c r="V312" s="1" t="str"/>
      <x:c r="W312" s="1" t="str"/>
      <x:c r="X312" s="1" t="str">
        <x:v>false</x:v>
      </x:c>
      <x:c r="Y312" s="1" t="str">
        <x:v>false</x:v>
      </x:c>
      <x:c r="Z312" s="1" t="str">
        <x:v>[]</x:v>
      </x:c>
    </x:row>
    <x:row r="313" ht="15" hidden="0" customHeight="1">
      <x:c r="A313" s="1" t="str">
        <x:v>61y0ywr</x:v>
      </x:c>
      <x:c r="B313" s="5" t="str">
        <x:v>Hub Raleigh</x:v>
      </x:c>
      <x:c r="C313" s="1" t="str">
        <x:v>5960299</x:v>
      </x:c>
      <x:c r="D313" s="1" t="str">
        <x:v>3fflf2f</x:v>
      </x:c>
      <x:c r="E313" s="1" t="str">
        <x:v>4x4 Mansion Spa +</x:v>
      </x:c>
      <x:c r="F313" s="1" t="n">
        <x:v>4</x:v>
      </x:c>
      <x:c r="G313" s="1" t="n">
        <x:v>4</x:v>
      </x:c>
      <x:c r="H313" s="1" t="n">
        <x:v>1574</x:v>
      </x:c>
      <x:c r="I313" s="1" t="n">
        <x:v>1574</x:v>
      </x:c>
      <x:c r="J313" s="1" t="str">
        <x:v>$1,574</x:v>
      </x:c>
      <x:c r="K313" s="1" t="str">
        <x:v>$1,574</x:v>
      </x:c>
      <x:c r="L313" s="1" t="str">
        <x:v>false</x:v>
      </x:c>
      <x:c r="M313" s="1" t="str">
        <x:v>1,544 sq. ft.</x:v>
      </x:c>
      <x:c r="N313" s="1" t="n">
        <x:v>0</x:v>
      </x:c>
      <x:c r="O313" s="1" t="str">
        <x:v>AvailableSoon</x:v>
      </x:c>
      <x:c r="P313" s="1" t="str">
        <x:v>Available Soon</x:v>
      </x:c>
      <x:c r="Q313" s="1" t="str"/>
      <x:c r="R313" s="1" t="str"/>
      <x:c r="S313" s="1" t="str"/>
      <x:c r="T313" s="1" t="str"/>
      <x:c r="U313" s="1" t="str"/>
      <x:c r="V313" s="1" t="str"/>
      <x:c r="W313" s="1" t="str"/>
      <x:c r="X313" s="1" t="str">
        <x:v>false</x:v>
      </x:c>
      <x:c r="Y313" s="1" t="str">
        <x:v>false</x:v>
      </x:c>
      <x:c r="Z313" s="1" t="str">
        <x:v>[]</x:v>
      </x:c>
    </x:row>
    <x:row r="314" ht="15" hidden="0" customHeight="1">
      <x:c r="A314" s="1" t="str">
        <x:v>ocp1tnqde5</x:v>
      </x:c>
      <x:c r="B314" s="5" t="str">
        <x:v>2 blocks from central campus, 2 blocks from Village District!</x:v>
      </x:c>
      <x:c r="C314" s="1" t="str">
        <x:v>1</x:v>
      </x:c>
      <x:c r="D314" s="1" t="str">
        <x:v>q2j0gkx</x:v>
      </x:c>
      <x:c r="E314" s="1" t="str"/>
      <x:c r="F314" s="1" t="n">
        <x:v>4</x:v>
      </x:c>
      <x:c r="G314" s="1" t="n">
        <x:v>2</x:v>
      </x:c>
      <x:c r="H314" s="1" t="n">
        <x:v>3900</x:v>
      </x:c>
      <x:c r="I314" s="1" t="n">
        <x:v>3900</x:v>
      </x:c>
      <x:c r="J314" s="1" t="str">
        <x:v>$3,900</x:v>
      </x:c>
      <x:c r="K314" s="1" t="str">
        <x:v>$3,900</x:v>
      </x:c>
      <x:c r="L314" s="1" t="str">
        <x:v>false</x:v>
      </x:c>
      <x:c r="M314" s="1" t="str">
        <x:v>1,800 sq. ft.</x:v>
      </x:c>
      <x:c r="N314" s="1" t="n">
        <x:v>1</x:v>
      </x:c>
      <x:c r="O314" s="1" t="str">
        <x:v>AvailableNow</x:v>
      </x:c>
      <x:c r="P314" s="1" t="str">
        <x:v>Rentals Available</x:v>
      </x:c>
      <x:c r="Q314" s="1" t="n">
        <x:v>46204.99998842592</x:v>
      </x:c>
      <x:c r="R314" s="1" t="str"/>
      <x:c r="S314" s="1" t="str"/>
      <x:c r="T314" s="1" t="str">
        <x:v>N/A</x:v>
      </x:c>
      <x:c r="U314" s="1" t="str">
        <x:v>N/A</x:v>
      </x:c>
      <x:c r="V314" s="1" t="str">
        <x:v>4</x:v>
      </x:c>
      <x:c r="W314" s="1" t="str"/>
      <x:c r="X314" s="1" t="str">
        <x:v>false</x:v>
      </x:c>
      <x:c r="Y314" s="1" t="str">
        <x:v>false</x:v>
      </x:c>
      <x:c r="Z314" s="1" t="str">
        <x:v>[]</x:v>
      </x:c>
    </x:row>
    <x:row r="315" ht="15" hidden="0" customHeight="1">
      <x:c r="A315" s="1" t="str">
        <x:v>dw0f7sh</x:v>
      </x:c>
      <x:c r="B315" s="5" t="str">
        <x:v>Campus Edge</x:v>
      </x:c>
      <x:c r="C315" s="1" t="str">
        <x:v>779519</x:v>
      </x:c>
      <x:c r="D315" s="1" t="str">
        <x:v>8xc85n0</x:v>
      </x:c>
      <x:c r="E315" s="1" t="str">
        <x:v>1x1 Platinum</x:v>
      </x:c>
      <x:c r="F315" s="1" t="n">
        <x:v>1</x:v>
      </x:c>
      <x:c r="G315" s="1" t="n">
        <x:v>1</x:v>
      </x:c>
      <x:c r="H315" s="1" t="n">
        <x:v>1475</x:v>
      </x:c>
      <x:c r="I315" s="1" t="n">
        <x:v>1475</x:v>
      </x:c>
      <x:c r="J315" s="1" t="str">
        <x:v>$1,475</x:v>
      </x:c>
      <x:c r="K315" s="1" t="str">
        <x:v>$1,475</x:v>
      </x:c>
      <x:c r="L315" s="1" t="str">
        <x:v>false</x:v>
      </x:c>
      <x:c r="M315" s="1" t="str">
        <x:v>641 sq. ft.</x:v>
      </x:c>
      <x:c r="N315" s="1" t="n">
        <x:v>2</x:v>
      </x:c>
      <x:c r="O315" s="1" t="str">
        <x:v>AvailableNow</x:v>
      </x:c>
      <x:c r="P315" s="1" t="str">
        <x:v>Rentals Available</x:v>
      </x:c>
      <x:c r="Q315" s="1" t="n">
        <x:v>46248.99998842592</x:v>
      </x:c>
      <x:c r="R315" s="1" t="str"/>
      <x:c r="S315" s="1" t="str"/>
      <x:c r="T315" s="1" t="str"/>
      <x:c r="U315" s="1" t="str"/>
      <x:c r="V315" s="1" t="str">
        <x:v>1</x:v>
      </x:c>
      <x:c r="W315" s="1" t="str"/>
      <x:c r="X315" s="1" t="str">
        <x:v>false</x:v>
      </x:c>
      <x:c r="Y315" s="1" t="str">
        <x:v>false</x:v>
      </x:c>
      <x:c r="Z315" s="1" t="str">
        <x:v>[]</x:v>
      </x:c>
    </x:row>
    <x:row r="316" ht="15" hidden="0" customHeight="1">
      <x:c r="A316" s="1" t="str">
        <x:v>dw0f7sh</x:v>
      </x:c>
      <x:c r="B316" s="5" t="str">
        <x:v>Campus Edge</x:v>
      </x:c>
      <x:c r="C316" s="1" t="str">
        <x:v>779520</x:v>
      </x:c>
      <x:c r="D316" s="1" t="str">
        <x:v>15rh4p5</x:v>
      </x:c>
      <x:c r="E316" s="1" t="str">
        <x:v>2x2 Platinum</x:v>
      </x:c>
      <x:c r="F316" s="1" t="n">
        <x:v>2</x:v>
      </x:c>
      <x:c r="G316" s="1" t="n">
        <x:v>2</x:v>
      </x:c>
      <x:c r="H316" s="1" t="n">
        <x:v>960</x:v>
      </x:c>
      <x:c r="I316" s="1" t="n">
        <x:v>1895</x:v>
      </x:c>
      <x:c r="J316" s="1" t="str">
        <x:v>$960 - $1,895</x:v>
      </x:c>
      <x:c r="K316" s="1" t="str">
        <x:v>$960 - $1,895</x:v>
      </x:c>
      <x:c r="L316" s="1" t="str">
        <x:v>true</x:v>
      </x:c>
      <x:c r="M316" s="1" t="str">
        <x:v>978 sq. ft.</x:v>
      </x:c>
      <x:c r="N316" s="1" t="n">
        <x:v>3</x:v>
      </x:c>
      <x:c r="O316" s="1" t="str">
        <x:v>AvailableNow</x:v>
      </x:c>
      <x:c r="P316" s="1" t="str">
        <x:v>Rentals Available</x:v>
      </x:c>
      <x:c r="Q316" s="1" t="n">
        <x:v>46248.99998842592</x:v>
      </x:c>
      <x:c r="R316" s="1" t="str"/>
      <x:c r="S316" s="1" t="str"/>
      <x:c r="T316" s="1" t="str"/>
      <x:c r="U316" s="1" t="str"/>
      <x:c r="V316" s="1" t="str">
        <x:v>2</x:v>
      </x:c>
      <x:c r="W316" s="1" t="str"/>
      <x:c r="X316" s="1" t="str">
        <x:v>false</x:v>
      </x:c>
      <x:c r="Y316" s="1" t="str">
        <x:v>false</x:v>
      </x:c>
      <x:c r="Z316" s="1" t="str">
        <x:v>[]</x:v>
      </x:c>
    </x:row>
    <x:row r="317" ht="15" hidden="0" customHeight="1">
      <x:c r="A317" s="1" t="str">
        <x:v>dw0f7sh</x:v>
      </x:c>
      <x:c r="B317" s="5" t="str">
        <x:v>Campus Edge</x:v>
      </x:c>
      <x:c r="C317" s="1" t="str">
        <x:v>3464221</x:v>
      </x:c>
      <x:c r="D317" s="1" t="str">
        <x:v>plz57tr</x:v>
      </x:c>
      <x:c r="E317" s="1" t="str">
        <x:v>2x2 Upgraded</x:v>
      </x:c>
      <x:c r="F317" s="1" t="n">
        <x:v>2</x:v>
      </x:c>
      <x:c r="G317" s="1" t="n">
        <x:v>2</x:v>
      </x:c>
      <x:c r="H317" s="1" t="n">
        <x:v>955</x:v>
      </x:c>
      <x:c r="I317" s="1" t="n">
        <x:v>955</x:v>
      </x:c>
      <x:c r="J317" s="1" t="str">
        <x:v>$955</x:v>
      </x:c>
      <x:c r="K317" s="1" t="str">
        <x:v>$955</x:v>
      </x:c>
      <x:c r="L317" s="1" t="str">
        <x:v>true</x:v>
      </x:c>
      <x:c r="M317" s="1" t="str">
        <x:v>978 sq. ft.</x:v>
      </x:c>
      <x:c r="N317" s="1" t="n">
        <x:v>2</x:v>
      </x:c>
      <x:c r="O317" s="1" t="str">
        <x:v>AvailableNow</x:v>
      </x:c>
      <x:c r="P317" s="1" t="str">
        <x:v>Rentals Available</x:v>
      </x:c>
      <x:c r="Q317" s="1" t="n">
        <x:v>46248.99998842592</x:v>
      </x:c>
      <x:c r="R317" s="1" t="str"/>
      <x:c r="S317" s="1" t="str"/>
      <x:c r="T317" s="1" t="str"/>
      <x:c r="U317" s="1" t="str"/>
      <x:c r="V317" s="1" t="str"/>
      <x:c r="W317" s="1" t="str"/>
      <x:c r="X317" s="1" t="str">
        <x:v>false</x:v>
      </x:c>
      <x:c r="Y317" s="1" t="str">
        <x:v>false</x:v>
      </x:c>
      <x:c r="Z317" s="1" t="str">
        <x:v>[]</x:v>
      </x:c>
    </x:row>
    <x:row r="318" ht="15" hidden="0" customHeight="1">
      <x:c r="A318" s="1" t="str">
        <x:v>dw0f7sh</x:v>
      </x:c>
      <x:c r="B318" s="5" t="str">
        <x:v>Campus Edge</x:v>
      </x:c>
      <x:c r="C318" s="1" t="str">
        <x:v>3464222</x:v>
      </x:c>
      <x:c r="D318" s="1" t="str">
        <x:v>msq7ncj</x:v>
      </x:c>
      <x:c r="E318" s="1" t="str">
        <x:v>3x3 Upgraded</x:v>
      </x:c>
      <x:c r="F318" s="1" t="n">
        <x:v>3</x:v>
      </x:c>
      <x:c r="G318" s="1" t="n">
        <x:v>3</x:v>
      </x:c>
      <x:c r="H318" s="1" t="n">
        <x:v>905</x:v>
      </x:c>
      <x:c r="I318" s="1" t="n">
        <x:v>905</x:v>
      </x:c>
      <x:c r="J318" s="1" t="str">
        <x:v>$905</x:v>
      </x:c>
      <x:c r="K318" s="1" t="str">
        <x:v>$905</x:v>
      </x:c>
      <x:c r="L318" s="1" t="str">
        <x:v>true</x:v>
      </x:c>
      <x:c r="M318" s="1" t="str">
        <x:v>1,296 sq. ft.</x:v>
      </x:c>
      <x:c r="N318" s="1" t="n">
        <x:v>2</x:v>
      </x:c>
      <x:c r="O318" s="1" t="str">
        <x:v>AvailableNow</x:v>
      </x:c>
      <x:c r="P318" s="1" t="str">
        <x:v>Rentals Available</x:v>
      </x:c>
      <x:c r="Q318" s="1" t="n">
        <x:v>46248.99998842592</x:v>
      </x:c>
      <x:c r="R318" s="1" t="str"/>
      <x:c r="S318" s="1" t="str"/>
      <x:c r="T318" s="1" t="str"/>
      <x:c r="U318" s="1" t="str"/>
      <x:c r="V318" s="1" t="str"/>
      <x:c r="W318" s="1" t="str"/>
      <x:c r="X318" s="1" t="str">
        <x:v>false</x:v>
      </x:c>
      <x:c r="Y318" s="1" t="str">
        <x:v>false</x:v>
      </x:c>
      <x:c r="Z318" s="1" t="str">
        <x:v>[]</x:v>
      </x:c>
    </x:row>
    <x:row r="319" ht="15" hidden="0" customHeight="1">
      <x:c r="A319" s="1" t="str">
        <x:v>dw0f7sh</x:v>
      </x:c>
      <x:c r="B319" s="5" t="str">
        <x:v>Campus Edge</x:v>
      </x:c>
      <x:c r="C319" s="1" t="str">
        <x:v>779521</x:v>
      </x:c>
      <x:c r="D319" s="1" t="str">
        <x:v>cfntqsd</x:v>
      </x:c>
      <x:c r="E319" s="1" t="str">
        <x:v>3x3 Platinum</x:v>
      </x:c>
      <x:c r="F319" s="1" t="n">
        <x:v>3</x:v>
      </x:c>
      <x:c r="G319" s="1" t="n">
        <x:v>3</x:v>
      </x:c>
      <x:c r="H319" s="1" t="n">
        <x:v>940</x:v>
      </x:c>
      <x:c r="I319" s="1" t="n">
        <x:v>940</x:v>
      </x:c>
      <x:c r="J319" s="1" t="str">
        <x:v>$940</x:v>
      </x:c>
      <x:c r="K319" s="1" t="str">
        <x:v>$940</x:v>
      </x:c>
      <x:c r="L319" s="1" t="str">
        <x:v>true</x:v>
      </x:c>
      <x:c r="M319" s="1" t="str">
        <x:v>1,296 sq. ft.</x:v>
      </x:c>
      <x:c r="N319" s="1" t="n">
        <x:v>2</x:v>
      </x:c>
      <x:c r="O319" s="1" t="str">
        <x:v>AvailableNow</x:v>
      </x:c>
      <x:c r="P319" s="1" t="str">
        <x:v>Rentals Available</x:v>
      </x:c>
      <x:c r="Q319" s="1" t="n">
        <x:v>46248.99998842592</x:v>
      </x:c>
      <x:c r="R319" s="1" t="str"/>
      <x:c r="S319" s="1" t="str"/>
      <x:c r="T319" s="1" t="str"/>
      <x:c r="U319" s="1" t="str"/>
      <x:c r="V319" s="1" t="str">
        <x:v>3</x:v>
      </x:c>
      <x:c r="W319" s="1" t="str"/>
      <x:c r="X319" s="1" t="str">
        <x:v>false</x:v>
      </x:c>
      <x:c r="Y319" s="1" t="str">
        <x:v>false</x:v>
      </x:c>
      <x:c r="Z319" s="1" t="str">
        <x:v>[]</x:v>
      </x:c>
    </x:row>
    <x:row r="320" ht="15" hidden="0" customHeight="1">
      <x:c r="A320" s="1" t="str">
        <x:v>ocp85fz0j3</x:v>
      </x:c>
      <x:c r="B320" s="5" t="str">
        <x:v>Brand-New 4BR Townhomes - Eight at State</x:v>
      </x:c>
      <x:c r="C320" s="1" t="str">
        <x:v>1</x:v>
      </x:c>
      <x:c r="D320" s="1" t="str">
        <x:v>q2j0gkx</x:v>
      </x:c>
      <x:c r="E320" s="1" t="str"/>
      <x:c r="F320" s="1" t="n">
        <x:v>4</x:v>
      </x:c>
      <x:c r="G320" s="1" t="n">
        <x:v>4.5</x:v>
      </x:c>
      <x:c r="H320" s="1" t="n">
        <x:v>4000</x:v>
      </x:c>
      <x:c r="I320" s="1" t="n">
        <x:v>4000</x:v>
      </x:c>
      <x:c r="J320" s="1" t="str">
        <x:v>$4,000</x:v>
      </x:c>
      <x:c r="K320" s="1" t="str">
        <x:v>$4,000</x:v>
      </x:c>
      <x:c r="L320" s="1" t="str">
        <x:v>false</x:v>
      </x:c>
      <x:c r="M320" s="1" t="str">
        <x:v>1,783 sq. ft.</x:v>
      </x:c>
      <x:c r="N320" s="1" t="n">
        <x:v>1</x:v>
      </x:c>
      <x:c r="O320" s="1" t="str">
        <x:v>AvailableNow</x:v>
      </x:c>
      <x:c r="P320" s="1" t="str">
        <x:v>Rentals Available</x:v>
      </x:c>
      <x:c r="Q320" s="1" t="n">
        <x:v>46235.99998842592</x:v>
      </x:c>
      <x:c r="R320" s="1" t="str"/>
      <x:c r="S320" s="1" t="str"/>
      <x:c r="T320" s="1" t="str">
        <x:v>N/A</x:v>
      </x:c>
      <x:c r="U320" s="1" t="str">
        <x:v>N/A</x:v>
      </x:c>
      <x:c r="V320" s="1" t="str">
        <x:v>4</x:v>
      </x:c>
      <x:c r="W320" s="1" t="str"/>
      <x:c r="X320" s="1" t="str">
        <x:v>false</x:v>
      </x:c>
      <x:c r="Y320" s="1" t="str">
        <x:v>false</x:v>
      </x:c>
      <x:c r="Z320" s="1" t="str">
        <x:v>[]</x:v>
      </x:c>
    </x:row>
    <x:row r="321" ht="15" hidden="0" customHeight="1">
      <x:c r="A321" s="1" t="str">
        <x:v>zfcjzqy</x:v>
      </x:c>
      <x:c r="B321" s="5" t="str">
        <x:v>Yugo Raleigh Logan</x:v>
      </x:c>
      <x:c r="C321" s="1" t="str">
        <x:v>2020717</x:v>
      </x:c>
      <x:c r="D321" s="1" t="str">
        <x:v>sy8wqv5</x:v>
      </x:c>
      <x:c r="E321" s="1" t="str">
        <x:v>1 Bed, 1 Bath Classic</x:v>
      </x:c>
      <x:c r="F321" s="1" t="n">
        <x:v>1</x:v>
      </x:c>
      <x:c r="G321" s="1" t="n">
        <x:v>1</x:v>
      </x:c>
      <x:c r="H321" s="1" t="n">
        <x:v>1859</x:v>
      </x:c>
      <x:c r="I321" s="1" t="n">
        <x:v>1879</x:v>
      </x:c>
      <x:c r="J321" s="1" t="str">
        <x:v>$1,859 - $1,879</x:v>
      </x:c>
      <x:c r="K321" s="1" t="str">
        <x:v>$1,859 - $1,879</x:v>
      </x:c>
      <x:c r="L321" s="1" t="str">
        <x:v>false</x:v>
      </x:c>
      <x:c r="M321" s="1" t="str">
        <x:v>561 sq. ft.</x:v>
      </x:c>
      <x:c r="N321" s="1" t="n">
        <x:v>2</x:v>
      </x:c>
      <x:c r="O321" s="1" t="str">
        <x:v>FutureDate</x:v>
      </x:c>
      <x:c r="P321" s="1" t="str">
        <x:v>Available Soon</x:v>
      </x:c>
      <x:c r="Q321" s="1" t="n">
        <x:v>46612.99998842592</x:v>
      </x:c>
      <x:c r="R321" s="1" t="str"/>
      <x:c r="S321" s="1" t="str"/>
      <x:c r="T321" s="1" t="str"/>
      <x:c r="U321" s="1" t="str"/>
      <x:c r="V321" s="1" t="str">
        <x:v>1</x:v>
      </x:c>
      <x:c r="W321" s="1" t="str"/>
      <x:c r="X321" s="1" t="str">
        <x:v>false</x:v>
      </x:c>
      <x:c r="Y321" s="1" t="str">
        <x:v>false</x:v>
      </x:c>
      <x:c r="Z321" s="1" t="str">
        <x:v>[]</x:v>
      </x:c>
    </x:row>
    <x:row r="322" ht="15" hidden="0" customHeight="1">
      <x:c r="A322" s="1" t="str">
        <x:v>zfcjzqy</x:v>
      </x:c>
      <x:c r="B322" s="5" t="str">
        <x:v>Yugo Raleigh Logan</x:v>
      </x:c>
      <x:c r="C322" s="1" t="str">
        <x:v>2381641</x:v>
      </x:c>
      <x:c r="D322" s="1" t="str">
        <x:v>4qts4ql</x:v>
      </x:c>
      <x:c r="E322" s="1" t="str">
        <x:v>1 Bed, 1 Bath Corner</x:v>
      </x:c>
      <x:c r="F322" s="1" t="n">
        <x:v>1</x:v>
      </x:c>
      <x:c r="G322" s="1" t="n">
        <x:v>1</x:v>
      </x:c>
      <x:c r="H322" s="1" t="n">
        <x:v>1879</x:v>
      </x:c>
      <x:c r="I322" s="1" t="n">
        <x:v>1879</x:v>
      </x:c>
      <x:c r="J322" s="1" t="str">
        <x:v>$1,879</x:v>
      </x:c>
      <x:c r="K322" s="1" t="str">
        <x:v>$1,879</x:v>
      </x:c>
      <x:c r="L322" s="1" t="str">
        <x:v>false</x:v>
      </x:c>
      <x:c r="M322" s="1" t="str">
        <x:v>617 sq. ft.</x:v>
      </x:c>
      <x:c r="N322" s="1" t="n">
        <x:v>1</x:v>
      </x:c>
      <x:c r="O322" s="1" t="str">
        <x:v>FutureDate</x:v>
      </x:c>
      <x:c r="P322" s="1" t="str">
        <x:v>Available Soon</x:v>
      </x:c>
      <x:c r="Q322" s="1" t="n">
        <x:v>46612.99998842592</x:v>
      </x:c>
      <x:c r="R322" s="1" t="str"/>
      <x:c r="S322" s="1" t="str"/>
      <x:c r="T322" s="1" t="str"/>
      <x:c r="U322" s="1" t="str"/>
      <x:c r="V322" s="1" t="str">
        <x:v>1</x:v>
      </x:c>
      <x:c r="W322" s="1" t="str"/>
      <x:c r="X322" s="1" t="str">
        <x:v>false</x:v>
      </x:c>
      <x:c r="Y322" s="1" t="str">
        <x:v>false</x:v>
      </x:c>
      <x:c r="Z322" s="1" t="str">
        <x:v>[]</x:v>
      </x:c>
    </x:row>
    <x:row r="323" ht="15" hidden="0" customHeight="1">
      <x:c r="A323" s="1" t="str">
        <x:v>zfcjzqy</x:v>
      </x:c>
      <x:c r="B323" s="5" t="str">
        <x:v>Yugo Raleigh Logan</x:v>
      </x:c>
      <x:c r="C323" s="1" t="str">
        <x:v>2381642</x:v>
      </x:c>
      <x:c r="D323" s="1" t="str">
        <x:v>1be69b6</x:v>
      </x:c>
      <x:c r="E323" s="1" t="str">
        <x:v>2 Bed, 2 Bath Courtyard</x:v>
      </x:c>
      <x:c r="F323" s="1" t="n">
        <x:v>2</x:v>
      </x:c>
      <x:c r="G323" s="1" t="n">
        <x:v>2</x:v>
      </x:c>
      <x:c r="H323" s="1" t="n">
        <x:v>1219</x:v>
      </x:c>
      <x:c r="I323" s="1" t="n">
        <x:v>1289</x:v>
      </x:c>
      <x:c r="J323" s="1" t="str">
        <x:v>$1,219 - $1,289</x:v>
      </x:c>
      <x:c r="K323" s="1" t="str">
        <x:v>$1,219 - $1,289</x:v>
      </x:c>
      <x:c r="L323" s="1" t="str">
        <x:v>true</x:v>
      </x:c>
      <x:c r="M323" s="1" t="str">
        <x:v>844 sq. ft.</x:v>
      </x:c>
      <x:c r="N323" s="1" t="n">
        <x:v>3</x:v>
      </x:c>
      <x:c r="O323" s="1" t="str">
        <x:v>AvailableNow</x:v>
      </x:c>
      <x:c r="P323" s="1" t="str">
        <x:v>Rentals Available</x:v>
      </x:c>
      <x:c r="Q323" s="1" t="n">
        <x:v>46250.99998842592</x:v>
      </x:c>
      <x:c r="R323" s="1" t="str"/>
      <x:c r="S323" s="1" t="str"/>
      <x:c r="T323" s="1" t="str"/>
      <x:c r="U323" s="1" t="str"/>
      <x:c r="V323" s="1" t="str">
        <x:v>2</x:v>
      </x:c>
      <x:c r="W323" s="1" t="str"/>
      <x:c r="X323" s="1" t="str">
        <x:v>false</x:v>
      </x:c>
      <x:c r="Y323" s="1" t="str">
        <x:v>false</x:v>
      </x:c>
      <x:c r="Z323" s="1" t="str">
        <x:v>[]</x:v>
      </x:c>
    </x:row>
    <x:row r="324" ht="15" hidden="0" customHeight="1">
      <x:c r="A324" s="1" t="str">
        <x:v>zfcjzqy</x:v>
      </x:c>
      <x:c r="B324" s="5" t="str">
        <x:v>Yugo Raleigh Logan</x:v>
      </x:c>
      <x:c r="C324" s="1" t="str">
        <x:v>2020718</x:v>
      </x:c>
      <x:c r="D324" s="1" t="str">
        <x:v>8hjqs11</x:v>
      </x:c>
      <x:c r="E324" s="1" t="str">
        <x:v>2 Bed, 2 Bath Classic</x:v>
      </x:c>
      <x:c r="F324" s="1" t="n">
        <x:v>2</x:v>
      </x:c>
      <x:c r="G324" s="1" t="n">
        <x:v>2</x:v>
      </x:c>
      <x:c r="H324" s="1" t="n">
        <x:v>1219</x:v>
      </x:c>
      <x:c r="I324" s="1" t="n">
        <x:v>1219</x:v>
      </x:c>
      <x:c r="J324" s="1" t="str">
        <x:v>$1,219</x:v>
      </x:c>
      <x:c r="K324" s="1" t="str">
        <x:v>$1,219</x:v>
      </x:c>
      <x:c r="L324" s="1" t="str">
        <x:v>true</x:v>
      </x:c>
      <x:c r="M324" s="1" t="str">
        <x:v>816 sq. ft.</x:v>
      </x:c>
      <x:c r="N324" s="1" t="n">
        <x:v>1</x:v>
      </x:c>
      <x:c r="O324" s="1" t="str">
        <x:v>FutureDate</x:v>
      </x:c>
      <x:c r="P324" s="1" t="str">
        <x:v>Available Soon</x:v>
      </x:c>
      <x:c r="Q324" s="1" t="n">
        <x:v>46612.99998842592</x:v>
      </x:c>
      <x:c r="R324" s="1" t="str"/>
      <x:c r="S324" s="1" t="str"/>
      <x:c r="T324" s="1" t="str"/>
      <x:c r="U324" s="1" t="str"/>
      <x:c r="V324" s="1" t="str">
        <x:v>2</x:v>
      </x:c>
      <x:c r="W324" s="1" t="str"/>
      <x:c r="X324" s="1" t="str">
        <x:v>false</x:v>
      </x:c>
      <x:c r="Y324" s="1" t="str">
        <x:v>false</x:v>
      </x:c>
      <x:c r="Z324" s="1" t="str">
        <x:v>[]</x:v>
      </x:c>
    </x:row>
    <x:row r="325" ht="15" hidden="0" customHeight="1">
      <x:c r="A325" s="1" t="str">
        <x:v>zfcjzqy</x:v>
      </x:c>
      <x:c r="B325" s="5" t="str">
        <x:v>Yugo Raleigh Logan</x:v>
      </x:c>
      <x:c r="C325" s="1" t="str">
        <x:v>2381643</x:v>
      </x:c>
      <x:c r="D325" s="1" t="str">
        <x:v>qpzhx4x</x:v>
      </x:c>
      <x:c r="E325" s="1" t="str">
        <x:v>2 Bed, 2 Bath Plus</x:v>
      </x:c>
      <x:c r="F325" s="1" t="n">
        <x:v>2</x:v>
      </x:c>
      <x:c r="G325" s="1" t="n">
        <x:v>2</x:v>
      </x:c>
      <x:c r="H325" s="1" t="n">
        <x:v>1219</x:v>
      </x:c>
      <x:c r="I325" s="1" t="n">
        <x:v>1219</x:v>
      </x:c>
      <x:c r="J325" s="1" t="str">
        <x:v>$1,219</x:v>
      </x:c>
      <x:c r="K325" s="1" t="str">
        <x:v>$1,219</x:v>
      </x:c>
      <x:c r="L325" s="1" t="str">
        <x:v>true</x:v>
      </x:c>
      <x:c r="M325" s="1" t="str">
        <x:v>866 sq. ft.</x:v>
      </x:c>
      <x:c r="N325" s="1" t="n">
        <x:v>1</x:v>
      </x:c>
      <x:c r="O325" s="1" t="str">
        <x:v>FutureDate</x:v>
      </x:c>
      <x:c r="P325" s="1" t="str">
        <x:v>Available Soon</x:v>
      </x:c>
      <x:c r="Q325" s="1" t="n">
        <x:v>46612.99998842592</x:v>
      </x:c>
      <x:c r="R325" s="1" t="str"/>
      <x:c r="S325" s="1" t="str"/>
      <x:c r="T325" s="1" t="str"/>
      <x:c r="U325" s="1" t="str"/>
      <x:c r="V325" s="1" t="str">
        <x:v>2</x:v>
      </x:c>
      <x:c r="W325" s="1" t="str"/>
      <x:c r="X325" s="1" t="str">
        <x:v>false</x:v>
      </x:c>
      <x:c r="Y325" s="1" t="str">
        <x:v>false</x:v>
      </x:c>
      <x:c r="Z325" s="1" t="str">
        <x:v>[]</x:v>
      </x:c>
    </x:row>
    <x:row r="326" ht="15" hidden="0" customHeight="1">
      <x:c r="A326" s="1" t="str">
        <x:v>zfcjzqy</x:v>
      </x:c>
      <x:c r="B326" s="5" t="str">
        <x:v>Yugo Raleigh Logan</x:v>
      </x:c>
      <x:c r="C326" s="1" t="str">
        <x:v>2381644</x:v>
      </x:c>
      <x:c r="D326" s="1" t="str">
        <x:v>dpzj59l</x:v>
      </x:c>
      <x:c r="E326" s="1" t="str">
        <x:v>2 Bed, 2 Bath Corner</x:v>
      </x:c>
      <x:c r="F326" s="1" t="n">
        <x:v>2</x:v>
      </x:c>
      <x:c r="G326" s="1" t="n">
        <x:v>2</x:v>
      </x:c>
      <x:c r="H326" s="1" t="n">
        <x:v>1259</x:v>
      </x:c>
      <x:c r="I326" s="1" t="n">
        <x:v>1259</x:v>
      </x:c>
      <x:c r="J326" s="1" t="str">
        <x:v>$1,259</x:v>
      </x:c>
      <x:c r="K326" s="1" t="str">
        <x:v>$1,259</x:v>
      </x:c>
      <x:c r="L326" s="1" t="str">
        <x:v>true</x:v>
      </x:c>
      <x:c r="M326" s="1" t="str">
        <x:v>946 - 952 sq. ft.</x:v>
      </x:c>
      <x:c r="N326" s="1" t="n">
        <x:v>1</x:v>
      </x:c>
      <x:c r="O326" s="1" t="str">
        <x:v>FutureDate</x:v>
      </x:c>
      <x:c r="P326" s="1" t="str">
        <x:v>Available Soon</x:v>
      </x:c>
      <x:c r="Q326" s="1" t="n">
        <x:v>46612.99998842592</x:v>
      </x:c>
      <x:c r="R326" s="1" t="str"/>
      <x:c r="S326" s="1" t="str"/>
      <x:c r="T326" s="1" t="str"/>
      <x:c r="U326" s="1" t="str"/>
      <x:c r="V326" s="1" t="str">
        <x:v>2</x:v>
      </x:c>
      <x:c r="W326" s="1" t="str"/>
      <x:c r="X326" s="1" t="str">
        <x:v>false</x:v>
      </x:c>
      <x:c r="Y326" s="1" t="str">
        <x:v>false</x:v>
      </x:c>
      <x:c r="Z326" s="1" t="str">
        <x:v>[]</x:v>
      </x:c>
    </x:row>
    <x:row r="327" ht="15" hidden="0" customHeight="1">
      <x:c r="A327" s="1" t="str">
        <x:v>zfcjzqy</x:v>
      </x:c>
      <x:c r="B327" s="5" t="str">
        <x:v>Yugo Raleigh Logan</x:v>
      </x:c>
      <x:c r="C327" s="1" t="str">
        <x:v>2020719</x:v>
      </x:c>
      <x:c r="D327" s="1" t="str">
        <x:v>1w34n14</x:v>
      </x:c>
      <x:c r="E327" s="1" t="str">
        <x:v>3 Bed, 3 Bath Classic</x:v>
      </x:c>
      <x:c r="F327" s="1" t="n">
        <x:v>3</x:v>
      </x:c>
      <x:c r="G327" s="1" t="n">
        <x:v>3</x:v>
      </x:c>
      <x:c r="H327" s="1" t="n">
        <x:v>1149</x:v>
      </x:c>
      <x:c r="I327" s="1" t="n">
        <x:v>1199</x:v>
      </x:c>
      <x:c r="J327" s="1" t="str">
        <x:v>$1,149 - $1,199</x:v>
      </x:c>
      <x:c r="K327" s="1" t="str">
        <x:v>$1,149 - $1,199</x:v>
      </x:c>
      <x:c r="L327" s="1" t="str">
        <x:v>true</x:v>
      </x:c>
      <x:c r="M327" s="1" t="str">
        <x:v>1,071 sq. ft.</x:v>
      </x:c>
      <x:c r="N327" s="1" t="n">
        <x:v>2</x:v>
      </x:c>
      <x:c r="O327" s="1" t="str">
        <x:v>AvailableNow</x:v>
      </x:c>
      <x:c r="P327" s="1" t="str">
        <x:v>Rentals Available</x:v>
      </x:c>
      <x:c r="Q327" s="1" t="n">
        <x:v>46250.99998842592</x:v>
      </x:c>
      <x:c r="R327" s="1" t="str"/>
      <x:c r="S327" s="1" t="str"/>
      <x:c r="T327" s="1" t="str"/>
      <x:c r="U327" s="1" t="str"/>
      <x:c r="V327" s="1" t="str">
        <x:v>3</x:v>
      </x:c>
      <x:c r="W327" s="1" t="str"/>
      <x:c r="X327" s="1" t="str">
        <x:v>false</x:v>
      </x:c>
      <x:c r="Y327" s="1" t="str">
        <x:v>false</x:v>
      </x:c>
      <x:c r="Z327" s="1" t="str">
        <x:v>[]</x:v>
      </x:c>
    </x:row>
    <x:row r="328" ht="15" hidden="0" customHeight="1">
      <x:c r="A328" s="1" t="str">
        <x:v>zfcjzqy</x:v>
      </x:c>
      <x:c r="B328" s="5" t="str">
        <x:v>Yugo Raleigh Logan</x:v>
      </x:c>
      <x:c r="C328" s="1" t="str">
        <x:v>3307143</x:v>
      </x:c>
      <x:c r="D328" s="1" t="str">
        <x:v>2qk6jwc</x:v>
      </x:c>
      <x:c r="E328" s="1" t="str">
        <x:v>3 Bed, 3 Bath Courtyard</x:v>
      </x:c>
      <x:c r="F328" s="1" t="n">
        <x:v>3</x:v>
      </x:c>
      <x:c r="G328" s="1" t="n">
        <x:v>3</x:v>
      </x:c>
      <x:c r="H328" s="1" t="n">
        <x:v>1149</x:v>
      </x:c>
      <x:c r="I328" s="1" t="n">
        <x:v>1149</x:v>
      </x:c>
      <x:c r="J328" s="1" t="str">
        <x:v>$1,149</x:v>
      </x:c>
      <x:c r="K328" s="1" t="str">
        <x:v>$1,149</x:v>
      </x:c>
      <x:c r="L328" s="1" t="str">
        <x:v>false</x:v>
      </x:c>
      <x:c r="M328" s="1" t="str">
        <x:v>1,071 sq. ft.</x:v>
      </x:c>
      <x:c r="N328" s="1" t="n">
        <x:v>1</x:v>
      </x:c>
      <x:c r="O328" s="1" t="str">
        <x:v>FutureDate</x:v>
      </x:c>
      <x:c r="P328" s="1" t="str">
        <x:v>Available Soon</x:v>
      </x:c>
      <x:c r="Q328" s="1" t="n">
        <x:v>46612.99998842592</x:v>
      </x:c>
      <x:c r="R328" s="1" t="str"/>
      <x:c r="S328" s="1" t="str"/>
      <x:c r="T328" s="1" t="str"/>
      <x:c r="U328" s="1" t="str"/>
      <x:c r="V328" s="1" t="str"/>
      <x:c r="W328" s="1" t="str"/>
      <x:c r="X328" s="1" t="str">
        <x:v>false</x:v>
      </x:c>
      <x:c r="Y328" s="1" t="str">
        <x:v>false</x:v>
      </x:c>
      <x:c r="Z328" s="1" t="str">
        <x:v>[]</x:v>
      </x:c>
    </x:row>
    <x:row r="329" ht="15" hidden="0" customHeight="1">
      <x:c r="A329" s="1" t="str">
        <x:v>zfcjzqy</x:v>
      </x:c>
      <x:c r="B329" s="5" t="str">
        <x:v>Yugo Raleigh Logan</x:v>
      </x:c>
      <x:c r="C329" s="1" t="str">
        <x:v>2381646</x:v>
      </x:c>
      <x:c r="D329" s="1" t="str">
        <x:v>ps0ckbs</x:v>
      </x:c>
      <x:c r="E329" s="1" t="str">
        <x:v>3 Bed, 3 Bath Corner</x:v>
      </x:c>
      <x:c r="F329" s="1" t="n">
        <x:v>3</x:v>
      </x:c>
      <x:c r="G329" s="1" t="n">
        <x:v>3</x:v>
      </x:c>
      <x:c r="H329" s="1" t="n">
        <x:v>1169</x:v>
      </x:c>
      <x:c r="I329" s="1" t="n">
        <x:v>1169</x:v>
      </x:c>
      <x:c r="J329" s="1" t="str">
        <x:v>$1,169</x:v>
      </x:c>
      <x:c r="K329" s="1" t="str">
        <x:v>$1,169</x:v>
      </x:c>
      <x:c r="L329" s="1" t="str">
        <x:v>true</x:v>
      </x:c>
      <x:c r="M329" s="1" t="str">
        <x:v>1,116 sq. ft.</x:v>
      </x:c>
      <x:c r="N329" s="1" t="n">
        <x:v>1</x:v>
      </x:c>
      <x:c r="O329" s="1" t="str">
        <x:v>FutureDate</x:v>
      </x:c>
      <x:c r="P329" s="1" t="str">
        <x:v>Available Soon</x:v>
      </x:c>
      <x:c r="Q329" s="1" t="n">
        <x:v>46612.99998842592</x:v>
      </x:c>
      <x:c r="R329" s="1" t="str"/>
      <x:c r="S329" s="1" t="str"/>
      <x:c r="T329" s="1" t="str"/>
      <x:c r="U329" s="1" t="str"/>
      <x:c r="V329" s="1" t="str">
        <x:v>3</x:v>
      </x:c>
      <x:c r="W329" s="1" t="str"/>
      <x:c r="X329" s="1" t="str">
        <x:v>false</x:v>
      </x:c>
      <x:c r="Y329" s="1" t="str">
        <x:v>false</x:v>
      </x:c>
      <x:c r="Z329" s="1" t="str">
        <x:v>[]</x:v>
      </x:c>
    </x:row>
    <x:row r="330" ht="15" hidden="0" customHeight="1">
      <x:c r="A330" s="1" t="str">
        <x:v>zfcjzqy</x:v>
      </x:c>
      <x:c r="B330" s="5" t="str">
        <x:v>Yugo Raleigh Logan</x:v>
      </x:c>
      <x:c r="C330" s="1" t="str">
        <x:v>3307144</x:v>
      </x:c>
      <x:c r="D330" s="1" t="str">
        <x:v>dc385rh</x:v>
      </x:c>
      <x:c r="E330" s="1" t="str">
        <x:v>4 Bed, 4 Bath Courtyard</x:v>
      </x:c>
      <x:c r="F330" s="1" t="n">
        <x:v>4</x:v>
      </x:c>
      <x:c r="G330" s="1" t="n">
        <x:v>4</x:v>
      </x:c>
      <x:c r="H330" s="1" t="n">
        <x:v>999</x:v>
      </x:c>
      <x:c r="I330" s="1" t="n">
        <x:v>1239</x:v>
      </x:c>
      <x:c r="J330" s="1" t="str">
        <x:v>$999 - $1,239</x:v>
      </x:c>
      <x:c r="K330" s="1" t="str">
        <x:v>$999 - $1,239</x:v>
      </x:c>
      <x:c r="L330" s="1" t="str">
        <x:v>false</x:v>
      </x:c>
      <x:c r="M330" s="1" t="str">
        <x:v>1,392 sq. ft.</x:v>
      </x:c>
      <x:c r="N330" s="1" t="n">
        <x:v>2</x:v>
      </x:c>
      <x:c r="O330" s="1" t="str">
        <x:v>AvailableNow</x:v>
      </x:c>
      <x:c r="P330" s="1" t="str">
        <x:v>Rentals Available</x:v>
      </x:c>
      <x:c r="Q330" s="1" t="n">
        <x:v>46250.99998842592</x:v>
      </x:c>
      <x:c r="R330" s="1" t="str"/>
      <x:c r="S330" s="1" t="str"/>
      <x:c r="T330" s="1" t="str"/>
      <x:c r="U330" s="1" t="str"/>
      <x:c r="V330" s="1" t="str"/>
      <x:c r="W330" s="1" t="str"/>
      <x:c r="X330" s="1" t="str">
        <x:v>false</x:v>
      </x:c>
      <x:c r="Y330" s="1" t="str">
        <x:v>false</x:v>
      </x:c>
      <x:c r="Z330" s="1" t="str">
        <x:v>[]</x:v>
      </x:c>
    </x:row>
    <x:row r="331" ht="15" hidden="0" customHeight="1">
      <x:c r="A331" s="1" t="str">
        <x:v>zfcjzqy</x:v>
      </x:c>
      <x:c r="B331" s="5" t="str">
        <x:v>Yugo Raleigh Logan</x:v>
      </x:c>
      <x:c r="C331" s="1" t="str">
        <x:v>2020720</x:v>
      </x:c>
      <x:c r="D331" s="1" t="str">
        <x:v>kybegtc</x:v>
      </x:c>
      <x:c r="E331" s="1" t="str">
        <x:v>4 Bed, 4 Bath Classic</x:v>
      </x:c>
      <x:c r="F331" s="1" t="n">
        <x:v>4</x:v>
      </x:c>
      <x:c r="G331" s="1" t="n">
        <x:v>4</x:v>
      </x:c>
      <x:c r="H331" s="1" t="n">
        <x:v>999</x:v>
      </x:c>
      <x:c r="I331" s="1" t="n">
        <x:v>1259</x:v>
      </x:c>
      <x:c r="J331" s="1" t="str">
        <x:v>$999 - $1,259</x:v>
      </x:c>
      <x:c r="K331" s="1" t="str">
        <x:v>$999 - $1,259</x:v>
      </x:c>
      <x:c r="L331" s="1" t="str">
        <x:v>true</x:v>
      </x:c>
      <x:c r="M331" s="1" t="str">
        <x:v>1,288 sq. ft.</x:v>
      </x:c>
      <x:c r="N331" s="1" t="n">
        <x:v>2</x:v>
      </x:c>
      <x:c r="O331" s="1" t="str">
        <x:v>AvailableNow</x:v>
      </x:c>
      <x:c r="P331" s="1" t="str">
        <x:v>Rentals Available</x:v>
      </x:c>
      <x:c r="Q331" s="1" t="n">
        <x:v>46250.99998842592</x:v>
      </x:c>
      <x:c r="R331" s="1" t="str"/>
      <x:c r="S331" s="1" t="str"/>
      <x:c r="T331" s="1" t="str"/>
      <x:c r="U331" s="1" t="str"/>
      <x:c r="V331" s="1" t="str">
        <x:v>4</x:v>
      </x:c>
      <x:c r="W331" s="1" t="str"/>
      <x:c r="X331" s="1" t="str">
        <x:v>false</x:v>
      </x:c>
      <x:c r="Y331" s="1" t="str">
        <x:v>false</x:v>
      </x:c>
      <x:c r="Z331" s="1" t="str">
        <x:v>[]</x:v>
      </x:c>
    </x:row>
    <x:row r="332" ht="15" hidden="0" customHeight="1">
      <x:c r="A332" s="1" t="str">
        <x:v>zfcjzqy</x:v>
      </x:c>
      <x:c r="B332" s="5" t="str">
        <x:v>Yugo Raleigh Logan</x:v>
      </x:c>
      <x:c r="C332" s="1" t="str">
        <x:v>2381647</x:v>
      </x:c>
      <x:c r="D332" s="1" t="str">
        <x:v>fzvlmhv</x:v>
      </x:c>
      <x:c r="E332" s="1" t="str">
        <x:v>4 Bed, 4 Bath Deluxe</x:v>
      </x:c>
      <x:c r="F332" s="1" t="n">
        <x:v>4</x:v>
      </x:c>
      <x:c r="G332" s="1" t="n">
        <x:v>4</x:v>
      </x:c>
      <x:c r="H332" s="1" t="n">
        <x:v>1099</x:v>
      </x:c>
      <x:c r="I332" s="1" t="n">
        <x:v>1239</x:v>
      </x:c>
      <x:c r="J332" s="1" t="str">
        <x:v>$1,099 - $1,239</x:v>
      </x:c>
      <x:c r="K332" s="1" t="str">
        <x:v>$1,099 - $1,239</x:v>
      </x:c>
      <x:c r="L332" s="1" t="str">
        <x:v>true</x:v>
      </x:c>
      <x:c r="M332" s="1" t="str">
        <x:v>1,368 - 1,380 sq. ft.</x:v>
      </x:c>
      <x:c r="N332" s="1" t="n">
        <x:v>2</x:v>
      </x:c>
      <x:c r="O332" s="1" t="str">
        <x:v>AvailableNow</x:v>
      </x:c>
      <x:c r="P332" s="1" t="str">
        <x:v>Rentals Available</x:v>
      </x:c>
      <x:c r="Q332" s="1" t="n">
        <x:v>46250.99998842592</x:v>
      </x:c>
      <x:c r="R332" s="1" t="str"/>
      <x:c r="S332" s="1" t="str"/>
      <x:c r="T332" s="1" t="str"/>
      <x:c r="U332" s="1" t="str"/>
      <x:c r="V332" s="1" t="str">
        <x:v>4</x:v>
      </x:c>
      <x:c r="W332" s="1" t="str"/>
      <x:c r="X332" s="1" t="str">
        <x:v>false</x:v>
      </x:c>
      <x:c r="Y332" s="1" t="str">
        <x:v>false</x:v>
      </x:c>
      <x:c r="Z332" s="1" t="str">
        <x:v>[]</x:v>
      </x:c>
    </x:row>
    <x:row r="333" ht="15" hidden="0" customHeight="1">
      <x:c r="A333" s="1" t="str">
        <x:v>zfcjzqy</x:v>
      </x:c>
      <x:c r="B333" s="5" t="str">
        <x:v>Yugo Raleigh Logan</x:v>
      </x:c>
      <x:c r="C333" s="1" t="str">
        <x:v>3333267</x:v>
      </x:c>
      <x:c r="D333" s="1" t="str">
        <x:v>9dhdsd6</x:v>
      </x:c>
      <x:c r="E333" s="1" t="str">
        <x:v>4 Bed, 4 Bath Vista</x:v>
      </x:c>
      <x:c r="F333" s="1" t="n">
        <x:v>4</x:v>
      </x:c>
      <x:c r="G333" s="1" t="n">
        <x:v>4</x:v>
      </x:c>
      <x:c r="H333" s="1" t="n">
        <x:v>1099</x:v>
      </x:c>
      <x:c r="I333" s="1" t="n">
        <x:v>1259</x:v>
      </x:c>
      <x:c r="J333" s="1" t="str">
        <x:v>$1,099 - $1,259</x:v>
      </x:c>
      <x:c r="K333" s="1" t="str">
        <x:v>$1,099 - $1,259</x:v>
      </x:c>
      <x:c r="L333" s="1" t="str">
        <x:v>false</x:v>
      </x:c>
      <x:c r="M333" s="1" t="str">
        <x:v>1,552 - 1,700 sq. ft.</x:v>
      </x:c>
      <x:c r="N333" s="1" t="n">
        <x:v>2</x:v>
      </x:c>
      <x:c r="O333" s="1" t="str">
        <x:v>AvailableNow</x:v>
      </x:c>
      <x:c r="P333" s="1" t="str">
        <x:v>Rentals Available</x:v>
      </x:c>
      <x:c r="Q333" s="1" t="n">
        <x:v>46250.99998842592</x:v>
      </x:c>
      <x:c r="R333" s="1" t="str"/>
      <x:c r="S333" s="1" t="str"/>
      <x:c r="T333" s="1" t="str"/>
      <x:c r="U333" s="1" t="str"/>
      <x:c r="V333" s="1" t="str"/>
      <x:c r="W333" s="1" t="str"/>
      <x:c r="X333" s="1" t="str">
        <x:v>false</x:v>
      </x:c>
      <x:c r="Y333" s="1" t="str">
        <x:v>false</x:v>
      </x:c>
      <x:c r="Z333" s="1" t="str">
        <x:v>[]</x:v>
      </x:c>
    </x:row>
    <x:row r="334" ht="15" hidden="0" customHeight="1">
      <x:c r="A334" s="1" t="str">
        <x:v>zfcjzqy</x:v>
      </x:c>
      <x:c r="B334" s="5" t="str">
        <x:v>Yugo Raleigh Logan</x:v>
      </x:c>
      <x:c r="C334" s="1" t="str">
        <x:v>2381666</x:v>
      </x:c>
      <x:c r="D334" s="1" t="str">
        <x:v>xzttdvn</x:v>
      </x:c>
      <x:c r="E334" s="1" t="str">
        <x:v>4 Bed, 4 Bath Plus</x:v>
      </x:c>
      <x:c r="F334" s="1" t="n">
        <x:v>4</x:v>
      </x:c>
      <x:c r="G334" s="1" t="n">
        <x:v>4</x:v>
      </x:c>
      <x:c r="H334" s="1" t="n">
        <x:v>999</x:v>
      </x:c>
      <x:c r="I334" s="1" t="n">
        <x:v>999</x:v>
      </x:c>
      <x:c r="J334" s="1" t="str">
        <x:v>$999</x:v>
      </x:c>
      <x:c r="K334" s="1" t="str">
        <x:v>$999</x:v>
      </x:c>
      <x:c r="L334" s="1" t="str">
        <x:v>true</x:v>
      </x:c>
      <x:c r="M334" s="1" t="str">
        <x:v>1,340 sq. ft.</x:v>
      </x:c>
      <x:c r="N334" s="1" t="n">
        <x:v>1</x:v>
      </x:c>
      <x:c r="O334" s="1" t="str">
        <x:v>FutureDate</x:v>
      </x:c>
      <x:c r="P334" s="1" t="str">
        <x:v>Available Soon</x:v>
      </x:c>
      <x:c r="Q334" s="1" t="n">
        <x:v>46612.99998842592</x:v>
      </x:c>
      <x:c r="R334" s="1" t="str"/>
      <x:c r="S334" s="1" t="str"/>
      <x:c r="T334" s="1" t="str"/>
      <x:c r="U334" s="1" t="str"/>
      <x:c r="V334" s="1" t="str">
        <x:v>4</x:v>
      </x:c>
      <x:c r="W334" s="1" t="str"/>
      <x:c r="X334" s="1" t="str">
        <x:v>false</x:v>
      </x:c>
      <x:c r="Y334" s="1" t="str">
        <x:v>false</x:v>
      </x:c>
      <x:c r="Z334" s="1" t="str">
        <x:v>[]</x:v>
      </x:c>
    </x:row>
    <x:row r="335" ht="15" hidden="0" customHeight="1">
      <x:c r="A335" s="1" t="str">
        <x:v>zfcjzqy</x:v>
      </x:c>
      <x:c r="B335" s="5" t="str">
        <x:v>Yugo Raleigh Logan</x:v>
      </x:c>
      <x:c r="C335" s="1" t="str">
        <x:v>2381664</x:v>
      </x:c>
      <x:c r="D335" s="1" t="str">
        <x:v>zlbrrty</x:v>
      </x:c>
      <x:c r="E335" s="1" t="str">
        <x:v>4 Bed, 4 Bath Premier</x:v>
      </x:c>
      <x:c r="F335" s="1" t="n">
        <x:v>4</x:v>
      </x:c>
      <x:c r="G335" s="1" t="n">
        <x:v>4</x:v>
      </x:c>
      <x:c r="H335" s="1" t="n">
        <x:v>1099</x:v>
      </x:c>
      <x:c r="I335" s="1" t="n">
        <x:v>1099</x:v>
      </x:c>
      <x:c r="J335" s="1" t="str">
        <x:v>$1,099</x:v>
      </x:c>
      <x:c r="K335" s="1" t="str">
        <x:v>$1,099</x:v>
      </x:c>
      <x:c r="L335" s="1" t="str">
        <x:v>true</x:v>
      </x:c>
      <x:c r="M335" s="1" t="str">
        <x:v>1,512 sq. ft.</x:v>
      </x:c>
      <x:c r="N335" s="1" t="n">
        <x:v>1</x:v>
      </x:c>
      <x:c r="O335" s="1" t="str">
        <x:v>FutureDate</x:v>
      </x:c>
      <x:c r="P335" s="1" t="str">
        <x:v>Available Soon</x:v>
      </x:c>
      <x:c r="Q335" s="1" t="n">
        <x:v>46612.99998842592</x:v>
      </x:c>
      <x:c r="R335" s="1" t="str"/>
      <x:c r="S335" s="1" t="str"/>
      <x:c r="T335" s="1" t="str"/>
      <x:c r="U335" s="1" t="str"/>
      <x:c r="V335" s="1" t="str">
        <x:v>4</x:v>
      </x:c>
      <x:c r="W335" s="1" t="str"/>
      <x:c r="X335" s="1" t="str">
        <x:v>false</x:v>
      </x:c>
      <x:c r="Y335" s="1" t="str">
        <x:v>false</x:v>
      </x:c>
      <x:c r="Z335" s="1" t="str">
        <x:v>[]</x:v>
      </x:c>
    </x:row>
    <x:row r="336" ht="24" hidden="0" customHeight="1">
      <x:c r="A336" s="1" t="str">
        <x:v>ocpx3vt61n</x:v>
      </x:c>
      <x:c r="B336" s="5" t="str">
        <x:v>FURNISHED NCSU STUDENT HOUSING – TOWNHOME ROOM RENTAL WITH PRIVATE BATHROOM ($850/room)</x:v>
      </x:c>
      <x:c r="C336" s="1" t="str">
        <x:v>1</x:v>
      </x:c>
      <x:c r="D336" s="1" t="str">
        <x:v>q2j0gkx</x:v>
      </x:c>
      <x:c r="E336" s="1" t="str"/>
      <x:c r="F336" s="1" t="n">
        <x:v>3</x:v>
      </x:c>
      <x:c r="G336" s="1" t="n">
        <x:v>3</x:v>
      </x:c>
      <x:c r="H336" s="1" t="n">
        <x:v>850</x:v>
      </x:c>
      <x:c r="I336" s="1" t="n">
        <x:v>850</x:v>
      </x:c>
      <x:c r="J336" s="1" t="str">
        <x:v>$850</x:v>
      </x:c>
      <x:c r="K336" s="1" t="str">
        <x:v>$850</x:v>
      </x:c>
      <x:c r="L336" s="1" t="str">
        <x:v>true</x:v>
      </x:c>
      <x:c r="M336" s="1" t="str">
        <x:v>1,359 sq. ft.</x:v>
      </x:c>
      <x:c r="N336" s="1" t="n">
        <x:v>1</x:v>
      </x:c>
      <x:c r="O336" s="1" t="str">
        <x:v>AvailableNow</x:v>
      </x:c>
      <x:c r="P336" s="1" t="str">
        <x:v>Rentals Available</x:v>
      </x:c>
      <x:c r="Q336" s="1" t="n">
        <x:v>25569.999988425927</x:v>
      </x:c>
      <x:c r="R336" s="1" t="str"/>
      <x:c r="S336" s="1" t="str"/>
      <x:c r="T336" s="1" t="str">
        <x:v>N/A</x:v>
      </x:c>
      <x:c r="U336" s="1" t="str">
        <x:v>N/A</x:v>
      </x:c>
      <x:c r="V336" s="1" t="str">
        <x:v>3</x:v>
      </x:c>
      <x:c r="W336" s="1" t="str"/>
      <x:c r="X336" s="1" t="str">
        <x:v>false</x:v>
      </x:c>
      <x:c r="Y336" s="1" t="str">
        <x:v>false</x:v>
      </x:c>
      <x:c r="Z336" s="1" t="str">
        <x:v>[]</x:v>
      </x:c>
    </x:row>
    <x:row r="337" ht="15" hidden="0" customHeight="1">
      <x:c r="A337" s="1" t="str">
        <x:v>9rxe6j6</x:v>
      </x:c>
      <x:c r="B337" s="5" t="str">
        <x:v>The Dakota</x:v>
      </x:c>
      <x:c r="C337" s="1" t="str">
        <x:v>2057687</x:v>
      </x:c>
      <x:c r="D337" s="1" t="str">
        <x:v>yqsd0hv</x:v>
      </x:c>
      <x:c r="E337" s="1" t="str">
        <x:v>A2</x:v>
      </x:c>
      <x:c r="F337" s="1" t="n">
        <x:v>1</x:v>
      </x:c>
      <x:c r="G337" s="1" t="n">
        <x:v>1</x:v>
      </x:c>
      <x:c r="H337" s="1" t="n">
        <x:v>1374</x:v>
      </x:c>
      <x:c r="I337" s="1" t="n">
        <x:v>1413</x:v>
      </x:c>
      <x:c r="J337" s="1" t="str">
        <x:v>$1,374 - $1,413</x:v>
      </x:c>
      <x:c r="K337" s="1" t="str">
        <x:v>$1,416 - $1,455</x:v>
      </x:c>
      <x:c r="L337" s="1" t="str">
        <x:v>false</x:v>
      </x:c>
      <x:c r="M337" s="1" t="str">
        <x:v>716 sq. ft.</x:v>
      </x:c>
      <x:c r="N337" s="1" t="n">
        <x:v>4</x:v>
      </x:c>
      <x:c r="O337" s="1" t="str">
        <x:v>AvailableNow</x:v>
      </x:c>
      <x:c r="P337" s="1" t="str">
        <x:v>Rentals Available</x:v>
      </x:c>
      <x:c r="Q337" s="1" t="n">
        <x:v>46244.99998842592</x:v>
      </x:c>
      <x:c r="R337" s="1" t="str">
        <x:v>150</x:v>
      </x:c>
      <x:c r="S337" s="1" t="str"/>
      <x:c r="T337" s="1" t="str"/>
      <x:c r="U337" s="1" t="str"/>
      <x:c r="V337" s="1" t="str"/>
      <x:c r="W337" s="1" t="str"/>
      <x:c r="X337" s="1" t="str">
        <x:v>false</x:v>
      </x:c>
      <x:c r="Y337" s="1" t="str">
        <x:v>false</x:v>
      </x:c>
      <x:c r="Z337" s="1" t="str">
        <x:v>[]</x:v>
      </x:c>
    </x:row>
    <x:row r="338" ht="15" hidden="0" customHeight="1">
      <x:c r="A338" s="1" t="str">
        <x:v>9rxe6j6</x:v>
      </x:c>
      <x:c r="B338" s="5" t="str">
        <x:v>The Dakota</x:v>
      </x:c>
      <x:c r="C338" s="1" t="str">
        <x:v>1872900</x:v>
      </x:c>
      <x:c r="D338" s="1" t="str">
        <x:v>7mtkhdz</x:v>
      </x:c>
      <x:c r="E338" s="1" t="str">
        <x:v>A1</x:v>
      </x:c>
      <x:c r="F338" s="1" t="n">
        <x:v>1</x:v>
      </x:c>
      <x:c r="G338" s="1" t="n">
        <x:v>1</x:v>
      </x:c>
      <x:c r="H338" s="1" t="n">
        <x:v>1370</x:v>
      </x:c>
      <x:c r="I338" s="1" t="n">
        <x:v>1383</x:v>
      </x:c>
      <x:c r="J338" s="1" t="str">
        <x:v>$1,370 - $1,383</x:v>
      </x:c>
      <x:c r="K338" s="1" t="str">
        <x:v>$1,412 - $1,425</x:v>
      </x:c>
      <x:c r="L338" s="1" t="str">
        <x:v>false</x:v>
      </x:c>
      <x:c r="M338" s="1" t="str">
        <x:v>706 sq. ft.</x:v>
      </x:c>
      <x:c r="N338" s="1" t="n">
        <x:v>2</x:v>
      </x:c>
      <x:c r="O338" s="1" t="str">
        <x:v>AvailableNow</x:v>
      </x:c>
      <x:c r="P338" s="1" t="str">
        <x:v>Rentals Available</x:v>
      </x:c>
      <x:c r="Q338" s="1" t="n">
        <x:v>46260.99998842592</x:v>
      </x:c>
      <x:c r="R338" s="1" t="str">
        <x:v>150</x:v>
      </x:c>
      <x:c r="S338" s="1" t="str"/>
      <x:c r="T338" s="1" t="str"/>
      <x:c r="U338" s="1" t="str"/>
      <x:c r="V338" s="1" t="str"/>
      <x:c r="W338" s="1" t="str"/>
      <x:c r="X338" s="1" t="str">
        <x:v>false</x:v>
      </x:c>
      <x:c r="Y338" s="1" t="str">
        <x:v>false</x:v>
      </x:c>
      <x:c r="Z338" s="1" t="str">
        <x:v>[]</x:v>
      </x:c>
    </x:row>
    <x:row r="339" ht="15" hidden="0" customHeight="1">
      <x:c r="A339" s="1" t="str">
        <x:v>9rxe6j6</x:v>
      </x:c>
      <x:c r="B339" s="5" t="str">
        <x:v>The Dakota</x:v>
      </x:c>
      <x:c r="C339" s="1" t="str">
        <x:v>2057690</x:v>
      </x:c>
      <x:c r="D339" s="1" t="str">
        <x:v>fh7w7ms</x:v>
      </x:c>
      <x:c r="E339" s="1" t="str">
        <x:v>A5</x:v>
      </x:c>
      <x:c r="F339" s="1" t="n">
        <x:v>1</x:v>
      </x:c>
      <x:c r="G339" s="1" t="n">
        <x:v>1</x:v>
      </x:c>
      <x:c r="H339" s="1" t="n">
        <x:v>1437</x:v>
      </x:c>
      <x:c r="I339" s="1" t="n">
        <x:v>1437</x:v>
      </x:c>
      <x:c r="J339" s="1" t="str">
        <x:v>$1,437</x:v>
      </x:c>
      <x:c r="K339" s="1" t="str">
        <x:v>$1,479</x:v>
      </x:c>
      <x:c r="L339" s="1" t="str">
        <x:v>false</x:v>
      </x:c>
      <x:c r="M339" s="1" t="str">
        <x:v>812 sq. ft.</x:v>
      </x:c>
      <x:c r="N339" s="1" t="n">
        <x:v>1</x:v>
      </x:c>
      <x:c r="O339" s="1" t="str">
        <x:v>FutureDate</x:v>
      </x:c>
      <x:c r="P339" s="1" t="str">
        <x:v>Available Soon</x:v>
      </x:c>
      <x:c r="Q339" s="1" t="n">
        <x:v>46323.99998842592</x:v>
      </x:c>
      <x:c r="R339" s="1" t="str">
        <x:v>150</x:v>
      </x:c>
      <x:c r="S339" s="1" t="str"/>
      <x:c r="T339" s="1" t="str"/>
      <x:c r="U339" s="1" t="str"/>
      <x:c r="V339" s="1" t="str"/>
      <x:c r="W339" s="1" t="str"/>
      <x:c r="X339" s="1" t="str">
        <x:v>false</x:v>
      </x:c>
      <x:c r="Y339" s="1" t="str">
        <x:v>false</x:v>
      </x:c>
      <x:c r="Z339" s="1" t="str">
        <x:v>[]</x:v>
      </x:c>
    </x:row>
    <x:row r="340" ht="15" hidden="0" customHeight="1">
      <x:c r="A340" s="1" t="str">
        <x:v>9rxe6j6</x:v>
      </x:c>
      <x:c r="B340" s="5" t="str">
        <x:v>The Dakota</x:v>
      </x:c>
      <x:c r="C340" s="1" t="str">
        <x:v>2057689</x:v>
      </x:c>
      <x:c r="D340" s="1" t="str">
        <x:v>3bece7f</x:v>
      </x:c>
      <x:c r="E340" s="1" t="str">
        <x:v>A4</x:v>
      </x:c>
      <x:c r="F340" s="1" t="n">
        <x:v>1</x:v>
      </x:c>
      <x:c r="G340" s="1" t="n">
        <x:v>1</x:v>
      </x:c>
      <x:c r="H340" s="1" t="n">
        <x:v>1330</x:v>
      </x:c>
      <x:c r="I340" s="1" t="n">
        <x:v>1330</x:v>
      </x:c>
      <x:c r="J340" s="1" t="str">
        <x:v>$1,330</x:v>
      </x:c>
      <x:c r="K340" s="1" t="str">
        <x:v>$1,372</x:v>
      </x:c>
      <x:c r="L340" s="1" t="str">
        <x:v>false</x:v>
      </x:c>
      <x:c r="M340" s="1" t="str">
        <x:v>760 sq. ft.</x:v>
      </x:c>
      <x:c r="N340" s="1" t="n">
        <x:v>0</x:v>
      </x:c>
      <x:c r="O340" s="1" t="str">
        <x:v>AvailableSoon</x:v>
      </x:c>
      <x:c r="P340" s="1" t="str">
        <x:v>Available Soon</x:v>
      </x:c>
      <x:c r="Q340" s="1" t="str"/>
      <x:c r="R340" s="1" t="str">
        <x:v>150</x:v>
      </x:c>
      <x:c r="S340" s="1" t="str"/>
      <x:c r="T340" s="1" t="str"/>
      <x:c r="U340" s="1" t="str"/>
      <x:c r="V340" s="1" t="str"/>
      <x:c r="W340" s="1" t="str"/>
      <x:c r="X340" s="1" t="str">
        <x:v>false</x:v>
      </x:c>
      <x:c r="Y340" s="1" t="str">
        <x:v>false</x:v>
      </x:c>
      <x:c r="Z340" s="1" t="str">
        <x:v>[]</x:v>
      </x:c>
    </x:row>
    <x:row r="341" ht="15" hidden="0" customHeight="1">
      <x:c r="A341" s="1" t="str">
        <x:v>9rxe6j6</x:v>
      </x:c>
      <x:c r="B341" s="5" t="str">
        <x:v>The Dakota</x:v>
      </x:c>
      <x:c r="C341" s="1" t="str">
        <x:v>2057688</x:v>
      </x:c>
      <x:c r="D341" s="1" t="str">
        <x:v>dvcymxh</x:v>
      </x:c>
      <x:c r="E341" s="1" t="str">
        <x:v>A3</x:v>
      </x:c>
      <x:c r="F341" s="1" t="n">
        <x:v>1</x:v>
      </x:c>
      <x:c r="G341" s="1" t="n">
        <x:v>1</x:v>
      </x:c>
      <x:c r="H341" s="1" t="n">
        <x:v>1345</x:v>
      </x:c>
      <x:c r="I341" s="1" t="n">
        <x:v>1345</x:v>
      </x:c>
      <x:c r="J341" s="1" t="str">
        <x:v>$1,345</x:v>
      </x:c>
      <x:c r="K341" s="1" t="str">
        <x:v>$1,387</x:v>
      </x:c>
      <x:c r="L341" s="1" t="str">
        <x:v>false</x:v>
      </x:c>
      <x:c r="M341" s="1" t="str">
        <x:v>750 sq. ft.</x:v>
      </x:c>
      <x:c r="N341" s="1" t="n">
        <x:v>0</x:v>
      </x:c>
      <x:c r="O341" s="1" t="str">
        <x:v>AvailableSoon</x:v>
      </x:c>
      <x:c r="P341" s="1" t="str">
        <x:v>Available Soon</x:v>
      </x:c>
      <x:c r="Q341" s="1" t="str"/>
      <x:c r="R341" s="1" t="str">
        <x:v>150</x:v>
      </x:c>
      <x:c r="S341" s="1" t="str"/>
      <x:c r="T341" s="1" t="str"/>
      <x:c r="U341" s="1" t="str"/>
      <x:c r="V341" s="1" t="str"/>
      <x:c r="W341" s="1" t="str"/>
      <x:c r="X341" s="1" t="str">
        <x:v>false</x:v>
      </x:c>
      <x:c r="Y341" s="1" t="str">
        <x:v>false</x:v>
      </x:c>
      <x:c r="Z341" s="1" t="str">
        <x:v>[]</x:v>
      </x:c>
    </x:row>
    <x:row r="342" ht="15" hidden="0" customHeight="1">
      <x:c r="A342" s="1" t="str">
        <x:v>9rxe6j6</x:v>
      </x:c>
      <x:c r="B342" s="5" t="str">
        <x:v>The Dakota</x:v>
      </x:c>
      <x:c r="C342" s="1" t="str">
        <x:v>2057691</x:v>
      </x:c>
      <x:c r="D342" s="1" t="str">
        <x:v>wtefn9h</x:v>
      </x:c>
      <x:c r="E342" s="1" t="str">
        <x:v>A6</x:v>
      </x:c>
      <x:c r="F342" s="1" t="n">
        <x:v>1</x:v>
      </x:c>
      <x:c r="G342" s="1" t="n">
        <x:v>1</x:v>
      </x:c>
      <x:c r="H342" s="1" t="n">
        <x:v>1505</x:v>
      </x:c>
      <x:c r="I342" s="1" t="n">
        <x:v>1505</x:v>
      </x:c>
      <x:c r="J342" s="1" t="str">
        <x:v>$1,505</x:v>
      </x:c>
      <x:c r="K342" s="1" t="str">
        <x:v>$1,547</x:v>
      </x:c>
      <x:c r="L342" s="1" t="str">
        <x:v>false</x:v>
      </x:c>
      <x:c r="M342" s="1" t="str">
        <x:v>1,086 sq. ft.</x:v>
      </x:c>
      <x:c r="N342" s="1" t="n">
        <x:v>0</x:v>
      </x:c>
      <x:c r="O342" s="1" t="str">
        <x:v>AvailableSoon</x:v>
      </x:c>
      <x:c r="P342" s="1" t="str">
        <x:v>Available Soon</x:v>
      </x:c>
      <x:c r="Q342" s="1" t="str"/>
      <x:c r="R342" s="1" t="str">
        <x:v>150</x:v>
      </x:c>
      <x:c r="S342" s="1" t="str"/>
      <x:c r="T342" s="1" t="str"/>
      <x:c r="U342" s="1" t="str"/>
      <x:c r="V342" s="1" t="str"/>
      <x:c r="W342" s="1" t="str"/>
      <x:c r="X342" s="1" t="str">
        <x:v>false</x:v>
      </x:c>
      <x:c r="Y342" s="1" t="str">
        <x:v>false</x:v>
      </x:c>
      <x:c r="Z342" s="1" t="str">
        <x:v>[]</x:v>
      </x:c>
    </x:row>
    <x:row r="343" ht="15" hidden="0" customHeight="1">
      <x:c r="A343" s="1" t="str">
        <x:v>9rxe6j6</x:v>
      </x:c>
      <x:c r="B343" s="5" t="str">
        <x:v>The Dakota</x:v>
      </x:c>
      <x:c r="C343" s="1" t="str">
        <x:v>2057692</x:v>
      </x:c>
      <x:c r="D343" s="1" t="str">
        <x:v>qzvz8hx</x:v>
      </x:c>
      <x:c r="E343" s="1" t="str">
        <x:v>B1</x:v>
      </x:c>
      <x:c r="F343" s="1" t="n">
        <x:v>2</x:v>
      </x:c>
      <x:c r="G343" s="1" t="n">
        <x:v>2</x:v>
      </x:c>
      <x:c r="H343" s="1" t="n">
        <x:v>1782</x:v>
      </x:c>
      <x:c r="I343" s="1" t="n">
        <x:v>1828</x:v>
      </x:c>
      <x:c r="J343" s="1" t="str">
        <x:v>$1,782 - $1,828</x:v>
      </x:c>
      <x:c r="K343" s="1" t="str">
        <x:v>$1,824 - $1,870</x:v>
      </x:c>
      <x:c r="L343" s="1" t="str">
        <x:v>false</x:v>
      </x:c>
      <x:c r="M343" s="1" t="str">
        <x:v>1,104 sq. ft.</x:v>
      </x:c>
      <x:c r="N343" s="1" t="n">
        <x:v>3</x:v>
      </x:c>
      <x:c r="O343" s="1" t="str">
        <x:v>AvailableNow</x:v>
      </x:c>
      <x:c r="P343" s="1" t="str">
        <x:v>Rentals Available</x:v>
      </x:c>
      <x:c r="Q343" s="1" t="n">
        <x:v>46224.99998842592</x:v>
      </x:c>
      <x:c r="R343" s="1" t="str">
        <x:v>150</x:v>
      </x:c>
      <x:c r="S343" s="1" t="str"/>
      <x:c r="T343" s="1" t="str"/>
      <x:c r="U343" s="1" t="str"/>
      <x:c r="V343" s="1" t="str"/>
      <x:c r="W343" s="1" t="str"/>
      <x:c r="X343" s="1" t="str">
        <x:v>false</x:v>
      </x:c>
      <x:c r="Y343" s="1" t="str">
        <x:v>false</x:v>
      </x:c>
      <x:c r="Z343" s="1" t="str">
        <x:v>[]</x:v>
      </x:c>
    </x:row>
    <x:row r="344" ht="15" hidden="0" customHeight="1">
      <x:c r="A344" s="1" t="str">
        <x:v>9rxe6j6</x:v>
      </x:c>
      <x:c r="B344" s="5" t="str">
        <x:v>The Dakota</x:v>
      </x:c>
      <x:c r="C344" s="1" t="str">
        <x:v>2219225</x:v>
      </x:c>
      <x:c r="D344" s="1" t="str">
        <x:v>jhj9gs6</x:v>
      </x:c>
      <x:c r="E344" s="1" t="str">
        <x:v>B7</x:v>
      </x:c>
      <x:c r="F344" s="1" t="n">
        <x:v>2</x:v>
      </x:c>
      <x:c r="G344" s="1" t="n">
        <x:v>2</x:v>
      </x:c>
      <x:c r="H344" s="1" t="n">
        <x:v>1804</x:v>
      </x:c>
      <x:c r="I344" s="1" t="n">
        <x:v>1841</x:v>
      </x:c>
      <x:c r="J344" s="1" t="str">
        <x:v>$1,804 - $1,841</x:v>
      </x:c>
      <x:c r="K344" s="1" t="str">
        <x:v>$1,846 - $1,883</x:v>
      </x:c>
      <x:c r="L344" s="1" t="str">
        <x:v>false</x:v>
      </x:c>
      <x:c r="M344" s="1" t="str">
        <x:v>1,105 sq. ft.</x:v>
      </x:c>
      <x:c r="N344" s="1" t="n">
        <x:v>3</x:v>
      </x:c>
      <x:c r="O344" s="1" t="str">
        <x:v>FutureDate</x:v>
      </x:c>
      <x:c r="P344" s="1" t="str">
        <x:v>Available Soon</x:v>
      </x:c>
      <x:c r="Q344" s="1" t="n">
        <x:v>46279.99998842592</x:v>
      </x:c>
      <x:c r="R344" s="1" t="str">
        <x:v>150</x:v>
      </x:c>
      <x:c r="S344" s="1" t="str"/>
      <x:c r="T344" s="1" t="str"/>
      <x:c r="U344" s="1" t="str"/>
      <x:c r="V344" s="1" t="str"/>
      <x:c r="W344" s="1" t="str"/>
      <x:c r="X344" s="1" t="str">
        <x:v>false</x:v>
      </x:c>
      <x:c r="Y344" s="1" t="str">
        <x:v>false</x:v>
      </x:c>
      <x:c r="Z344" s="1" t="str">
        <x:v>[]</x:v>
      </x:c>
    </x:row>
    <x:row r="345" ht="15" hidden="0" customHeight="1">
      <x:c r="A345" s="1" t="str">
        <x:v>9rxe6j6</x:v>
      </x:c>
      <x:c r="B345" s="5" t="str">
        <x:v>The Dakota</x:v>
      </x:c>
      <x:c r="C345" s="1" t="str">
        <x:v>1931644</x:v>
      </x:c>
      <x:c r="D345" s="1" t="str">
        <x:v>pmvl6js</x:v>
      </x:c>
      <x:c r="E345" s="1" t="str">
        <x:v>B6</x:v>
      </x:c>
      <x:c r="F345" s="1" t="n">
        <x:v>2</x:v>
      </x:c>
      <x:c r="G345" s="1" t="n">
        <x:v>2</x:v>
      </x:c>
      <x:c r="H345" s="1" t="n">
        <x:v>1749</x:v>
      </x:c>
      <x:c r="I345" s="1" t="n">
        <x:v>1776</x:v>
      </x:c>
      <x:c r="J345" s="1" t="str">
        <x:v>$1,749 - $1,776</x:v>
      </x:c>
      <x:c r="K345" s="1" t="str">
        <x:v>$1,791 - $1,818</x:v>
      </x:c>
      <x:c r="L345" s="1" t="str">
        <x:v>false</x:v>
      </x:c>
      <x:c r="M345" s="1" t="str">
        <x:v>1,095 sq. ft.</x:v>
      </x:c>
      <x:c r="N345" s="1" t="n">
        <x:v>2</x:v>
      </x:c>
      <x:c r="O345" s="1" t="str">
        <x:v>FutureDate</x:v>
      </x:c>
      <x:c r="P345" s="1" t="str">
        <x:v>Available Soon</x:v>
      </x:c>
      <x:c r="Q345" s="1" t="n">
        <x:v>46287.99998842592</x:v>
      </x:c>
      <x:c r="R345" s="1" t="str">
        <x:v>150</x:v>
      </x:c>
      <x:c r="S345" s="1" t="str"/>
      <x:c r="T345" s="1" t="str"/>
      <x:c r="U345" s="1" t="str"/>
      <x:c r="V345" s="1" t="str"/>
      <x:c r="W345" s="1" t="str"/>
      <x:c r="X345" s="1" t="str">
        <x:v>false</x:v>
      </x:c>
      <x:c r="Y345" s="1" t="str">
        <x:v>false</x:v>
      </x:c>
      <x:c r="Z345" s="1" t="str">
        <x:v>[]</x:v>
      </x:c>
    </x:row>
    <x:row r="346" ht="15" hidden="0" customHeight="1">
      <x:c r="A346" s="1" t="str">
        <x:v>9rxe6j6</x:v>
      </x:c>
      <x:c r="B346" s="5" t="str">
        <x:v>The Dakota</x:v>
      </x:c>
      <x:c r="C346" s="1" t="str">
        <x:v>2057698</x:v>
      </x:c>
      <x:c r="D346" s="1" t="str">
        <x:v>s4pjvw4</x:v>
      </x:c>
      <x:c r="E346" s="1" t="str">
        <x:v>B5</x:v>
      </x:c>
      <x:c r="F346" s="1" t="n">
        <x:v>2</x:v>
      </x:c>
      <x:c r="G346" s="1" t="n">
        <x:v>2</x:v>
      </x:c>
      <x:c r="H346" s="1" t="n">
        <x:v>1979</x:v>
      </x:c>
      <x:c r="I346" s="1" t="n">
        <x:v>2014</x:v>
      </x:c>
      <x:c r="J346" s="1" t="str">
        <x:v>$1,979 - $2,014</x:v>
      </x:c>
      <x:c r="K346" s="1" t="str">
        <x:v>$2,021 - $2,056</x:v>
      </x:c>
      <x:c r="L346" s="1" t="str">
        <x:v>false</x:v>
      </x:c>
      <x:c r="M346" s="1" t="str">
        <x:v>1,293 sq. ft.</x:v>
      </x:c>
      <x:c r="N346" s="1" t="n">
        <x:v>2</x:v>
      </x:c>
      <x:c r="O346" s="1" t="str">
        <x:v>AvailableNow</x:v>
      </x:c>
      <x:c r="P346" s="1" t="str">
        <x:v>Rentals Available</x:v>
      </x:c>
      <x:c r="Q346" s="1" t="n">
        <x:v>46225.99998842592</x:v>
      </x:c>
      <x:c r="R346" s="1" t="str">
        <x:v>150</x:v>
      </x:c>
      <x:c r="S346" s="1" t="str"/>
      <x:c r="T346" s="1" t="str"/>
      <x:c r="U346" s="1" t="str"/>
      <x:c r="V346" s="1" t="str"/>
      <x:c r="W346" s="1" t="str"/>
      <x:c r="X346" s="1" t="str">
        <x:v>false</x:v>
      </x:c>
      <x:c r="Y346" s="1" t="str">
        <x:v>false</x:v>
      </x:c>
      <x:c r="Z346" s="1" t="str">
        <x:v>[]</x:v>
      </x:c>
    </x:row>
    <x:row r="347" ht="15" hidden="0" customHeight="1">
      <x:c r="A347" s="1" t="str">
        <x:v>9rxe6j6</x:v>
      </x:c>
      <x:c r="B347" s="5" t="str">
        <x:v>The Dakota</x:v>
      </x:c>
      <x:c r="C347" s="1" t="str">
        <x:v>2176310</x:v>
      </x:c>
      <x:c r="D347" s="1" t="str">
        <x:v>t8zwd18</x:v>
      </x:c>
      <x:c r="E347" s="1" t="str">
        <x:v>B2</x:v>
      </x:c>
      <x:c r="F347" s="1" t="n">
        <x:v>2</x:v>
      </x:c>
      <x:c r="G347" s="1" t="n">
        <x:v>2</x:v>
      </x:c>
      <x:c r="H347" s="1" t="n">
        <x:v>1819</x:v>
      </x:c>
      <x:c r="I347" s="1" t="n">
        <x:v>1819</x:v>
      </x:c>
      <x:c r="J347" s="1" t="str">
        <x:v>$1,819</x:v>
      </x:c>
      <x:c r="K347" s="1" t="str">
        <x:v>$1,861</x:v>
      </x:c>
      <x:c r="L347" s="1" t="str">
        <x:v>false</x:v>
      </x:c>
      <x:c r="M347" s="1" t="str">
        <x:v>1,114 sq. ft.</x:v>
      </x:c>
      <x:c r="N347" s="1" t="n">
        <x:v>1</x:v>
      </x:c>
      <x:c r="O347" s="1" t="str">
        <x:v>FutureDate</x:v>
      </x:c>
      <x:c r="P347" s="1" t="str">
        <x:v>Available Soon</x:v>
      </x:c>
      <x:c r="Q347" s="1" t="n">
        <x:v>46291.99998842592</x:v>
      </x:c>
      <x:c r="R347" s="1" t="str">
        <x:v>150</x:v>
      </x:c>
      <x:c r="S347" s="1" t="str"/>
      <x:c r="T347" s="1" t="str"/>
      <x:c r="U347" s="1" t="str"/>
      <x:c r="V347" s="1" t="str"/>
      <x:c r="W347" s="1" t="str"/>
      <x:c r="X347" s="1" t="str">
        <x:v>false</x:v>
      </x:c>
      <x:c r="Y347" s="1" t="str">
        <x:v>false</x:v>
      </x:c>
      <x:c r="Z347" s="1" t="str">
        <x:v>[]</x:v>
      </x:c>
    </x:row>
    <x:row r="348" ht="15" hidden="0" customHeight="1">
      <x:c r="A348" s="1" t="str">
        <x:v>9rxe6j6</x:v>
      </x:c>
      <x:c r="B348" s="5" t="str">
        <x:v>The Dakota</x:v>
      </x:c>
      <x:c r="C348" s="1" t="str">
        <x:v>2057694</x:v>
      </x:c>
      <x:c r="D348" s="1" t="str">
        <x:v>pqr40pv</x:v>
      </x:c>
      <x:c r="E348" s="1" t="str">
        <x:v>B4</x:v>
      </x:c>
      <x:c r="F348" s="1" t="n">
        <x:v>2</x:v>
      </x:c>
      <x:c r="G348" s="1" t="n">
        <x:v>2</x:v>
      </x:c>
      <x:c r="H348" s="1" t="n">
        <x:v>1867</x:v>
      </x:c>
      <x:c r="I348" s="1" t="n">
        <x:v>1867</x:v>
      </x:c>
      <x:c r="J348" s="1" t="str">
        <x:v>$1,867</x:v>
      </x:c>
      <x:c r="K348" s="1" t="str">
        <x:v>$1,909</x:v>
      </x:c>
      <x:c r="L348" s="1" t="str">
        <x:v>false</x:v>
      </x:c>
      <x:c r="M348" s="1" t="str">
        <x:v>1,170 sq. ft.</x:v>
      </x:c>
      <x:c r="N348" s="1" t="n">
        <x:v>1</x:v>
      </x:c>
      <x:c r="O348" s="1" t="str">
        <x:v>FutureDate</x:v>
      </x:c>
      <x:c r="P348" s="1" t="str">
        <x:v>Available Soon</x:v>
      </x:c>
      <x:c r="Q348" s="1" t="n">
        <x:v>46361.99998842592</x:v>
      </x:c>
      <x:c r="R348" s="1" t="str">
        <x:v>150</x:v>
      </x:c>
      <x:c r="S348" s="1" t="str"/>
      <x:c r="T348" s="1" t="str"/>
      <x:c r="U348" s="1" t="str"/>
      <x:c r="V348" s="1" t="str"/>
      <x:c r="W348" s="1" t="str"/>
      <x:c r="X348" s="1" t="str">
        <x:v>false</x:v>
      </x:c>
      <x:c r="Y348" s="1" t="str">
        <x:v>true</x:v>
      </x:c>
      <x:c r="Z348" s="1" t="str">
        <x:v>[]</x:v>
      </x:c>
    </x:row>
    <x:row r="349" ht="15" hidden="0" customHeight="1">
      <x:c r="A349" s="1" t="str">
        <x:v>9rxe6j6</x:v>
      </x:c>
      <x:c r="B349" s="5" t="str">
        <x:v>The Dakota</x:v>
      </x:c>
      <x:c r="C349" s="1" t="str">
        <x:v>2057696</x:v>
      </x:c>
      <x:c r="D349" s="1" t="str">
        <x:v>t2e85c8</x:v>
      </x:c>
      <x:c r="E349" s="1" t="str">
        <x:v>B3A</x:v>
      </x:c>
      <x:c r="F349" s="1" t="n">
        <x:v>2</x:v>
      </x:c>
      <x:c r="G349" s="1" t="n">
        <x:v>2</x:v>
      </x:c>
      <x:c r="H349" s="1" t="n">
        <x:v>1948</x:v>
      </x:c>
      <x:c r="I349" s="1" t="n">
        <x:v>1948</x:v>
      </x:c>
      <x:c r="J349" s="1" t="str">
        <x:v>$1,948</x:v>
      </x:c>
      <x:c r="K349" s="1" t="str">
        <x:v>$1,990</x:v>
      </x:c>
      <x:c r="L349" s="1" t="str">
        <x:v>false</x:v>
      </x:c>
      <x:c r="M349" s="1" t="str">
        <x:v>1,206 sq. ft.</x:v>
      </x:c>
      <x:c r="N349" s="1" t="n">
        <x:v>1</x:v>
      </x:c>
      <x:c r="O349" s="1" t="str">
        <x:v>AvailableNow</x:v>
      </x:c>
      <x:c r="P349" s="1" t="str">
        <x:v>Rentals Available</x:v>
      </x:c>
      <x:c r="Q349" s="1" t="n">
        <x:v>46244.99998842592</x:v>
      </x:c>
      <x:c r="R349" s="1" t="str">
        <x:v>150</x:v>
      </x:c>
      <x:c r="S349" s="1" t="str"/>
      <x:c r="T349" s="1" t="str"/>
      <x:c r="U349" s="1" t="str"/>
      <x:c r="V349" s="1" t="str"/>
      <x:c r="W349" s="1" t="str"/>
      <x:c r="X349" s="1" t="str">
        <x:v>false</x:v>
      </x:c>
      <x:c r="Y349" s="1" t="str">
        <x:v>false</x:v>
      </x:c>
      <x:c r="Z349" s="1" t="str">
        <x:v>[]</x:v>
      </x:c>
    </x:row>
    <x:row r="350" ht="15" hidden="0" customHeight="1">
      <x:c r="A350" s="1" t="str">
        <x:v>9rxe6j6</x:v>
      </x:c>
      <x:c r="B350" s="5" t="str">
        <x:v>The Dakota</x:v>
      </x:c>
      <x:c r="C350" s="1" t="str">
        <x:v>2057693</x:v>
      </x:c>
      <x:c r="D350" s="1" t="str">
        <x:v>xh6nzzq</x:v>
      </x:c>
      <x:c r="E350" s="1" t="str">
        <x:v>B3</x:v>
      </x:c>
      <x:c r="F350" s="1" t="n">
        <x:v>2</x:v>
      </x:c>
      <x:c r="G350" s="1" t="n">
        <x:v>2</x:v>
      </x:c>
      <x:c r="H350" s="1" t="n">
        <x:v>1722</x:v>
      </x:c>
      <x:c r="I350" s="1" t="n">
        <x:v>1722</x:v>
      </x:c>
      <x:c r="J350" s="1" t="str">
        <x:v>$1,722</x:v>
      </x:c>
      <x:c r="K350" s="1" t="str">
        <x:v>$1,764</x:v>
      </x:c>
      <x:c r="L350" s="1" t="str">
        <x:v>false</x:v>
      </x:c>
      <x:c r="M350" s="1" t="str">
        <x:v>1,160 sq. ft.</x:v>
      </x:c>
      <x:c r="N350" s="1" t="n">
        <x:v>0</x:v>
      </x:c>
      <x:c r="O350" s="1" t="str">
        <x:v>AvailableSoon</x:v>
      </x:c>
      <x:c r="P350" s="1" t="str">
        <x:v>Available Soon</x:v>
      </x:c>
      <x:c r="Q350" s="1" t="str"/>
      <x:c r="R350" s="1" t="str">
        <x:v>150</x:v>
      </x:c>
      <x:c r="S350" s="1" t="str"/>
      <x:c r="T350" s="1" t="str"/>
      <x:c r="U350" s="1" t="str"/>
      <x:c r="V350" s="1" t="str"/>
      <x:c r="W350" s="1" t="str"/>
      <x:c r="X350" s="1" t="str">
        <x:v>false</x:v>
      </x:c>
      <x:c r="Y350" s="1" t="str">
        <x:v>false</x:v>
      </x:c>
      <x:c r="Z350" s="1" t="str">
        <x:v>[]</x:v>
      </x:c>
    </x:row>
    <x:row r="351" ht="15" hidden="0" customHeight="1">
      <x:c r="A351" s="1" t="str">
        <x:v>9rxe6j6</x:v>
      </x:c>
      <x:c r="B351" s="5" t="str">
        <x:v>The Dakota</x:v>
      </x:c>
      <x:c r="C351" s="1" t="str">
        <x:v>2057695</x:v>
      </x:c>
      <x:c r="D351" s="1" t="str">
        <x:v>j13sy27</x:v>
      </x:c>
      <x:c r="E351" s="1" t="str">
        <x:v>B3D</x:v>
      </x:c>
      <x:c r="F351" s="1" t="n">
        <x:v>2</x:v>
      </x:c>
      <x:c r="G351" s="1" t="n">
        <x:v>2</x:v>
      </x:c>
      <x:c r="H351" s="1" t="n">
        <x:v>1852</x:v>
      </x:c>
      <x:c r="I351" s="1" t="n">
        <x:v>1852</x:v>
      </x:c>
      <x:c r="J351" s="1" t="str">
        <x:v>$1,852</x:v>
      </x:c>
      <x:c r="K351" s="1" t="str">
        <x:v>$1,894</x:v>
      </x:c>
      <x:c r="L351" s="1" t="str">
        <x:v>false</x:v>
      </x:c>
      <x:c r="M351" s="1" t="str">
        <x:v>1,207 sq. ft.</x:v>
      </x:c>
      <x:c r="N351" s="1" t="n">
        <x:v>0</x:v>
      </x:c>
      <x:c r="O351" s="1" t="str">
        <x:v>AvailableSoon</x:v>
      </x:c>
      <x:c r="P351" s="1" t="str">
        <x:v>Available Soon</x:v>
      </x:c>
      <x:c r="Q351" s="1" t="str"/>
      <x:c r="R351" s="1" t="str">
        <x:v>150</x:v>
      </x:c>
      <x:c r="S351" s="1" t="str"/>
      <x:c r="T351" s="1" t="str"/>
      <x:c r="U351" s="1" t="str"/>
      <x:c r="V351" s="1" t="str"/>
      <x:c r="W351" s="1" t="str"/>
      <x:c r="X351" s="1" t="str">
        <x:v>false</x:v>
      </x:c>
      <x:c r="Y351" s="1" t="str">
        <x:v>false</x:v>
      </x:c>
      <x:c r="Z351" s="1" t="str">
        <x:v>[]</x:v>
      </x:c>
    </x:row>
    <x:row r="352" ht="15" hidden="0" customHeight="1">
      <x:c r="A352" s="1" t="str">
        <x:v>9rxe6j6</x:v>
      </x:c>
      <x:c r="B352" s="5" t="str">
        <x:v>The Dakota</x:v>
      </x:c>
      <x:c r="C352" s="1" t="str">
        <x:v>2057697</x:v>
      </x:c>
      <x:c r="D352" s="1" t="str">
        <x:v>xnknt7m</x:v>
      </x:c>
      <x:c r="E352" s="1" t="str">
        <x:v>B3B</x:v>
      </x:c>
      <x:c r="F352" s="1" t="n">
        <x:v>2</x:v>
      </x:c>
      <x:c r="G352" s="1" t="n">
        <x:v>2</x:v>
      </x:c>
      <x:c r="H352" s="1" t="n">
        <x:v>1857</x:v>
      </x:c>
      <x:c r="I352" s="1" t="n">
        <x:v>1857</x:v>
      </x:c>
      <x:c r="J352" s="1" t="str">
        <x:v>$1,857</x:v>
      </x:c>
      <x:c r="K352" s="1" t="str">
        <x:v>$1,899</x:v>
      </x:c>
      <x:c r="L352" s="1" t="str">
        <x:v>false</x:v>
      </x:c>
      <x:c r="M352" s="1" t="str">
        <x:v>1,247 sq. ft.</x:v>
      </x:c>
      <x:c r="N352" s="1" t="n">
        <x:v>0</x:v>
      </x:c>
      <x:c r="O352" s="1" t="str">
        <x:v>AvailableSoon</x:v>
      </x:c>
      <x:c r="P352" s="1" t="str">
        <x:v>Available Soon</x:v>
      </x:c>
      <x:c r="Q352" s="1" t="str"/>
      <x:c r="R352" s="1" t="str">
        <x:v>150</x:v>
      </x:c>
      <x:c r="S352" s="1" t="str"/>
      <x:c r="T352" s="1" t="str"/>
      <x:c r="U352" s="1" t="str"/>
      <x:c r="V352" s="1" t="str"/>
      <x:c r="W352" s="1" t="str"/>
      <x:c r="X352" s="1" t="str">
        <x:v>false</x:v>
      </x:c>
      <x:c r="Y352" s="1" t="str">
        <x:v>false</x:v>
      </x:c>
      <x:c r="Z352" s="1" t="str">
        <x:v>[]</x:v>
      </x:c>
    </x:row>
    <x:row r="353" ht="15" hidden="0" customHeight="1">
      <x:c r="A353" s="1" t="str">
        <x:v>9rxe6j6</x:v>
      </x:c>
      <x:c r="B353" s="5" t="str">
        <x:v>The Dakota</x:v>
      </x:c>
      <x:c r="C353" s="1" t="str">
        <x:v>1931645</x:v>
      </x:c>
      <x:c r="D353" s="1" t="str">
        <x:v>cezmg6g</x:v>
      </x:c>
      <x:c r="E353" s="1" t="str">
        <x:v>C1</x:v>
      </x:c>
      <x:c r="F353" s="1" t="n">
        <x:v>3</x:v>
      </x:c>
      <x:c r="G353" s="1" t="n">
        <x:v>3</x:v>
      </x:c>
      <x:c r="H353" s="1" t="n">
        <x:v>1885</x:v>
      </x:c>
      <x:c r="I353" s="1" t="n">
        <x:v>1941</x:v>
      </x:c>
      <x:c r="J353" s="1" t="str">
        <x:v>$1,885 - $1,941</x:v>
      </x:c>
      <x:c r="K353" s="1" t="str">
        <x:v>$1,927 - $1,983</x:v>
      </x:c>
      <x:c r="L353" s="1" t="str">
        <x:v>false</x:v>
      </x:c>
      <x:c r="M353" s="1" t="str">
        <x:v>1,332 sq. ft.</x:v>
      </x:c>
      <x:c r="N353" s="1" t="n">
        <x:v>4</x:v>
      </x:c>
      <x:c r="O353" s="1" t="str">
        <x:v>FutureDate</x:v>
      </x:c>
      <x:c r="P353" s="1" t="str">
        <x:v>Available Soon</x:v>
      </x:c>
      <x:c r="Q353" s="1" t="n">
        <x:v>46277.99998842592</x:v>
      </x:c>
      <x:c r="R353" s="1" t="str">
        <x:v>150</x:v>
      </x:c>
      <x:c r="S353" s="1" t="str"/>
      <x:c r="T353" s="1" t="str"/>
      <x:c r="U353" s="1" t="str"/>
      <x:c r="V353" s="1" t="str"/>
      <x:c r="W353" s="1" t="str"/>
      <x:c r="X353" s="1" t="str">
        <x:v>false</x:v>
      </x:c>
      <x:c r="Y353" s="1" t="str">
        <x:v>false</x:v>
      </x:c>
      <x:c r="Z353" s="1" t="str">
        <x:v>[]</x:v>
      </x:c>
    </x:row>
    <x:row r="354" ht="15" hidden="0" customHeight="1">
      <x:c r="A354" s="1" t="str">
        <x:v>9rxe6j6</x:v>
      </x:c>
      <x:c r="B354" s="5" t="str">
        <x:v>The Dakota</x:v>
      </x:c>
      <x:c r="C354" s="1" t="str">
        <x:v>2219221</x:v>
      </x:c>
      <x:c r="D354" s="1" t="str">
        <x:v>6404ljv</x:v>
      </x:c>
      <x:c r="E354" s="1" t="str">
        <x:v>C2</x:v>
      </x:c>
      <x:c r="F354" s="1" t="n">
        <x:v>3</x:v>
      </x:c>
      <x:c r="G354" s="1" t="n">
        <x:v>3</x:v>
      </x:c>
      <x:c r="H354" s="1" t="n">
        <x:v>1972</x:v>
      </x:c>
      <x:c r="I354" s="1" t="n">
        <x:v>1972</x:v>
      </x:c>
      <x:c r="J354" s="1" t="str">
        <x:v>$1,972</x:v>
      </x:c>
      <x:c r="K354" s="1" t="str">
        <x:v>$2,014</x:v>
      </x:c>
      <x:c r="L354" s="1" t="str">
        <x:v>false</x:v>
      </x:c>
      <x:c r="M354" s="1" t="str">
        <x:v>1,342 sq. ft.</x:v>
      </x:c>
      <x:c r="N354" s="1" t="n">
        <x:v>2</x:v>
      </x:c>
      <x:c r="O354" s="1" t="str">
        <x:v>AvailableNow</x:v>
      </x:c>
      <x:c r="P354" s="1" t="str">
        <x:v>Rentals Available</x:v>
      </x:c>
      <x:c r="Q354" s="1" t="n">
        <x:v>46272.99998842592</x:v>
      </x:c>
      <x:c r="R354" s="1" t="str">
        <x:v>150</x:v>
      </x:c>
      <x:c r="S354" s="1" t="str"/>
      <x:c r="T354" s="1" t="str"/>
      <x:c r="U354" s="1" t="str"/>
      <x:c r="V354" s="1" t="str"/>
      <x:c r="W354" s="1" t="str"/>
      <x:c r="X354" s="1" t="str">
        <x:v>false</x:v>
      </x:c>
      <x:c r="Y354" s="1" t="str">
        <x:v>false</x:v>
      </x:c>
      <x:c r="Z354" s="1" t="str">
        <x:v>[]</x:v>
      </x:c>
    </x:row>
    <x:row r="355" ht="15" hidden="0" customHeight="1">
      <x:c r="A355" s="1" t="str">
        <x:v>9rxe6j6</x:v>
      </x:c>
      <x:c r="B355" s="5" t="str">
        <x:v>The Dakota</x:v>
      </x:c>
      <x:c r="C355" s="1" t="str">
        <x:v>2057699</x:v>
      </x:c>
      <x:c r="D355" s="1" t="str">
        <x:v>8cctmy0</x:v>
      </x:c>
      <x:c r="E355" s="1" t="str">
        <x:v>C3</x:v>
      </x:c>
      <x:c r="F355" s="1" t="n">
        <x:v>3</x:v>
      </x:c>
      <x:c r="G355" s="1" t="n">
        <x:v>3</x:v>
      </x:c>
      <x:c r="H355" s="1" t="n">
        <x:v>2017</x:v>
      </x:c>
      <x:c r="I355" s="1" t="n">
        <x:v>2017</x:v>
      </x:c>
      <x:c r="J355" s="1" t="str">
        <x:v>$2,017</x:v>
      </x:c>
      <x:c r="K355" s="1" t="str">
        <x:v>$2,059</x:v>
      </x:c>
      <x:c r="L355" s="1" t="str">
        <x:v>false</x:v>
      </x:c>
      <x:c r="M355" s="1" t="str">
        <x:v>1,352 sq. ft.</x:v>
      </x:c>
      <x:c r="N355" s="1" t="n">
        <x:v>1</x:v>
      </x:c>
      <x:c r="O355" s="1" t="str">
        <x:v>AvailableNow</x:v>
      </x:c>
      <x:c r="P355" s="1" t="str">
        <x:v>Rentals Available</x:v>
      </x:c>
      <x:c r="Q355" s="1" t="n">
        <x:v>46229.99998842592</x:v>
      </x:c>
      <x:c r="R355" s="1" t="str">
        <x:v>150</x:v>
      </x:c>
      <x:c r="S355" s="1" t="str"/>
      <x:c r="T355" s="1" t="str"/>
      <x:c r="U355" s="1" t="str"/>
      <x:c r="V355" s="1" t="str"/>
      <x:c r="W355" s="1" t="str"/>
      <x:c r="X355" s="1" t="str">
        <x:v>false</x:v>
      </x:c>
      <x:c r="Y355" s="1" t="str">
        <x:v>false</x:v>
      </x:c>
      <x:c r="Z355" s="1" t="str">
        <x:v>[]</x:v>
      </x:c>
    </x:row>
    <x:row r="356" ht="15" hidden="0" customHeight="1">
      <x:c r="A356" s="1" t="str">
        <x:v>ocp5km4x4p</x:v>
      </x:c>
      <x:c r="B356" s="5" t="str">
        <x:v>Private Townhome in North Raleigh</x:v>
      </x:c>
      <x:c r="C356" s="1" t="str">
        <x:v>1</x:v>
      </x:c>
      <x:c r="D356" s="1" t="str">
        <x:v>q2j0gkx</x:v>
      </x:c>
      <x:c r="E356" s="1" t="str"/>
      <x:c r="F356" s="1" t="n">
        <x:v>2</x:v>
      </x:c>
      <x:c r="G356" s="1" t="n">
        <x:v>2.5</x:v>
      </x:c>
      <x:c r="H356" s="1" t="n">
        <x:v>1495</x:v>
      </x:c>
      <x:c r="I356" s="1" t="n">
        <x:v>1495</x:v>
      </x:c>
      <x:c r="J356" s="1" t="str">
        <x:v>$1,495</x:v>
      </x:c>
      <x:c r="K356" s="1" t="str">
        <x:v>$1,495</x:v>
      </x:c>
      <x:c r="L356" s="1" t="str">
        <x:v>false</x:v>
      </x:c>
      <x:c r="M356" s="1" t="str">
        <x:v>1,250 sq. ft.</x:v>
      </x:c>
      <x:c r="N356" s="1" t="n">
        <x:v>1</x:v>
      </x:c>
      <x:c r="O356" s="1" t="str">
        <x:v>AvailableNow</x:v>
      </x:c>
      <x:c r="P356" s="1" t="str">
        <x:v>Rentals Available</x:v>
      </x:c>
      <x:c r="Q356" s="1" t="n">
        <x:v>25569.999988425927</x:v>
      </x:c>
      <x:c r="R356" s="1" t="str"/>
      <x:c r="S356" s="1" t="str"/>
      <x:c r="T356" s="1" t="str">
        <x:v>N/A</x:v>
      </x:c>
      <x:c r="U356" s="1" t="str">
        <x:v>N/A</x:v>
      </x:c>
      <x:c r="V356" s="1" t="str">
        <x:v>2</x:v>
      </x:c>
      <x:c r="W356" s="1" t="str"/>
      <x:c r="X356" s="1" t="str">
        <x:v>false</x:v>
      </x:c>
      <x:c r="Y356" s="1" t="str">
        <x:v>false</x:v>
      </x:c>
      <x:c r="Z356" s="1" t="str">
        <x:v>[]</x:v>
      </x:c>
    </x:row>
    <x:row r="357" ht="15" hidden="0" customHeight="1">
      <x:c r="A357" s="1" t="str">
        <x:v>xr4rsmq</x:v>
      </x:c>
      <x:c r="B357" s="5" t="str">
        <x:v>Pine Knoll Apartments</x:v>
      </x:c>
      <x:c r="C357" s="1" t="str">
        <x:v>924164</x:v>
      </x:c>
      <x:c r="D357" s="1" t="str">
        <x:v>kyqk68c</x:v>
      </x:c>
      <x:c r="E357" s="1" t="str">
        <x:v>2503-B</x:v>
      </x:c>
      <x:c r="F357" s="1" t="n">
        <x:v>1</x:v>
      </x:c>
      <x:c r="G357" s="1" t="n">
        <x:v>1</x:v>
      </x:c>
      <x:c r="H357" s="1" t="n">
        <x:v>1095</x:v>
      </x:c>
      <x:c r="I357" s="1" t="n">
        <x:v>1095</x:v>
      </x:c>
      <x:c r="J357" s="1" t="str">
        <x:v>$1,095</x:v>
      </x:c>
      <x:c r="K357" s="1" t="str">
        <x:v>$1,095</x:v>
      </x:c>
      <x:c r="L357" s="1" t="str">
        <x:v>false</x:v>
      </x:c>
      <x:c r="M357" s="1" t="str">
        <x:v>500 sq. ft.</x:v>
      </x:c>
      <x:c r="N357" s="1" t="n">
        <x:v>1</x:v>
      </x:c>
      <x:c r="O357" s="1" t="str">
        <x:v>AvailableNow</x:v>
      </x:c>
      <x:c r="P357" s="1" t="str">
        <x:v>Rentals Available</x:v>
      </x:c>
      <x:c r="Q357" s="1" t="str"/>
      <x:c r="R357" s="1" t="str"/>
      <x:c r="S357" s="1" t="str"/>
      <x:c r="T357" s="1" t="str"/>
      <x:c r="U357" s="1" t="str"/>
      <x:c r="V357" s="1" t="str">
        <x:v>2</x:v>
      </x:c>
      <x:c r="W357" s="1" t="str"/>
      <x:c r="X357" s="1" t="str">
        <x:v>false</x:v>
      </x:c>
      <x:c r="Y357" s="1" t="str">
        <x:v>false</x:v>
      </x:c>
      <x:c r="Z357" s="1" t="str">
        <x:v>[]</x:v>
      </x:c>
    </x:row>
    <x:row r="358" ht="24" hidden="0" customHeight="1">
      <x:c r="A358" s="1" t="str">
        <x:v>ocpwwwe8yh</x:v>
      </x:c>
      <x:c r="B358" s="5" t="str">
        <x:v>FURNISHED TOWNHOME RENTAL – 10 Mins to NCSU - 3 Bedroom - starting $750 per room</x:v>
      </x:c>
      <x:c r="C358" s="1" t="str">
        <x:v>1</x:v>
      </x:c>
      <x:c r="D358" s="1" t="str">
        <x:v>q2j0gkx</x:v>
      </x:c>
      <x:c r="E358" s="1" t="str"/>
      <x:c r="F358" s="1" t="n">
        <x:v>4</x:v>
      </x:c>
      <x:c r="G358" s="1" t="n">
        <x:v>3</x:v>
      </x:c>
      <x:c r="H358" s="1" t="n">
        <x:v>750</x:v>
      </x:c>
      <x:c r="I358" s="1" t="n">
        <x:v>750</x:v>
      </x:c>
      <x:c r="J358" s="1" t="str">
        <x:v>$750</x:v>
      </x:c>
      <x:c r="K358" s="1" t="str">
        <x:v>$750</x:v>
      </x:c>
      <x:c r="L358" s="1" t="str">
        <x:v>true</x:v>
      </x:c>
      <x:c r="M358" s="1" t="str">
        <x:v>1,827 sq. ft.</x:v>
      </x:c>
      <x:c r="N358" s="1" t="n">
        <x:v>1</x:v>
      </x:c>
      <x:c r="O358" s="1" t="str">
        <x:v>AvailableNow</x:v>
      </x:c>
      <x:c r="P358" s="1" t="str">
        <x:v>Rentals Available</x:v>
      </x:c>
      <x:c r="Q358" s="1" t="n">
        <x:v>46235.99998842592</x:v>
      </x:c>
      <x:c r="R358" s="1" t="str"/>
      <x:c r="S358" s="1" t="str"/>
      <x:c r="T358" s="1" t="str">
        <x:v>N/A</x:v>
      </x:c>
      <x:c r="U358" s="1" t="str">
        <x:v>N/A</x:v>
      </x:c>
      <x:c r="V358" s="1" t="str">
        <x:v>5</x:v>
      </x:c>
      <x:c r="W358" s="1" t="str"/>
      <x:c r="X358" s="1" t="str">
        <x:v>false</x:v>
      </x:c>
      <x:c r="Y358" s="1" t="str">
        <x:v>false</x:v>
      </x:c>
      <x:c r="Z358" s="1" t="str">
        <x:v>[]</x:v>
      </x:c>
    </x:row>
    <x:row r="359" ht="15" hidden="0" customHeight="1">
      <x:c r="A359" s="1" t="str">
        <x:v>5je4q3n</x:v>
      </x:c>
      <x:c r="B359" s="5" t="str">
        <x:v>Signature 1505</x:v>
      </x:c>
      <x:c r="C359" s="1" t="str">
        <x:v>2170401</x:v>
      </x:c>
      <x:c r="D359" s="1" t="str">
        <x:v>1y8ez34</x:v>
      </x:c>
      <x:c r="E359" s="1" t="str">
        <x:v>B6</x:v>
      </x:c>
      <x:c r="F359" s="1" t="n">
        <x:v>2</x:v>
      </x:c>
      <x:c r="G359" s="1" t="n">
        <x:v>2</x:v>
      </x:c>
      <x:c r="H359" s="1" t="n">
        <x:v>1305</x:v>
      </x:c>
      <x:c r="I359" s="1" t="n">
        <x:v>1305</x:v>
      </x:c>
      <x:c r="J359" s="1" t="str">
        <x:v>$1,305</x:v>
      </x:c>
      <x:c r="K359" s="1" t="str">
        <x:v>$1,320</x:v>
      </x:c>
      <x:c r="L359" s="1" t="str">
        <x:v>true</x:v>
      </x:c>
      <x:c r="M359" s="1" t="str">
        <x:v>1,261 sq. ft.</x:v>
      </x:c>
      <x:c r="N359" s="1" t="n">
        <x:v>1</x:v>
      </x:c>
      <x:c r="O359" s="1" t="str">
        <x:v>AvailableNow</x:v>
      </x:c>
      <x:c r="P359" s="1" t="str">
        <x:v>Rentals Available</x:v>
      </x:c>
      <x:c r="Q359" s="1" t="str"/>
      <x:c r="R359" s="1" t="str"/>
      <x:c r="S359" s="1" t="str"/>
      <x:c r="T359" s="1" t="str"/>
      <x:c r="U359" s="1" t="str"/>
      <x:c r="V359" s="1" t="str">
        <x:v>2</x:v>
      </x:c>
      <x:c r="W359" s="1" t="str"/>
      <x:c r="X359" s="1" t="str">
        <x:v>false</x:v>
      </x:c>
      <x:c r="Y359" s="1" t="str">
        <x:v>false</x:v>
      </x:c>
      <x:c r="Z359" s="1" t="str">
        <x:v>[]</x:v>
      </x:c>
    </x:row>
    <x:row r="360" ht="15" hidden="0" customHeight="1">
      <x:c r="A360" s="1" t="str">
        <x:v>5je4q3n</x:v>
      </x:c>
      <x:c r="B360" s="5" t="str">
        <x:v>Signature 1505</x:v>
      </x:c>
      <x:c r="C360" s="1" t="str">
        <x:v>2170403</x:v>
      </x:c>
      <x:c r="D360" s="1" t="str">
        <x:v>m2s2lbj</x:v>
      </x:c>
      <x:c r="E360" s="1" t="str">
        <x:v>C2</x:v>
      </x:c>
      <x:c r="F360" s="1" t="n">
        <x:v>3</x:v>
      </x:c>
      <x:c r="G360" s="1" t="n">
        <x:v>3</x:v>
      </x:c>
      <x:c r="H360" s="1" t="n">
        <x:v>1150</x:v>
      </x:c>
      <x:c r="I360" s="1" t="n">
        <x:v>1150</x:v>
      </x:c>
      <x:c r="J360" s="1" t="str">
        <x:v>$1,150</x:v>
      </x:c>
      <x:c r="K360" s="1" t="str">
        <x:v>$1,165</x:v>
      </x:c>
      <x:c r="L360" s="1" t="str">
        <x:v>true</x:v>
      </x:c>
      <x:c r="M360" s="1" t="str">
        <x:v>1,176 sq. ft.</x:v>
      </x:c>
      <x:c r="N360" s="1" t="n">
        <x:v>1</x:v>
      </x:c>
      <x:c r="O360" s="1" t="str">
        <x:v>AvailableNow</x:v>
      </x:c>
      <x:c r="P360" s="1" t="str">
        <x:v>Rentals Available</x:v>
      </x:c>
      <x:c r="Q360" s="1" t="n">
        <x:v>46247.99998842592</x:v>
      </x:c>
      <x:c r="R360" s="1" t="str"/>
      <x:c r="S360" s="1" t="str"/>
      <x:c r="T360" s="1" t="str"/>
      <x:c r="U360" s="1" t="str"/>
      <x:c r="V360" s="1" t="str">
        <x:v>3</x:v>
      </x:c>
      <x:c r="W360" s="1" t="str"/>
      <x:c r="X360" s="1" t="str">
        <x:v>false</x:v>
      </x:c>
      <x:c r="Y360" s="1" t="str">
        <x:v>false</x:v>
      </x:c>
      <x:c r="Z360" s="1" t="str">
        <x:v>[]</x:v>
      </x:c>
    </x:row>
    <x:row r="361" ht="15" hidden="0" customHeight="1">
      <x:c r="A361" s="1" t="str">
        <x:v>5je4q3n</x:v>
      </x:c>
      <x:c r="B361" s="5" t="str">
        <x:v>Signature 1505</x:v>
      </x:c>
      <x:c r="C361" s="1" t="str">
        <x:v>2170404</x:v>
      </x:c>
      <x:c r="D361" s="1" t="str">
        <x:v>yd085xv</x:v>
      </x:c>
      <x:c r="E361" s="1" t="str">
        <x:v>C3</x:v>
      </x:c>
      <x:c r="F361" s="1" t="n">
        <x:v>3</x:v>
      </x:c>
      <x:c r="G361" s="1" t="n">
        <x:v>3</x:v>
      </x:c>
      <x:c r="H361" s="1" t="n">
        <x:v>1155</x:v>
      </x:c>
      <x:c r="I361" s="1" t="n">
        <x:v>1155</x:v>
      </x:c>
      <x:c r="J361" s="1" t="str">
        <x:v>$1,155</x:v>
      </x:c>
      <x:c r="K361" s="1" t="str">
        <x:v>$1,170</x:v>
      </x:c>
      <x:c r="L361" s="1" t="str">
        <x:v>true</x:v>
      </x:c>
      <x:c r="M361" s="1" t="str">
        <x:v>1,276 sq. ft.</x:v>
      </x:c>
      <x:c r="N361" s="1" t="n">
        <x:v>1</x:v>
      </x:c>
      <x:c r="O361" s="1" t="str">
        <x:v>AvailableNow</x:v>
      </x:c>
      <x:c r="P361" s="1" t="str">
        <x:v>Rentals Available</x:v>
      </x:c>
      <x:c r="Q361" s="1" t="n">
        <x:v>46247.99998842592</x:v>
      </x:c>
      <x:c r="R361" s="1" t="str"/>
      <x:c r="S361" s="1" t="str"/>
      <x:c r="T361" s="1" t="str"/>
      <x:c r="U361" s="1" t="str"/>
      <x:c r="V361" s="1" t="str">
        <x:v>3</x:v>
      </x:c>
      <x:c r="W361" s="1" t="str"/>
      <x:c r="X361" s="1" t="str">
        <x:v>false</x:v>
      </x:c>
      <x:c r="Y361" s="1" t="str">
        <x:v>false</x:v>
      </x:c>
      <x:c r="Z361" s="1" t="str">
        <x:v>[]</x:v>
      </x:c>
    </x:row>
    <x:row r="362" ht="15" hidden="0" customHeight="1">
      <x:c r="A362" s="1" t="str">
        <x:v>5je4q3n</x:v>
      </x:c>
      <x:c r="B362" s="5" t="str">
        <x:v>Signature 1505</x:v>
      </x:c>
      <x:c r="C362" s="1" t="str">
        <x:v>2170402</x:v>
      </x:c>
      <x:c r="D362" s="1" t="str">
        <x:v>ky9478b</x:v>
      </x:c>
      <x:c r="E362" s="1" t="str">
        <x:v>C1</x:v>
      </x:c>
      <x:c r="F362" s="1" t="n">
        <x:v>3</x:v>
      </x:c>
      <x:c r="G362" s="1" t="n">
        <x:v>3</x:v>
      </x:c>
      <x:c r="H362" s="1" t="n">
        <x:v>1190</x:v>
      </x:c>
      <x:c r="I362" s="1" t="n">
        <x:v>1190</x:v>
      </x:c>
      <x:c r="J362" s="1" t="str">
        <x:v>$1,190</x:v>
      </x:c>
      <x:c r="K362" s="1" t="str">
        <x:v>$1,205</x:v>
      </x:c>
      <x:c r="L362" s="1" t="str">
        <x:v>true</x:v>
      </x:c>
      <x:c r="M362" s="1" t="str">
        <x:v>1,312 sq. ft.</x:v>
      </x:c>
      <x:c r="N362" s="1" t="n">
        <x:v>1</x:v>
      </x:c>
      <x:c r="O362" s="1" t="str">
        <x:v>AvailableNow</x:v>
      </x:c>
      <x:c r="P362" s="1" t="str">
        <x:v>Rentals Available</x:v>
      </x:c>
      <x:c r="Q362" s="1" t="n">
        <x:v>46247.99998842592</x:v>
      </x:c>
      <x:c r="R362" s="1" t="str"/>
      <x:c r="S362" s="1" t="str"/>
      <x:c r="T362" s="1" t="str"/>
      <x:c r="U362" s="1" t="str"/>
      <x:c r="V362" s="1" t="str">
        <x:v>3</x:v>
      </x:c>
      <x:c r="W362" s="1" t="str"/>
      <x:c r="X362" s="1" t="str">
        <x:v>false</x:v>
      </x:c>
      <x:c r="Y362" s="1" t="str">
        <x:v>false</x:v>
      </x:c>
      <x:c r="Z362" s="1" t="str">
        <x:v>[]</x:v>
      </x:c>
    </x:row>
    <x:row r="363" ht="15" hidden="0" customHeight="1">
      <x:c r="A363" s="1" t="str">
        <x:v>5je4q3n</x:v>
      </x:c>
      <x:c r="B363" s="5" t="str">
        <x:v>Signature 1505</x:v>
      </x:c>
      <x:c r="C363" s="1" t="str">
        <x:v>2170406</x:v>
      </x:c>
      <x:c r="D363" s="1" t="str">
        <x:v>d0ktjhh</x:v>
      </x:c>
      <x:c r="E363" s="1" t="str">
        <x:v>D1-A</x:v>
      </x:c>
      <x:c r="F363" s="1" t="n">
        <x:v>4</x:v>
      </x:c>
      <x:c r="G363" s="1" t="n">
        <x:v>2</x:v>
      </x:c>
      <x:c r="H363" s="1" t="n">
        <x:v>650</x:v>
      </x:c>
      <x:c r="I363" s="1" t="n">
        <x:v>665</x:v>
      </x:c>
      <x:c r="J363" s="1" t="str">
        <x:v>$650 - $665</x:v>
      </x:c>
      <x:c r="K363" s="1" t="str">
        <x:v>$665 - $680</x:v>
      </x:c>
      <x:c r="L363" s="1" t="str">
        <x:v>true</x:v>
      </x:c>
      <x:c r="M363" s="1" t="str">
        <x:v>1,218 sq. ft.</x:v>
      </x:c>
      <x:c r="N363" s="1" t="n">
        <x:v>2</x:v>
      </x:c>
      <x:c r="O363" s="1" t="str">
        <x:v>AvailableNow</x:v>
      </x:c>
      <x:c r="P363" s="1" t="str">
        <x:v>Rentals Available</x:v>
      </x:c>
      <x:c r="Q363" s="1" t="n">
        <x:v>45882.99998842592</x:v>
      </x:c>
      <x:c r="R363" s="1" t="str"/>
      <x:c r="S363" s="1" t="str"/>
      <x:c r="T363" s="1" t="str"/>
      <x:c r="U363" s="1" t="str"/>
      <x:c r="V363" s="1" t="str">
        <x:v>4</x:v>
      </x:c>
      <x:c r="W363" s="1" t="str"/>
      <x:c r="X363" s="1" t="str">
        <x:v>false</x:v>
      </x:c>
      <x:c r="Y363" s="1" t="str">
        <x:v>false</x:v>
      </x:c>
      <x:c r="Z363" s="1" t="str">
        <x:v>[]</x:v>
      </x:c>
    </x:row>
    <x:row r="364" ht="15" hidden="0" customHeight="1">
      <x:c r="A364" s="1" t="str">
        <x:v>5je4q3n</x:v>
      </x:c>
      <x:c r="B364" s="5" t="str">
        <x:v>Signature 1505</x:v>
      </x:c>
      <x:c r="C364" s="1" t="str">
        <x:v>2170407</x:v>
      </x:c>
      <x:c r="D364" s="1" t="str">
        <x:v>740cejx</x:v>
      </x:c>
      <x:c r="E364" s="1" t="str">
        <x:v>D2</x:v>
      </x:c>
      <x:c r="F364" s="1" t="n">
        <x:v>4</x:v>
      </x:c>
      <x:c r="G364" s="1" t="n">
        <x:v>4</x:v>
      </x:c>
      <x:c r="H364" s="1" t="n">
        <x:v>699</x:v>
      </x:c>
      <x:c r="I364" s="1" t="n">
        <x:v>699</x:v>
      </x:c>
      <x:c r="J364" s="1" t="str">
        <x:v>$699</x:v>
      </x:c>
      <x:c r="K364" s="1" t="str">
        <x:v>$714</x:v>
      </x:c>
      <x:c r="L364" s="1" t="str">
        <x:v>true</x:v>
      </x:c>
      <x:c r="M364" s="1" t="str">
        <x:v>1,427 sq. ft.</x:v>
      </x:c>
      <x:c r="N364" s="1" t="n">
        <x:v>1</x:v>
      </x:c>
      <x:c r="O364" s="1" t="str">
        <x:v>AvailableNow</x:v>
      </x:c>
      <x:c r="P364" s="1" t="str">
        <x:v>Rentals Available</x:v>
      </x:c>
      <x:c r="Q364" s="1" t="n">
        <x:v>46247.99998842592</x:v>
      </x:c>
      <x:c r="R364" s="1" t="str"/>
      <x:c r="S364" s="1" t="str"/>
      <x:c r="T364" s="1" t="str"/>
      <x:c r="U364" s="1" t="str"/>
      <x:c r="V364" s="1" t="str">
        <x:v>4</x:v>
      </x:c>
      <x:c r="W364" s="1" t="str"/>
      <x:c r="X364" s="1" t="str">
        <x:v>false</x:v>
      </x:c>
      <x:c r="Y364" s="1" t="str">
        <x:v>false</x:v>
      </x:c>
      <x:c r="Z364" s="1" t="str">
        <x:v>[]</x:v>
      </x:c>
    </x:row>
    <x:row r="365" ht="15" hidden="0" customHeight="1">
      <x:c r="A365" s="1" t="str">
        <x:v>5je4q3n</x:v>
      </x:c>
      <x:c r="B365" s="5" t="str">
        <x:v>Signature 1505</x:v>
      </x:c>
      <x:c r="C365" s="1" t="str">
        <x:v>2170408</x:v>
      </x:c>
      <x:c r="D365" s="1" t="str">
        <x:v>p8j01vr</x:v>
      </x:c>
      <x:c r="E365" s="1" t="str">
        <x:v>D3</x:v>
      </x:c>
      <x:c r="F365" s="1" t="n">
        <x:v>4</x:v>
      </x:c>
      <x:c r="G365" s="1" t="n">
        <x:v>4</x:v>
      </x:c>
      <x:c r="H365" s="1" t="n">
        <x:v>699</x:v>
      </x:c>
      <x:c r="I365" s="1" t="n">
        <x:v>699</x:v>
      </x:c>
      <x:c r="J365" s="1" t="str">
        <x:v>$699</x:v>
      </x:c>
      <x:c r="K365" s="1" t="str">
        <x:v>$714</x:v>
      </x:c>
      <x:c r="L365" s="1" t="str">
        <x:v>true</x:v>
      </x:c>
      <x:c r="M365" s="1" t="str">
        <x:v>1,542 sq. ft.</x:v>
      </x:c>
      <x:c r="N365" s="1" t="n">
        <x:v>1</x:v>
      </x:c>
      <x:c r="O365" s="1" t="str">
        <x:v>AvailableNow</x:v>
      </x:c>
      <x:c r="P365" s="1" t="str">
        <x:v>Rentals Available</x:v>
      </x:c>
      <x:c r="Q365" s="1" t="n">
        <x:v>46247.99998842592</x:v>
      </x:c>
      <x:c r="R365" s="1" t="str"/>
      <x:c r="S365" s="1" t="str"/>
      <x:c r="T365" s="1" t="str"/>
      <x:c r="U365" s="1" t="str"/>
      <x:c r="V365" s="1" t="str">
        <x:v>4</x:v>
      </x:c>
      <x:c r="W365" s="1" t="str"/>
      <x:c r="X365" s="1" t="str">
        <x:v>false</x:v>
      </x:c>
      <x:c r="Y365" s="1" t="str">
        <x:v>false</x:v>
      </x:c>
      <x:c r="Z365" s="1" t="str">
        <x:v>[]</x:v>
      </x:c>
    </x:row>
    <x:row r="366" ht="24" hidden="0" customHeight="1">
      <x:c r="A366" s="1" t="str">
        <x:v>ocptf3fhqb</x:v>
      </x:c>
      <x:c r="B366" s="5" t="str">
        <x:v>Spacious 2BD/1BA apartment available 08/01/26- 1 block from the NCSU McKimmon Center!</x:v>
      </x:c>
      <x:c r="C366" s="1" t="str">
        <x:v>1</x:v>
      </x:c>
      <x:c r="D366" s="1" t="str">
        <x:v>q2j0gkx</x:v>
      </x:c>
      <x:c r="E366" s="1" t="str"/>
      <x:c r="F366" s="1" t="n">
        <x:v>2</x:v>
      </x:c>
      <x:c r="G366" s="1" t="n">
        <x:v>1</x:v>
      </x:c>
      <x:c r="H366" s="1" t="n">
        <x:v>1200</x:v>
      </x:c>
      <x:c r="I366" s="1" t="n">
        <x:v>1200</x:v>
      </x:c>
      <x:c r="J366" s="1" t="str">
        <x:v>$1,200</x:v>
      </x:c>
      <x:c r="K366" s="1" t="str">
        <x:v>$1,200</x:v>
      </x:c>
      <x:c r="L366" s="1" t="str">
        <x:v>false</x:v>
      </x:c>
      <x:c r="M366" s="1" t="str">
        <x:v>900 sq. ft.</x:v>
      </x:c>
      <x:c r="N366" s="1" t="n">
        <x:v>1</x:v>
      </x:c>
      <x:c r="O366" s="1" t="str">
        <x:v>AvailableNow</x:v>
      </x:c>
      <x:c r="P366" s="1" t="str">
        <x:v>Rentals Available</x:v>
      </x:c>
      <x:c r="Q366" s="1" t="n">
        <x:v>46235.99998842592</x:v>
      </x:c>
      <x:c r="R366" s="1" t="str"/>
      <x:c r="S366" s="1" t="str"/>
      <x:c r="T366" s="1" t="str">
        <x:v>N/A</x:v>
      </x:c>
      <x:c r="U366" s="1" t="str">
        <x:v>N/A</x:v>
      </x:c>
      <x:c r="V366" s="1" t="str">
        <x:v>3</x:v>
      </x:c>
      <x:c r="W366" s="1" t="str"/>
      <x:c r="X366" s="1" t="str">
        <x:v>false</x:v>
      </x:c>
      <x:c r="Y366" s="1" t="str">
        <x:v>false</x:v>
      </x:c>
      <x:c r="Z366" s="1" t="str">
        <x:v>[]</x:v>
      </x:c>
    </x:row>
    <x:row r="367" ht="15" hidden="0" customHeight="1">
      <x:c r="A367" s="1" t="str">
        <x:v>h2l8mh2</x:v>
      </x:c>
      <x:c r="B367" s="5" t="str">
        <x:v>Redfield Villages</x:v>
      </x:c>
      <x:c r="C367" s="1" t="str">
        <x:v>5975802</x:v>
      </x:c>
      <x:c r="D367" s="1" t="str">
        <x:v>eqh8vkn</x:v>
      </x:c>
      <x:c r="E367" s="1" t="str">
        <x:v>2x1.5</x:v>
      </x:c>
      <x:c r="F367" s="1" t="n">
        <x:v>2</x:v>
      </x:c>
      <x:c r="G367" s="1" t="n">
        <x:v>1.5</x:v>
      </x:c>
      <x:c r="H367" s="1" t="n">
        <x:v>850</x:v>
      </x:c>
      <x:c r="I367" s="1" t="n">
        <x:v>850</x:v>
      </x:c>
      <x:c r="J367" s="1" t="str">
        <x:v>$850</x:v>
      </x:c>
      <x:c r="K367" s="1" t="str">
        <x:v>$850</x:v>
      </x:c>
      <x:c r="L367" s="1" t="str">
        <x:v>true</x:v>
      </x:c>
      <x:c r="M367" s="1" t="str">
        <x:v>800 sq. ft.</x:v>
      </x:c>
      <x:c r="N367" s="1" t="n">
        <x:v>0</x:v>
      </x:c>
      <x:c r="O367" s="1" t="str">
        <x:v>AvailableSoon</x:v>
      </x:c>
      <x:c r="P367" s="1" t="str">
        <x:v>Available Soon</x:v>
      </x:c>
      <x:c r="Q367" s="1" t="str"/>
      <x:c r="R367" s="1" t="str"/>
      <x:c r="S367" s="1" t="str"/>
      <x:c r="T367" s="1" t="str"/>
      <x:c r="U367" s="1" t="str"/>
      <x:c r="V367" s="1" t="str"/>
      <x:c r="W367" s="1" t="str"/>
      <x:c r="X367" s="1" t="str">
        <x:v>false</x:v>
      </x:c>
      <x:c r="Y367" s="1" t="str">
        <x:v>false</x:v>
      </x:c>
      <x:c r="Z367" s="1" t="str">
        <x:v>[]</x:v>
      </x:c>
    </x:row>
    <x:row r="368" ht="15" hidden="0" customHeight="1">
      <x:c r="A368" s="1" t="str">
        <x:v>h2l8mh2</x:v>
      </x:c>
      <x:c r="B368" s="5" t="str">
        <x:v>Redfield Villages</x:v>
      </x:c>
      <x:c r="C368" s="1" t="str">
        <x:v>5975803</x:v>
      </x:c>
      <x:c r="D368" s="1" t="str">
        <x:v>qwzk8jw</x:v>
      </x:c>
      <x:c r="E368" s="1" t="str">
        <x:v>4x4.5</x:v>
      </x:c>
      <x:c r="F368" s="1" t="n">
        <x:v>4</x:v>
      </x:c>
      <x:c r="G368" s="1" t="n">
        <x:v>4.5</x:v>
      </x:c>
      <x:c r="H368" s="1" t="n">
        <x:v>899</x:v>
      </x:c>
      <x:c r="I368" s="1" t="n">
        <x:v>899</x:v>
      </x:c>
      <x:c r="J368" s="1" t="str">
        <x:v>$899</x:v>
      </x:c>
      <x:c r="K368" s="1" t="str">
        <x:v>$899</x:v>
      </x:c>
      <x:c r="L368" s="1" t="str">
        <x:v>true</x:v>
      </x:c>
      <x:c r="M368" s="1" t="str">
        <x:v>1,855 sq. ft.</x:v>
      </x:c>
      <x:c r="N368" s="1" t="n">
        <x:v>1</x:v>
      </x:c>
      <x:c r="O368" s="1" t="str">
        <x:v>AvailableNow</x:v>
      </x:c>
      <x:c r="P368" s="1" t="str">
        <x:v>Rentals Available</x:v>
      </x:c>
      <x:c r="Q368" s="1" t="n">
        <x:v>46244.99998842592</x:v>
      </x:c>
      <x:c r="R368" s="1" t="str"/>
      <x:c r="S368" s="1" t="str"/>
      <x:c r="T368" s="1" t="str"/>
      <x:c r="U368" s="1" t="str"/>
      <x:c r="V368" s="1" t="str"/>
      <x:c r="W368" s="1" t="str"/>
      <x:c r="X368" s="1" t="str">
        <x:v>false</x:v>
      </x:c>
      <x:c r="Y368" s="1" t="str">
        <x:v>false</x:v>
      </x:c>
      <x:c r="Z368" s="1" t="str">
        <x:v>[]</x:v>
      </x:c>
    </x:row>
    <x:row r="369" ht="15" hidden="0" customHeight="1">
      <x:c r="A369" s="1" t="str">
        <x:v>h2l8mh2</x:v>
      </x:c>
      <x:c r="B369" s="5" t="str">
        <x:v>Redfield Villages</x:v>
      </x:c>
      <x:c r="C369" s="1" t="str">
        <x:v>5975804</x:v>
      </x:c>
      <x:c r="D369" s="1" t="str">
        <x:v>wt53p0h</x:v>
      </x:c>
      <x:c r="E369" s="1" t="str">
        <x:v>5x5 Burt</x:v>
      </x:c>
      <x:c r="F369" s="1" t="n">
        <x:v>5</x:v>
      </x:c>
      <x:c r="G369" s="1" t="n">
        <x:v>5</x:v>
      </x:c>
      <x:c r="H369" s="1" t="n">
        <x:v>799</x:v>
      </x:c>
      <x:c r="I369" s="1" t="n">
        <x:v>799</x:v>
      </x:c>
      <x:c r="J369" s="1" t="str">
        <x:v>$799</x:v>
      </x:c>
      <x:c r="K369" s="1" t="str">
        <x:v>$799</x:v>
      </x:c>
      <x:c r="L369" s="1" t="str">
        <x:v>true</x:v>
      </x:c>
      <x:c r="M369" s="1" t="str">
        <x:v>2,100 sq. ft.</x:v>
      </x:c>
      <x:c r="N369" s="1" t="n">
        <x:v>1</x:v>
      </x:c>
      <x:c r="O369" s="1" t="str">
        <x:v>AvailableNow</x:v>
      </x:c>
      <x:c r="P369" s="1" t="str">
        <x:v>Rentals Available</x:v>
      </x:c>
      <x:c r="Q369" s="1" t="n">
        <x:v>46244.99998842592</x:v>
      </x:c>
      <x:c r="R369" s="1" t="str"/>
      <x:c r="S369" s="1" t="str"/>
      <x:c r="T369" s="1" t="str"/>
      <x:c r="U369" s="1" t="str"/>
      <x:c r="V369" s="1" t="str"/>
      <x:c r="W369" s="1" t="str"/>
      <x:c r="X369" s="1" t="str">
        <x:v>false</x:v>
      </x:c>
      <x:c r="Y369" s="1" t="str">
        <x:v>false</x:v>
      </x:c>
      <x:c r="Z369" s="1" t="str">
        <x:v>[]</x:v>
      </x:c>
    </x:row>
    <x:row r="370" ht="24" hidden="0" customHeight="1">
      <x:c r="A370" s="1" t="str">
        <x:v>ocpthnbmc9</x:v>
      </x:c>
      <x:c r="B370" s="5" t="str">
        <x:v>Luxury 4 Bedroom 4 Full Bath w free parking, 1 gig internet included. 2027-2028 School yea</x:v>
      </x:c>
      <x:c r="C370" s="1" t="str">
        <x:v>1</x:v>
      </x:c>
      <x:c r="D370" s="1" t="str">
        <x:v>q2j0gkx</x:v>
      </x:c>
      <x:c r="E370" s="1" t="str"/>
      <x:c r="F370" s="1" t="n">
        <x:v>4</x:v>
      </x:c>
      <x:c r="G370" s="1" t="n">
        <x:v>4</x:v>
      </x:c>
      <x:c r="H370" s="1" t="n">
        <x:v>4000</x:v>
      </x:c>
      <x:c r="I370" s="1" t="n">
        <x:v>4000</x:v>
      </x:c>
      <x:c r="J370" s="1" t="str">
        <x:v>$4,000</x:v>
      </x:c>
      <x:c r="K370" s="1" t="str">
        <x:v>$4,000</x:v>
      </x:c>
      <x:c r="L370" s="1" t="str">
        <x:v>false</x:v>
      </x:c>
      <x:c r="M370" s="1" t="str">
        <x:v>1,450 sq. ft.</x:v>
      </x:c>
      <x:c r="N370" s="1" t="n">
        <x:v>1</x:v>
      </x:c>
      <x:c r="O370" s="1" t="str">
        <x:v>FutureDate</x:v>
      </x:c>
      <x:c r="P370" s="1" t="str">
        <x:v>Available Soon</x:v>
      </x:c>
      <x:c r="Q370" s="1" t="n">
        <x:v>46575.99998842592</x:v>
      </x:c>
      <x:c r="R370" s="1" t="str"/>
      <x:c r="S370" s="1" t="str"/>
      <x:c r="T370" s="1" t="str">
        <x:v>N/A</x:v>
      </x:c>
      <x:c r="U370" s="1" t="str">
        <x:v>N/A</x:v>
      </x:c>
      <x:c r="V370" s="1" t="str">
        <x:v>4</x:v>
      </x:c>
      <x:c r="W370" s="1" t="str"/>
      <x:c r="X370" s="1" t="str">
        <x:v>false</x:v>
      </x:c>
      <x:c r="Y370" s="1" t="str">
        <x:v>false</x:v>
      </x:c>
      <x:c r="Z370" s="1" t="str">
        <x:v>[]</x:v>
      </x:c>
    </x:row>
    <x:row r="371" ht="15" hidden="0" customHeight="1">
      <x:c r="A371" s="1" t="str">
        <x:v>vw4rv9e</x:v>
      </x:c>
      <x:c r="B371" s="5" t="str">
        <x:v>Signature at Varsity</x:v>
      </x:c>
      <x:c r="C371" s="1" t="str">
        <x:v>6060361</x:v>
      </x:c>
      <x:c r="D371" s="1" t="str">
        <x:v>jnnckh7</x:v>
      </x:c>
      <x:c r="E371" s="1" t="str">
        <x:v>S1</x:v>
      </x:c>
      <x:c r="F371" s="1" t="n">
        <x:v>0</x:v>
      </x:c>
      <x:c r="G371" s="1" t="n">
        <x:v>1</x:v>
      </x:c>
      <x:c r="H371" s="1" t="n">
        <x:v>1723</x:v>
      </x:c>
      <x:c r="I371" s="1" t="n">
        <x:v>1923</x:v>
      </x:c>
      <x:c r="J371" s="1" t="str">
        <x:v>$1,723 - $1,923</x:v>
      </x:c>
      <x:c r="K371" s="1" t="str">
        <x:v>$1,778 - $1,978</x:v>
      </x:c>
      <x:c r="L371" s="1" t="str">
        <x:v>false</x:v>
      </x:c>
      <x:c r="M371" s="1" t="str">
        <x:v>441 sq. ft.</x:v>
      </x:c>
      <x:c r="N371" s="1" t="n">
        <x:v>3</x:v>
      </x:c>
      <x:c r="O371" s="1" t="str">
        <x:v>FutureDate</x:v>
      </x:c>
      <x:c r="P371" s="1" t="str">
        <x:v>Available Soon</x:v>
      </x:c>
      <x:c r="Q371" s="1" t="n">
        <x:v>46600.99998842592</x:v>
      </x:c>
      <x:c r="R371" s="1" t="str"/>
      <x:c r="S371" s="1" t="str"/>
      <x:c r="T371" s="1" t="str"/>
      <x:c r="U371" s="1" t="str"/>
      <x:c r="V371" s="1" t="str"/>
      <x:c r="W371" s="1" t="str"/>
      <x:c r="X371" s="1" t="str">
        <x:v>false</x:v>
      </x:c>
      <x:c r="Y371" s="1" t="str">
        <x:v>false</x:v>
      </x:c>
      <x:c r="Z371" s="1" t="str">
        <x:v>[]</x:v>
      </x:c>
    </x:row>
    <x:row r="372" ht="15" hidden="0" customHeight="1">
      <x:c r="A372" s="1" t="str">
        <x:v>vw4rv9e</x:v>
      </x:c>
      <x:c r="B372" s="5" t="str">
        <x:v>Signature at Varsity</x:v>
      </x:c>
      <x:c r="C372" s="1" t="str">
        <x:v>6060362</x:v>
      </x:c>
      <x:c r="D372" s="1" t="str">
        <x:v>m82mzek</x:v>
      </x:c>
      <x:c r="E372" s="1" t="str">
        <x:v>A4</x:v>
      </x:c>
      <x:c r="F372" s="1" t="n">
        <x:v>1</x:v>
      </x:c>
      <x:c r="G372" s="1" t="n">
        <x:v>1</x:v>
      </x:c>
      <x:c r="H372" s="1" t="n">
        <x:v>2022</x:v>
      </x:c>
      <x:c r="I372" s="1" t="n">
        <x:v>2222</x:v>
      </x:c>
      <x:c r="J372" s="1" t="str">
        <x:v>$2,022 - $2,222</x:v>
      </x:c>
      <x:c r="K372" s="1" t="str">
        <x:v>$2,077 - $2,277</x:v>
      </x:c>
      <x:c r="L372" s="1" t="str">
        <x:v>false</x:v>
      </x:c>
      <x:c r="M372" s="1" t="str">
        <x:v>537 sq. ft.</x:v>
      </x:c>
      <x:c r="N372" s="1" t="n">
        <x:v>3</x:v>
      </x:c>
      <x:c r="O372" s="1" t="str">
        <x:v>FutureDate</x:v>
      </x:c>
      <x:c r="P372" s="1" t="str">
        <x:v>Available Soon</x:v>
      </x:c>
      <x:c r="Q372" s="1" t="n">
        <x:v>46600.99998842592</x:v>
      </x:c>
      <x:c r="R372" s="1" t="str"/>
      <x:c r="S372" s="1" t="str"/>
      <x:c r="T372" s="1" t="str"/>
      <x:c r="U372" s="1" t="str"/>
      <x:c r="V372" s="1" t="str"/>
      <x:c r="W372" s="1" t="str"/>
      <x:c r="X372" s="1" t="str">
        <x:v>false</x:v>
      </x:c>
      <x:c r="Y372" s="1" t="str">
        <x:v>false</x:v>
      </x:c>
      <x:c r="Z372" s="1" t="str">
        <x:v>[]</x:v>
      </x:c>
    </x:row>
    <x:row r="373" ht="15" hidden="0" customHeight="1">
      <x:c r="A373" s="1" t="str">
        <x:v>vw4rv9e</x:v>
      </x:c>
      <x:c r="B373" s="5" t="str">
        <x:v>Signature at Varsity</x:v>
      </x:c>
      <x:c r="C373" s="1" t="str">
        <x:v>6060363</x:v>
      </x:c>
      <x:c r="D373" s="1" t="str">
        <x:v>2mh2c39</x:v>
      </x:c>
      <x:c r="E373" s="1" t="str">
        <x:v>A5</x:v>
      </x:c>
      <x:c r="F373" s="1" t="n">
        <x:v>1</x:v>
      </x:c>
      <x:c r="G373" s="1" t="n">
        <x:v>1</x:v>
      </x:c>
      <x:c r="H373" s="1" t="n">
        <x:v>2022</x:v>
      </x:c>
      <x:c r="I373" s="1" t="n">
        <x:v>2222</x:v>
      </x:c>
      <x:c r="J373" s="1" t="str">
        <x:v>$2,022 - $2,222</x:v>
      </x:c>
      <x:c r="K373" s="1" t="str">
        <x:v>$2,077 - $2,277</x:v>
      </x:c>
      <x:c r="L373" s="1" t="str">
        <x:v>false</x:v>
      </x:c>
      <x:c r="M373" s="1" t="str">
        <x:v>546 sq. ft.</x:v>
      </x:c>
      <x:c r="N373" s="1" t="n">
        <x:v>3</x:v>
      </x:c>
      <x:c r="O373" s="1" t="str">
        <x:v>FutureDate</x:v>
      </x:c>
      <x:c r="P373" s="1" t="str">
        <x:v>Available Soon</x:v>
      </x:c>
      <x:c r="Q373" s="1" t="n">
        <x:v>46600.99998842592</x:v>
      </x:c>
      <x:c r="R373" s="1" t="str"/>
      <x:c r="S373" s="1" t="str"/>
      <x:c r="T373" s="1" t="str"/>
      <x:c r="U373" s="1" t="str"/>
      <x:c r="V373" s="1" t="str"/>
      <x:c r="W373" s="1" t="str"/>
      <x:c r="X373" s="1" t="str">
        <x:v>false</x:v>
      </x:c>
      <x:c r="Y373" s="1" t="str">
        <x:v>false</x:v>
      </x:c>
      <x:c r="Z373" s="1" t="str">
        <x:v>[]</x:v>
      </x:c>
    </x:row>
    <x:row r="374" ht="15" hidden="0" customHeight="1">
      <x:c r="A374" s="1" t="str">
        <x:v>vw4rv9e</x:v>
      </x:c>
      <x:c r="B374" s="5" t="str">
        <x:v>Signature at Varsity</x:v>
      </x:c>
      <x:c r="C374" s="1" t="str">
        <x:v>6060364</x:v>
      </x:c>
      <x:c r="D374" s="1" t="str">
        <x:v>smh3lf7</x:v>
      </x:c>
      <x:c r="E374" s="1" t="str">
        <x:v>A1</x:v>
      </x:c>
      <x:c r="F374" s="1" t="n">
        <x:v>1</x:v>
      </x:c>
      <x:c r="G374" s="1" t="n">
        <x:v>1</x:v>
      </x:c>
      <x:c r="H374" s="1" t="n">
        <x:v>2022</x:v>
      </x:c>
      <x:c r="I374" s="1" t="n">
        <x:v>2222</x:v>
      </x:c>
      <x:c r="J374" s="1" t="str">
        <x:v>$2,022 - $2,222</x:v>
      </x:c>
      <x:c r="K374" s="1" t="str">
        <x:v>$2,077 - $2,277</x:v>
      </x:c>
      <x:c r="L374" s="1" t="str">
        <x:v>false</x:v>
      </x:c>
      <x:c r="M374" s="1" t="str">
        <x:v>588 sq. ft.</x:v>
      </x:c>
      <x:c r="N374" s="1" t="n">
        <x:v>3</x:v>
      </x:c>
      <x:c r="O374" s="1" t="str">
        <x:v>FutureDate</x:v>
      </x:c>
      <x:c r="P374" s="1" t="str">
        <x:v>Available Soon</x:v>
      </x:c>
      <x:c r="Q374" s="1" t="n">
        <x:v>46600.99998842592</x:v>
      </x:c>
      <x:c r="R374" s="1" t="str"/>
      <x:c r="S374" s="1" t="str"/>
      <x:c r="T374" s="1" t="str"/>
      <x:c r="U374" s="1" t="str"/>
      <x:c r="V374" s="1" t="str"/>
      <x:c r="W374" s="1" t="str"/>
      <x:c r="X374" s="1" t="str">
        <x:v>false</x:v>
      </x:c>
      <x:c r="Y374" s="1" t="str">
        <x:v>false</x:v>
      </x:c>
      <x:c r="Z374" s="1" t="str">
        <x:v>[]</x:v>
      </x:c>
    </x:row>
    <x:row r="375" ht="15" hidden="0" customHeight="1">
      <x:c r="A375" s="1" t="str">
        <x:v>vw4rv9e</x:v>
      </x:c>
      <x:c r="B375" s="5" t="str">
        <x:v>Signature at Varsity</x:v>
      </x:c>
      <x:c r="C375" s="1" t="str">
        <x:v>6060365</x:v>
      </x:c>
      <x:c r="D375" s="1" t="str">
        <x:v>dgxdrgh</x:v>
      </x:c>
      <x:c r="E375" s="1" t="str">
        <x:v>A2</x:v>
      </x:c>
      <x:c r="F375" s="1" t="n">
        <x:v>1</x:v>
      </x:c>
      <x:c r="G375" s="1" t="n">
        <x:v>1</x:v>
      </x:c>
      <x:c r="H375" s="1" t="n">
        <x:v>2022</x:v>
      </x:c>
      <x:c r="I375" s="1" t="n">
        <x:v>2222</x:v>
      </x:c>
      <x:c r="J375" s="1" t="str">
        <x:v>$2,022 - $2,222</x:v>
      </x:c>
      <x:c r="K375" s="1" t="str">
        <x:v>$2,077 - $2,277</x:v>
      </x:c>
      <x:c r="L375" s="1" t="str">
        <x:v>false</x:v>
      </x:c>
      <x:c r="M375" s="1" t="str">
        <x:v>642 sq. ft.</x:v>
      </x:c>
      <x:c r="N375" s="1" t="n">
        <x:v>3</x:v>
      </x:c>
      <x:c r="O375" s="1" t="str">
        <x:v>FutureDate</x:v>
      </x:c>
      <x:c r="P375" s="1" t="str">
        <x:v>Available Soon</x:v>
      </x:c>
      <x:c r="Q375" s="1" t="n">
        <x:v>46600.99998842592</x:v>
      </x:c>
      <x:c r="R375" s="1" t="str"/>
      <x:c r="S375" s="1" t="str"/>
      <x:c r="T375" s="1" t="str"/>
      <x:c r="U375" s="1" t="str"/>
      <x:c r="V375" s="1" t="str"/>
      <x:c r="W375" s="1" t="str"/>
      <x:c r="X375" s="1" t="str">
        <x:v>false</x:v>
      </x:c>
      <x:c r="Y375" s="1" t="str">
        <x:v>false</x:v>
      </x:c>
      <x:c r="Z375" s="1" t="str">
        <x:v>[]</x:v>
      </x:c>
    </x:row>
    <x:row r="376" ht="15" hidden="0" customHeight="1">
      <x:c r="A376" s="1" t="str">
        <x:v>vw4rv9e</x:v>
      </x:c>
      <x:c r="B376" s="5" t="str">
        <x:v>Signature at Varsity</x:v>
      </x:c>
      <x:c r="C376" s="1" t="str">
        <x:v>6060366</x:v>
      </x:c>
      <x:c r="D376" s="1" t="str">
        <x:v>3vgs4ee</x:v>
      </x:c>
      <x:c r="E376" s="1" t="str">
        <x:v>A3</x:v>
      </x:c>
      <x:c r="F376" s="1" t="n">
        <x:v>1</x:v>
      </x:c>
      <x:c r="G376" s="1" t="n">
        <x:v>1</x:v>
      </x:c>
      <x:c r="H376" s="1" t="n">
        <x:v>2022</x:v>
      </x:c>
      <x:c r="I376" s="1" t="n">
        <x:v>2222</x:v>
      </x:c>
      <x:c r="J376" s="1" t="str">
        <x:v>$2,022 - $2,222</x:v>
      </x:c>
      <x:c r="K376" s="1" t="str">
        <x:v>$2,077 - $2,277</x:v>
      </x:c>
      <x:c r="L376" s="1" t="str">
        <x:v>false</x:v>
      </x:c>
      <x:c r="M376" s="1" t="str">
        <x:v>671 sq. ft.</x:v>
      </x:c>
      <x:c r="N376" s="1" t="n">
        <x:v>3</x:v>
      </x:c>
      <x:c r="O376" s="1" t="str">
        <x:v>FutureDate</x:v>
      </x:c>
      <x:c r="P376" s="1" t="str">
        <x:v>Available Soon</x:v>
      </x:c>
      <x:c r="Q376" s="1" t="n">
        <x:v>46600.99998842592</x:v>
      </x:c>
      <x:c r="R376" s="1" t="str"/>
      <x:c r="S376" s="1" t="str"/>
      <x:c r="T376" s="1" t="str"/>
      <x:c r="U376" s="1" t="str"/>
      <x:c r="V376" s="1" t="str"/>
      <x:c r="W376" s="1" t="str"/>
      <x:c r="X376" s="1" t="str">
        <x:v>false</x:v>
      </x:c>
      <x:c r="Y376" s="1" t="str">
        <x:v>false</x:v>
      </x:c>
      <x:c r="Z376" s="1" t="str">
        <x:v>[]</x:v>
      </x:c>
    </x:row>
    <x:row r="377" ht="15" hidden="0" customHeight="1">
      <x:c r="A377" s="1" t="str">
        <x:v>vw4rv9e</x:v>
      </x:c>
      <x:c r="B377" s="5" t="str">
        <x:v>Signature at Varsity</x:v>
      </x:c>
      <x:c r="C377" s="1" t="str">
        <x:v>6060368</x:v>
      </x:c>
      <x:c r="D377" s="1" t="str">
        <x:v>sld3m65</x:v>
      </x:c>
      <x:c r="E377" s="1" t="str">
        <x:v>B1</x:v>
      </x:c>
      <x:c r="F377" s="1" t="n">
        <x:v>2</x:v>
      </x:c>
      <x:c r="G377" s="1" t="n">
        <x:v>2</x:v>
      </x:c>
      <x:c r="H377" s="1" t="n">
        <x:v>1368</x:v>
      </x:c>
      <x:c r="I377" s="1" t="n">
        <x:v>1568</x:v>
      </x:c>
      <x:c r="J377" s="1" t="str">
        <x:v>$1,368 - $1,568</x:v>
      </x:c>
      <x:c r="K377" s="1" t="str">
        <x:v>$1,423 - $1,623</x:v>
      </x:c>
      <x:c r="L377" s="1" t="str">
        <x:v>false</x:v>
      </x:c>
      <x:c r="M377" s="1" t="str">
        <x:v>878 sq. ft.</x:v>
      </x:c>
      <x:c r="N377" s="1" t="n">
        <x:v>3</x:v>
      </x:c>
      <x:c r="O377" s="1" t="str">
        <x:v>FutureDate</x:v>
      </x:c>
      <x:c r="P377" s="1" t="str">
        <x:v>Available Soon</x:v>
      </x:c>
      <x:c r="Q377" s="1" t="n">
        <x:v>46600.99998842592</x:v>
      </x:c>
      <x:c r="R377" s="1" t="str"/>
      <x:c r="S377" s="1" t="str"/>
      <x:c r="T377" s="1" t="str"/>
      <x:c r="U377" s="1" t="str"/>
      <x:c r="V377" s="1" t="str"/>
      <x:c r="W377" s="1" t="str"/>
      <x:c r="X377" s="1" t="str">
        <x:v>false</x:v>
      </x:c>
      <x:c r="Y377" s="1" t="str">
        <x:v>false</x:v>
      </x:c>
      <x:c r="Z377" s="1" t="str">
        <x:v>[]</x:v>
      </x:c>
    </x:row>
    <x:row r="378" ht="15" hidden="0" customHeight="1">
      <x:c r="A378" s="1" t="str">
        <x:v>vw4rv9e</x:v>
      </x:c>
      <x:c r="B378" s="5" t="str">
        <x:v>Signature at Varsity</x:v>
      </x:c>
      <x:c r="C378" s="1" t="str">
        <x:v>6060369</x:v>
      </x:c>
      <x:c r="D378" s="1" t="str">
        <x:v>rwlrv81</x:v>
      </x:c>
      <x:c r="E378" s="1" t="str">
        <x:v>B2</x:v>
      </x:c>
      <x:c r="F378" s="1" t="n">
        <x:v>2</x:v>
      </x:c>
      <x:c r="G378" s="1" t="n">
        <x:v>2</x:v>
      </x:c>
      <x:c r="H378" s="1" t="n">
        <x:v>1368</x:v>
      </x:c>
      <x:c r="I378" s="1" t="n">
        <x:v>1568</x:v>
      </x:c>
      <x:c r="J378" s="1" t="str">
        <x:v>$1,368 - $1,568</x:v>
      </x:c>
      <x:c r="K378" s="1" t="str">
        <x:v>$1,423 - $1,623</x:v>
      </x:c>
      <x:c r="L378" s="1" t="str">
        <x:v>false</x:v>
      </x:c>
      <x:c r="M378" s="1" t="str">
        <x:v>976 sq. ft.</x:v>
      </x:c>
      <x:c r="N378" s="1" t="n">
        <x:v>3</x:v>
      </x:c>
      <x:c r="O378" s="1" t="str">
        <x:v>FutureDate</x:v>
      </x:c>
      <x:c r="P378" s="1" t="str">
        <x:v>Available Soon</x:v>
      </x:c>
      <x:c r="Q378" s="1" t="n">
        <x:v>46600.99998842592</x:v>
      </x:c>
      <x:c r="R378" s="1" t="str"/>
      <x:c r="S378" s="1" t="str"/>
      <x:c r="T378" s="1" t="str"/>
      <x:c r="U378" s="1" t="str"/>
      <x:c r="V378" s="1" t="str"/>
      <x:c r="W378" s="1" t="str"/>
      <x:c r="X378" s="1" t="str">
        <x:v>false</x:v>
      </x:c>
      <x:c r="Y378" s="1" t="str">
        <x:v>false</x:v>
      </x:c>
      <x:c r="Z378" s="1" t="str">
        <x:v>[]</x:v>
      </x:c>
    </x:row>
    <x:row r="379" ht="15" hidden="0" customHeight="1">
      <x:c r="A379" s="1" t="str">
        <x:v>vw4rv9e</x:v>
      </x:c>
      <x:c r="B379" s="5" t="str">
        <x:v>Signature at Varsity</x:v>
      </x:c>
      <x:c r="C379" s="1" t="str">
        <x:v>6060370</x:v>
      </x:c>
      <x:c r="D379" s="1" t="str">
        <x:v>0wh0v21</x:v>
      </x:c>
      <x:c r="E379" s="1" t="str">
        <x:v>C1</x:v>
      </x:c>
      <x:c r="F379" s="1" t="n">
        <x:v>3</x:v>
      </x:c>
      <x:c r="G379" s="1" t="n">
        <x:v>3</x:v>
      </x:c>
      <x:c r="H379" s="1" t="n">
        <x:v>1290</x:v>
      </x:c>
      <x:c r="I379" s="1" t="n">
        <x:v>1490</x:v>
      </x:c>
      <x:c r="J379" s="1" t="str">
        <x:v>$1,290 - $1,490</x:v>
      </x:c>
      <x:c r="K379" s="1" t="str">
        <x:v>$1,345 - $1,545</x:v>
      </x:c>
      <x:c r="L379" s="1" t="str">
        <x:v>false</x:v>
      </x:c>
      <x:c r="M379" s="1" t="str">
        <x:v>1,134 sq. ft.</x:v>
      </x:c>
      <x:c r="N379" s="1" t="n">
        <x:v>3</x:v>
      </x:c>
      <x:c r="O379" s="1" t="str">
        <x:v>FutureDate</x:v>
      </x:c>
      <x:c r="P379" s="1" t="str">
        <x:v>Available Soon</x:v>
      </x:c>
      <x:c r="Q379" s="1" t="n">
        <x:v>46600.99998842592</x:v>
      </x:c>
      <x:c r="R379" s="1" t="str"/>
      <x:c r="S379" s="1" t="str"/>
      <x:c r="T379" s="1" t="str"/>
      <x:c r="U379" s="1" t="str"/>
      <x:c r="V379" s="1" t="str"/>
      <x:c r="W379" s="1" t="str"/>
      <x:c r="X379" s="1" t="str">
        <x:v>false</x:v>
      </x:c>
      <x:c r="Y379" s="1" t="str">
        <x:v>false</x:v>
      </x:c>
      <x:c r="Z379" s="1" t="str">
        <x:v>[]</x:v>
      </x:c>
    </x:row>
    <x:row r="380" ht="15" hidden="0" customHeight="1">
      <x:c r="A380" s="1" t="str">
        <x:v>vw4rv9e</x:v>
      </x:c>
      <x:c r="B380" s="5" t="str">
        <x:v>Signature at Varsity</x:v>
      </x:c>
      <x:c r="C380" s="1" t="str">
        <x:v>6060371</x:v>
      </x:c>
      <x:c r="D380" s="1" t="str">
        <x:v>bmjbc59</x:v>
      </x:c>
      <x:c r="E380" s="1" t="str">
        <x:v>C2</x:v>
      </x:c>
      <x:c r="F380" s="1" t="n">
        <x:v>3</x:v>
      </x:c>
      <x:c r="G380" s="1" t="n">
        <x:v>3</x:v>
      </x:c>
      <x:c r="H380" s="1" t="n">
        <x:v>1290</x:v>
      </x:c>
      <x:c r="I380" s="1" t="n">
        <x:v>1490</x:v>
      </x:c>
      <x:c r="J380" s="1" t="str">
        <x:v>$1,290 - $1,490</x:v>
      </x:c>
      <x:c r="K380" s="1" t="str">
        <x:v>$1,345 - $1,545</x:v>
      </x:c>
      <x:c r="L380" s="1" t="str">
        <x:v>false</x:v>
      </x:c>
      <x:c r="M380" s="1" t="str">
        <x:v>1,290 sq. ft.</x:v>
      </x:c>
      <x:c r="N380" s="1" t="n">
        <x:v>3</x:v>
      </x:c>
      <x:c r="O380" s="1" t="str">
        <x:v>FutureDate</x:v>
      </x:c>
      <x:c r="P380" s="1" t="str">
        <x:v>Available Soon</x:v>
      </x:c>
      <x:c r="Q380" s="1" t="n">
        <x:v>46600.99998842592</x:v>
      </x:c>
      <x:c r="R380" s="1" t="str"/>
      <x:c r="S380" s="1" t="str"/>
      <x:c r="T380" s="1" t="str"/>
      <x:c r="U380" s="1" t="str"/>
      <x:c r="V380" s="1" t="str"/>
      <x:c r="W380" s="1" t="str"/>
      <x:c r="X380" s="1" t="str">
        <x:v>false</x:v>
      </x:c>
      <x:c r="Y380" s="1" t="str">
        <x:v>false</x:v>
      </x:c>
      <x:c r="Z380" s="1" t="str">
        <x:v>[]</x:v>
      </x:c>
    </x:row>
    <x:row r="381" ht="15" hidden="0" customHeight="1">
      <x:c r="A381" s="1" t="str">
        <x:v>vw4rv9e</x:v>
      </x:c>
      <x:c r="B381" s="5" t="str">
        <x:v>Signature at Varsity</x:v>
      </x:c>
      <x:c r="C381" s="1" t="str">
        <x:v>6060372</x:v>
      </x:c>
      <x:c r="D381" s="1" t="str">
        <x:v>qb9e5tx</x:v>
      </x:c>
      <x:c r="E381" s="1" t="str">
        <x:v>D1</x:v>
      </x:c>
      <x:c r="F381" s="1" t="n">
        <x:v>4</x:v>
      </x:c>
      <x:c r="G381" s="1" t="n">
        <x:v>4</x:v>
      </x:c>
      <x:c r="H381" s="1" t="n">
        <x:v>1249</x:v>
      </x:c>
      <x:c r="I381" s="1" t="n">
        <x:v>1449</x:v>
      </x:c>
      <x:c r="J381" s="1" t="str">
        <x:v>$1,249 - $1,449</x:v>
      </x:c>
      <x:c r="K381" s="1" t="str">
        <x:v>$1,304 - $1,504</x:v>
      </x:c>
      <x:c r="L381" s="1" t="str">
        <x:v>false</x:v>
      </x:c>
      <x:c r="M381" s="1" t="str">
        <x:v>1,345 sq. ft.</x:v>
      </x:c>
      <x:c r="N381" s="1" t="n">
        <x:v>3</x:v>
      </x:c>
      <x:c r="O381" s="1" t="str">
        <x:v>FutureDate</x:v>
      </x:c>
      <x:c r="P381" s="1" t="str">
        <x:v>Available Soon</x:v>
      </x:c>
      <x:c r="Q381" s="1" t="n">
        <x:v>46600.99998842592</x:v>
      </x:c>
      <x:c r="R381" s="1" t="str"/>
      <x:c r="S381" s="1" t="str"/>
      <x:c r="T381" s="1" t="str"/>
      <x:c r="U381" s="1" t="str"/>
      <x:c r="V381" s="1" t="str"/>
      <x:c r="W381" s="1" t="str"/>
      <x:c r="X381" s="1" t="str">
        <x:v>false</x:v>
      </x:c>
      <x:c r="Y381" s="1" t="str">
        <x:v>false</x:v>
      </x:c>
      <x:c r="Z381" s="1" t="str">
        <x:v>[]</x:v>
      </x:c>
    </x:row>
    <x:row r="382" ht="15" hidden="0" customHeight="1">
      <x:c r="A382" s="1" t="str">
        <x:v>vw4rv9e</x:v>
      </x:c>
      <x:c r="B382" s="5" t="str">
        <x:v>Signature at Varsity</x:v>
      </x:c>
      <x:c r="C382" s="1" t="str">
        <x:v>6060373</x:v>
      </x:c>
      <x:c r="D382" s="1" t="str">
        <x:v>x287nxn</x:v>
      </x:c>
      <x:c r="E382" s="1" t="str">
        <x:v>D4</x:v>
      </x:c>
      <x:c r="F382" s="1" t="n">
        <x:v>4</x:v>
      </x:c>
      <x:c r="G382" s="1" t="n">
        <x:v>4</x:v>
      </x:c>
      <x:c r="H382" s="1" t="n">
        <x:v>1249</x:v>
      </x:c>
      <x:c r="I382" s="1" t="n">
        <x:v>1449</x:v>
      </x:c>
      <x:c r="J382" s="1" t="str">
        <x:v>$1,249 - $1,449</x:v>
      </x:c>
      <x:c r="K382" s="1" t="str">
        <x:v>$1,304 - $1,504</x:v>
      </x:c>
      <x:c r="L382" s="1" t="str">
        <x:v>false</x:v>
      </x:c>
      <x:c r="M382" s="1" t="str">
        <x:v>1,430 sq. ft.</x:v>
      </x:c>
      <x:c r="N382" s="1" t="n">
        <x:v>3</x:v>
      </x:c>
      <x:c r="O382" s="1" t="str">
        <x:v>FutureDate</x:v>
      </x:c>
      <x:c r="P382" s="1" t="str">
        <x:v>Available Soon</x:v>
      </x:c>
      <x:c r="Q382" s="1" t="n">
        <x:v>46600.99998842592</x:v>
      </x:c>
      <x:c r="R382" s="1" t="str"/>
      <x:c r="S382" s="1" t="str"/>
      <x:c r="T382" s="1" t="str"/>
      <x:c r="U382" s="1" t="str"/>
      <x:c r="V382" s="1" t="str"/>
      <x:c r="W382" s="1" t="str"/>
      <x:c r="X382" s="1" t="str">
        <x:v>false</x:v>
      </x:c>
      <x:c r="Y382" s="1" t="str">
        <x:v>false</x:v>
      </x:c>
      <x:c r="Z382" s="1" t="str">
        <x:v>[]</x:v>
      </x:c>
    </x:row>
    <x:row r="383" ht="15" hidden="0" customHeight="1">
      <x:c r="A383" s="1" t="str">
        <x:v>vw4rv9e</x:v>
      </x:c>
      <x:c r="B383" s="5" t="str">
        <x:v>Signature at Varsity</x:v>
      </x:c>
      <x:c r="C383" s="1" t="str">
        <x:v>6060374</x:v>
      </x:c>
      <x:c r="D383" s="1" t="str">
        <x:v>kh2kggb</x:v>
      </x:c>
      <x:c r="E383" s="1" t="str">
        <x:v>D3</x:v>
      </x:c>
      <x:c r="F383" s="1" t="n">
        <x:v>4</x:v>
      </x:c>
      <x:c r="G383" s="1" t="n">
        <x:v>4</x:v>
      </x:c>
      <x:c r="H383" s="1" t="n">
        <x:v>1249</x:v>
      </x:c>
      <x:c r="I383" s="1" t="n">
        <x:v>1449</x:v>
      </x:c>
      <x:c r="J383" s="1" t="str">
        <x:v>$1,249 - $1,449</x:v>
      </x:c>
      <x:c r="K383" s="1" t="str">
        <x:v>$1,304 - $1,504</x:v>
      </x:c>
      <x:c r="L383" s="1" t="str">
        <x:v>false</x:v>
      </x:c>
      <x:c r="M383" s="1" t="str">
        <x:v>1,373 sq. ft.</x:v>
      </x:c>
      <x:c r="N383" s="1" t="n">
        <x:v>3</x:v>
      </x:c>
      <x:c r="O383" s="1" t="str">
        <x:v>FutureDate</x:v>
      </x:c>
      <x:c r="P383" s="1" t="str">
        <x:v>Available Soon</x:v>
      </x:c>
      <x:c r="Q383" s="1" t="n">
        <x:v>46600.99998842592</x:v>
      </x:c>
      <x:c r="R383" s="1" t="str"/>
      <x:c r="S383" s="1" t="str"/>
      <x:c r="T383" s="1" t="str"/>
      <x:c r="U383" s="1" t="str"/>
      <x:c r="V383" s="1" t="str"/>
      <x:c r="W383" s="1" t="str"/>
      <x:c r="X383" s="1" t="str">
        <x:v>false</x:v>
      </x:c>
      <x:c r="Y383" s="1" t="str">
        <x:v>false</x:v>
      </x:c>
      <x:c r="Z383" s="1" t="str">
        <x:v>[]</x:v>
      </x:c>
    </x:row>
    <x:row r="384" ht="15" hidden="0" customHeight="1">
      <x:c r="A384" s="1" t="str">
        <x:v>vw4rv9e</x:v>
      </x:c>
      <x:c r="B384" s="5" t="str">
        <x:v>Signature at Varsity</x:v>
      </x:c>
      <x:c r="C384" s="1" t="str">
        <x:v>6060375</x:v>
      </x:c>
      <x:c r="D384" s="1" t="str">
        <x:v>67w688r</x:v>
      </x:c>
      <x:c r="E384" s="1" t="str">
        <x:v>D5</x:v>
      </x:c>
      <x:c r="F384" s="1" t="n">
        <x:v>4</x:v>
      </x:c>
      <x:c r="G384" s="1" t="n">
        <x:v>4</x:v>
      </x:c>
      <x:c r="H384" s="1" t="n">
        <x:v>1249</x:v>
      </x:c>
      <x:c r="I384" s="1" t="n">
        <x:v>1449</x:v>
      </x:c>
      <x:c r="J384" s="1" t="str">
        <x:v>$1,249 - $1,449</x:v>
      </x:c>
      <x:c r="K384" s="1" t="str">
        <x:v>$1,304 - $1,504</x:v>
      </x:c>
      <x:c r="L384" s="1" t="str">
        <x:v>false</x:v>
      </x:c>
      <x:c r="M384" s="1" t="str">
        <x:v>1,650 sq. ft.</x:v>
      </x:c>
      <x:c r="N384" s="1" t="n">
        <x:v>3</x:v>
      </x:c>
      <x:c r="O384" s="1" t="str">
        <x:v>FutureDate</x:v>
      </x:c>
      <x:c r="P384" s="1" t="str">
        <x:v>Available Soon</x:v>
      </x:c>
      <x:c r="Q384" s="1" t="n">
        <x:v>46600.99998842592</x:v>
      </x:c>
      <x:c r="R384" s="1" t="str"/>
      <x:c r="S384" s="1" t="str"/>
      <x:c r="T384" s="1" t="str"/>
      <x:c r="U384" s="1" t="str"/>
      <x:c r="V384" s="1" t="str"/>
      <x:c r="W384" s="1" t="str"/>
      <x:c r="X384" s="1" t="str">
        <x:v>false</x:v>
      </x:c>
      <x:c r="Y384" s="1" t="str">
        <x:v>false</x:v>
      </x:c>
      <x:c r="Z384" s="1" t="str">
        <x:v>[]</x:v>
      </x:c>
    </x:row>
    <x:row r="385" ht="15" hidden="0" customHeight="1">
      <x:c r="A385" s="1" t="str">
        <x:v>vw4rv9e</x:v>
      </x:c>
      <x:c r="B385" s="5" t="str">
        <x:v>Signature at Varsity</x:v>
      </x:c>
      <x:c r="C385" s="1" t="str">
        <x:v>6060376</x:v>
      </x:c>
      <x:c r="D385" s="1" t="str">
        <x:v>3xqs2xg</x:v>
      </x:c>
      <x:c r="E385" s="1" t="str">
        <x:v>D2</x:v>
      </x:c>
      <x:c r="F385" s="1" t="n">
        <x:v>4</x:v>
      </x:c>
      <x:c r="G385" s="1" t="n">
        <x:v>4</x:v>
      </x:c>
      <x:c r="H385" s="1" t="n">
        <x:v>1249</x:v>
      </x:c>
      <x:c r="I385" s="1" t="n">
        <x:v>1449</x:v>
      </x:c>
      <x:c r="J385" s="1" t="str">
        <x:v>$1,249 - $1,449</x:v>
      </x:c>
      <x:c r="K385" s="1" t="str">
        <x:v>$1,304 - $1,504</x:v>
      </x:c>
      <x:c r="L385" s="1" t="str">
        <x:v>false</x:v>
      </x:c>
      <x:c r="M385" s="1" t="str">
        <x:v>1,511 sq. ft.</x:v>
      </x:c>
      <x:c r="N385" s="1" t="n">
        <x:v>3</x:v>
      </x:c>
      <x:c r="O385" s="1" t="str">
        <x:v>FutureDate</x:v>
      </x:c>
      <x:c r="P385" s="1" t="str">
        <x:v>Available Soon</x:v>
      </x:c>
      <x:c r="Q385" s="1" t="n">
        <x:v>46600.99998842592</x:v>
      </x:c>
      <x:c r="R385" s="1" t="str"/>
      <x:c r="S385" s="1" t="str"/>
      <x:c r="T385" s="1" t="str"/>
      <x:c r="U385" s="1" t="str"/>
      <x:c r="V385" s="1" t="str"/>
      <x:c r="W385" s="1" t="str"/>
      <x:c r="X385" s="1" t="str">
        <x:v>false</x:v>
      </x:c>
      <x:c r="Y385" s="1" t="str">
        <x:v>false</x:v>
      </x:c>
      <x:c r="Z385" s="1" t="str">
        <x:v>[]</x:v>
      </x:c>
    </x:row>
    <x:row r="386" ht="15" hidden="0" customHeight="1">
      <x:c r="A386" s="1" t="str">
        <x:v>vw4rv9e</x:v>
      </x:c>
      <x:c r="B386" s="5" t="str">
        <x:v>Signature at Varsity</x:v>
      </x:c>
      <x:c r="C386" s="1" t="str">
        <x:v>6060367</x:v>
      </x:c>
      <x:c r="D386" s="1" t="str">
        <x:v>vxm12qg</x:v>
      </x:c>
      <x:c r="E386" s="1" t="str">
        <x:v>E1</x:v>
      </x:c>
      <x:c r="F386" s="1" t="n">
        <x:v>5</x:v>
      </x:c>
      <x:c r="G386" s="1" t="n">
        <x:v>5</x:v>
      </x:c>
      <x:c r="H386" s="1" t="n">
        <x:v>1270</x:v>
      </x:c>
      <x:c r="I386" s="1" t="n">
        <x:v>1470</x:v>
      </x:c>
      <x:c r="J386" s="1" t="str">
        <x:v>$1,270 - $1,470</x:v>
      </x:c>
      <x:c r="K386" s="1" t="str">
        <x:v>$1,325 - $1,525</x:v>
      </x:c>
      <x:c r="L386" s="1" t="str">
        <x:v>false</x:v>
      </x:c>
      <x:c r="M386" s="1" t="str">
        <x:v>1,680 sq. ft.</x:v>
      </x:c>
      <x:c r="N386" s="1" t="n">
        <x:v>3</x:v>
      </x:c>
      <x:c r="O386" s="1" t="str">
        <x:v>FutureDate</x:v>
      </x:c>
      <x:c r="P386" s="1" t="str">
        <x:v>Available Soon</x:v>
      </x:c>
      <x:c r="Q386" s="1" t="n">
        <x:v>46600.99998842592</x:v>
      </x:c>
      <x:c r="R386" s="1" t="str"/>
      <x:c r="S386" s="1" t="str"/>
      <x:c r="T386" s="1" t="str"/>
      <x:c r="U386" s="1" t="str"/>
      <x:c r="V386" s="1" t="str"/>
      <x:c r="W386" s="1" t="str"/>
      <x:c r="X386" s="1" t="str">
        <x:v>false</x:v>
      </x:c>
      <x:c r="Y386" s="1" t="str">
        <x:v>false</x:v>
      </x:c>
      <x:c r="Z386" s="1" t="str">
        <x:v>[]</x:v>
      </x:c>
    </x:row>
    <x:row r="387" ht="15" hidden="0" customHeight="1">
      <x:c r="A387" s="1" t="str">
        <x:v>ocp8c26c92</x:v>
      </x:c>
      <x:c r="B387" s="5" t="str">
        <x:v>Fully Furnished 3BR Townhome Steps from Lake Johnson</x:v>
      </x:c>
      <x:c r="C387" s="1" t="str">
        <x:v>1</x:v>
      </x:c>
      <x:c r="D387" s="1" t="str">
        <x:v>q2j0gkx</x:v>
      </x:c>
      <x:c r="E387" s="1" t="str"/>
      <x:c r="F387" s="1" t="n">
        <x:v>3</x:v>
      </x:c>
      <x:c r="G387" s="1" t="n">
        <x:v>2</x:v>
      </x:c>
      <x:c r="H387" s="1" t="n">
        <x:v>2500</x:v>
      </x:c>
      <x:c r="I387" s="1" t="n">
        <x:v>2500</x:v>
      </x:c>
      <x:c r="J387" s="1" t="str">
        <x:v>$2,500</x:v>
      </x:c>
      <x:c r="K387" s="1" t="str">
        <x:v>$2,500</x:v>
      </x:c>
      <x:c r="L387" s="1" t="str">
        <x:v>false</x:v>
      </x:c>
      <x:c r="M387" s="1" t="str">
        <x:v>1,515 sq. ft.</x:v>
      </x:c>
      <x:c r="N387" s="1" t="n">
        <x:v>1</x:v>
      </x:c>
      <x:c r="O387" s="1" t="str">
        <x:v>AvailableNow</x:v>
      </x:c>
      <x:c r="P387" s="1" t="str">
        <x:v>Rentals Available</x:v>
      </x:c>
      <x:c r="Q387" s="1" t="n">
        <x:v>46174.99998842592</x:v>
      </x:c>
      <x:c r="R387" s="1" t="str"/>
      <x:c r="S387" s="1" t="str"/>
      <x:c r="T387" s="1" t="str">
        <x:v>N/A</x:v>
      </x:c>
      <x:c r="U387" s="1" t="str">
        <x:v>N/A</x:v>
      </x:c>
      <x:c r="V387" s="1" t="str">
        <x:v>3</x:v>
      </x:c>
      <x:c r="W387" s="1" t="str"/>
      <x:c r="X387" s="1" t="str">
        <x:v>false</x:v>
      </x:c>
      <x:c r="Y387" s="1" t="str">
        <x:v>false</x:v>
      </x:c>
      <x:c r="Z387" s="1" t="str">
        <x:v>[]</x:v>
      </x:c>
    </x:row>
    <x:row r="388" ht="15" hidden="0" customHeight="1">
      <x:c r="A388" s="1" t="str">
        <x:v>rf696l2</x:v>
      </x:c>
      <x:c r="B388" s="5" t="str">
        <x:v>Madison Hunters Glen</x:v>
      </x:c>
      <x:c r="C388" s="1" t="str">
        <x:v>927039</x:v>
      </x:c>
      <x:c r="D388" s="1" t="str">
        <x:v>h7w0tf3</x:v>
      </x:c>
      <x:c r="E388" s="1" t="str">
        <x:v>The Oak</x:v>
      </x:c>
      <x:c r="F388" s="1" t="n">
        <x:v>1</x:v>
      </x:c>
      <x:c r="G388" s="1" t="n">
        <x:v>1</x:v>
      </x:c>
      <x:c r="H388" s="1" t="n">
        <x:v>1081</x:v>
      </x:c>
      <x:c r="I388" s="1" t="n">
        <x:v>1331</x:v>
      </x:c>
      <x:c r="J388" s="1" t="str">
        <x:v>$1,081 - $1,331</x:v>
      </x:c>
      <x:c r="K388" s="1" t="str">
        <x:v>$1,081 - $1,331</x:v>
      </x:c>
      <x:c r="L388" s="1" t="str">
        <x:v>false</x:v>
      </x:c>
      <x:c r="M388" s="1" t="str">
        <x:v>712 sq. ft.</x:v>
      </x:c>
      <x:c r="N388" s="1" t="n">
        <x:v>3</x:v>
      </x:c>
      <x:c r="O388" s="1" t="str">
        <x:v>AvailableNow</x:v>
      </x:c>
      <x:c r="P388" s="1" t="str">
        <x:v>Rentals Available</x:v>
      </x:c>
      <x:c r="Q388" s="1" t="n">
        <x:v>46260.99998842592</x:v>
      </x:c>
      <x:c r="R388" s="1" t="str"/>
      <x:c r="S388" s="1" t="str"/>
      <x:c r="T388" s="1" t="str"/>
      <x:c r="U388" s="1" t="str"/>
      <x:c r="V388" s="1" t="str"/>
      <x:c r="W388" s="1" t="str"/>
      <x:c r="X388" s="1" t="str">
        <x:v>false</x:v>
      </x:c>
      <x:c r="Y388" s="1" t="str">
        <x:v>false</x:v>
      </x:c>
      <x:c r="Z388" s="1" t="str">
        <x:v>[]</x:v>
      </x:c>
    </x:row>
    <x:row r="389" ht="15" hidden="0" customHeight="1">
      <x:c r="A389" s="1" t="str">
        <x:v>rf696l2</x:v>
      </x:c>
      <x:c r="B389" s="5" t="str">
        <x:v>Madison Hunters Glen</x:v>
      </x:c>
      <x:c r="C389" s="1" t="str">
        <x:v>927040</x:v>
      </x:c>
      <x:c r="D389" s="1" t="str">
        <x:v>fr3yefs</x:v>
      </x:c>
      <x:c r="E389" s="1" t="str">
        <x:v>The Maple</x:v>
      </x:c>
      <x:c r="F389" s="1" t="n">
        <x:v>1</x:v>
      </x:c>
      <x:c r="G389" s="1" t="n">
        <x:v>1</x:v>
      </x:c>
      <x:c r="H389" s="1" t="n">
        <x:v>1142</x:v>
      </x:c>
      <x:c r="I389" s="1" t="n">
        <x:v>1396</x:v>
      </x:c>
      <x:c r="J389" s="1" t="str">
        <x:v>$1,142 - $1,396</x:v>
      </x:c>
      <x:c r="K389" s="1" t="str">
        <x:v>$1,142 - $1,396</x:v>
      </x:c>
      <x:c r="L389" s="1" t="str">
        <x:v>false</x:v>
      </x:c>
      <x:c r="M389" s="1" t="str">
        <x:v>764 sq. ft.</x:v>
      </x:c>
      <x:c r="N389" s="1" t="n">
        <x:v>3</x:v>
      </x:c>
      <x:c r="O389" s="1" t="str">
        <x:v>AvailableNow</x:v>
      </x:c>
      <x:c r="P389" s="1" t="str">
        <x:v>Rentals Available</x:v>
      </x:c>
      <x:c r="Q389" s="1" t="n">
        <x:v>46246.99998842592</x:v>
      </x:c>
      <x:c r="R389" s="1" t="str"/>
      <x:c r="S389" s="1" t="str"/>
      <x:c r="T389" s="1" t="str"/>
      <x:c r="U389" s="1" t="str"/>
      <x:c r="V389" s="1" t="str"/>
      <x:c r="W389" s="1" t="str"/>
      <x:c r="X389" s="1" t="str">
        <x:v>false</x:v>
      </x:c>
      <x:c r="Y389" s="1" t="str">
        <x:v>false</x:v>
      </x:c>
      <x:c r="Z389" s="1" t="str">
        <x:v>[]</x:v>
      </x:c>
    </x:row>
    <x:row r="390" ht="15" hidden="0" customHeight="1">
      <x:c r="A390" s="1" t="str">
        <x:v>rf696l2</x:v>
      </x:c>
      <x:c r="B390" s="5" t="str">
        <x:v>Madison Hunters Glen</x:v>
      </x:c>
      <x:c r="C390" s="1" t="str">
        <x:v>927037</x:v>
      </x:c>
      <x:c r="D390" s="1" t="str">
        <x:v>9gw3k25</x:v>
      </x:c>
      <x:c r="E390" s="1" t="str">
        <x:v>The Laurel</x:v>
      </x:c>
      <x:c r="F390" s="1" t="n">
        <x:v>1</x:v>
      </x:c>
      <x:c r="G390" s="1" t="n">
        <x:v>1</x:v>
      </x:c>
      <x:c r="H390" s="1" t="n">
        <x:v>1216</x:v>
      </x:c>
      <x:c r="I390" s="1" t="n">
        <x:v>1216</x:v>
      </x:c>
      <x:c r="J390" s="1" t="str">
        <x:v>$1,216</x:v>
      </x:c>
      <x:c r="K390" s="1" t="str">
        <x:v>$1,216</x:v>
      </x:c>
      <x:c r="L390" s="1" t="str">
        <x:v>false</x:v>
      </x:c>
      <x:c r="M390" s="1" t="str">
        <x:v>782 sq. ft.</x:v>
      </x:c>
      <x:c r="N390" s="1" t="n">
        <x:v>1</x:v>
      </x:c>
      <x:c r="O390" s="1" t="str">
        <x:v>FutureDate</x:v>
      </x:c>
      <x:c r="P390" s="1" t="str">
        <x:v>Available Soon</x:v>
      </x:c>
      <x:c r="Q390" s="1" t="n">
        <x:v>46305.99998842592</x:v>
      </x:c>
      <x:c r="R390" s="1" t="str"/>
      <x:c r="S390" s="1" t="str"/>
      <x:c r="T390" s="1" t="str"/>
      <x:c r="U390" s="1" t="str"/>
      <x:c r="V390" s="1" t="str"/>
      <x:c r="W390" s="1" t="str"/>
      <x:c r="X390" s="1" t="str">
        <x:v>false</x:v>
      </x:c>
      <x:c r="Y390" s="1" t="str">
        <x:v>false</x:v>
      </x:c>
      <x:c r="Z390" s="1" t="str">
        <x:v>[]</x:v>
      </x:c>
    </x:row>
    <x:row r="391" ht="15" hidden="0" customHeight="1">
      <x:c r="A391" s="1" t="str">
        <x:v>rf696l2</x:v>
      </x:c>
      <x:c r="B391" s="5" t="str">
        <x:v>Madison Hunters Glen</x:v>
      </x:c>
      <x:c r="C391" s="1" t="str">
        <x:v>927043</x:v>
      </x:c>
      <x:c r="D391" s="1" t="str">
        <x:v>4qymt1l</x:v>
      </x:c>
      <x:c r="E391" s="1" t="str">
        <x:v>The Spruce</x:v>
      </x:c>
      <x:c r="F391" s="1" t="n">
        <x:v>2</x:v>
      </x:c>
      <x:c r="G391" s="1" t="n">
        <x:v>1</x:v>
      </x:c>
      <x:c r="H391" s="1" t="n">
        <x:v>1195</x:v>
      </x:c>
      <x:c r="I391" s="1" t="n">
        <x:v>1350</x:v>
      </x:c>
      <x:c r="J391" s="1" t="str">
        <x:v>$1,195 - $1,350</x:v>
      </x:c>
      <x:c r="K391" s="1" t="str">
        <x:v>$1,195 - $1,350</x:v>
      </x:c>
      <x:c r="L391" s="1" t="str">
        <x:v>false</x:v>
      </x:c>
      <x:c r="M391" s="1" t="str">
        <x:v>1,016 sq. ft.</x:v>
      </x:c>
      <x:c r="N391" s="1" t="n">
        <x:v>3</x:v>
      </x:c>
      <x:c r="O391" s="1" t="str">
        <x:v>AvailableNow</x:v>
      </x:c>
      <x:c r="P391" s="1" t="str">
        <x:v>Rentals Available</x:v>
      </x:c>
      <x:c r="Q391" s="1" t="n">
        <x:v>46224.99998842592</x:v>
      </x:c>
      <x:c r="R391" s="1" t="str"/>
      <x:c r="S391" s="1" t="str"/>
      <x:c r="T391" s="1" t="str"/>
      <x:c r="U391" s="1" t="str"/>
      <x:c r="V391" s="1" t="str"/>
      <x:c r="W391" s="1" t="str"/>
      <x:c r="X391" s="1" t="str">
        <x:v>false</x:v>
      </x:c>
      <x:c r="Y391" s="1" t="str">
        <x:v>false</x:v>
      </x:c>
      <x:c r="Z391" s="1" t="str">
        <x:v>[]</x:v>
      </x:c>
    </x:row>
    <x:row r="392" ht="15" hidden="0" customHeight="1">
      <x:c r="A392" s="1" t="str">
        <x:v>rf696l2</x:v>
      </x:c>
      <x:c r="B392" s="5" t="str">
        <x:v>Madison Hunters Glen</x:v>
      </x:c>
      <x:c r="C392" s="1" t="str">
        <x:v>927046</x:v>
      </x:c>
      <x:c r="D392" s="1" t="str">
        <x:v>r018x01</x:v>
      </x:c>
      <x:c r="E392" s="1" t="str">
        <x:v>The Magnolia</x:v>
      </x:c>
      <x:c r="F392" s="1" t="n">
        <x:v>2</x:v>
      </x:c>
      <x:c r="G392" s="1" t="n">
        <x:v>2</x:v>
      </x:c>
      <x:c r="H392" s="1" t="n">
        <x:v>1325</x:v>
      </x:c>
      <x:c r="I392" s="1" t="n">
        <x:v>1325</x:v>
      </x:c>
      <x:c r="J392" s="1" t="str">
        <x:v>$1,325</x:v>
      </x:c>
      <x:c r="K392" s="1" t="str">
        <x:v>$1,325</x:v>
      </x:c>
      <x:c r="L392" s="1" t="str">
        <x:v>false</x:v>
      </x:c>
      <x:c r="M392" s="1" t="str">
        <x:v>1,118 sq. ft.</x:v>
      </x:c>
      <x:c r="N392" s="1" t="n">
        <x:v>3</x:v>
      </x:c>
      <x:c r="O392" s="1" t="str">
        <x:v>AvailableNow</x:v>
      </x:c>
      <x:c r="P392" s="1" t="str">
        <x:v>Rentals Available</x:v>
      </x:c>
      <x:c r="Q392" s="1" t="n">
        <x:v>46196.99998842592</x:v>
      </x:c>
      <x:c r="R392" s="1" t="str"/>
      <x:c r="S392" s="1" t="str"/>
      <x:c r="T392" s="1" t="str"/>
      <x:c r="U392" s="1" t="str"/>
      <x:c r="V392" s="1" t="str"/>
      <x:c r="W392" s="1" t="str"/>
      <x:c r="X392" s="1" t="str">
        <x:v>false</x:v>
      </x:c>
      <x:c r="Y392" s="1" t="str">
        <x:v>false</x:v>
      </x:c>
      <x:c r="Z392" s="1" t="str">
        <x:v>[]</x:v>
      </x:c>
    </x:row>
    <x:row r="393" ht="15" hidden="0" customHeight="1">
      <x:c r="A393" s="1" t="str">
        <x:v>rf696l2</x:v>
      </x:c>
      <x:c r="B393" s="5" t="str">
        <x:v>Madison Hunters Glen</x:v>
      </x:c>
      <x:c r="C393" s="1" t="str">
        <x:v>927044</x:v>
      </x:c>
      <x:c r="D393" s="1" t="str">
        <x:v>v16j4zg</x:v>
      </x:c>
      <x:c r="E393" s="1" t="str">
        <x:v>The Cypress</x:v>
      </x:c>
      <x:c r="F393" s="1" t="n">
        <x:v>2</x:v>
      </x:c>
      <x:c r="G393" s="1" t="n">
        <x:v>2</x:v>
      </x:c>
      <x:c r="H393" s="1" t="n">
        <x:v>1284</x:v>
      </x:c>
      <x:c r="I393" s="1" t="n">
        <x:v>1534</x:v>
      </x:c>
      <x:c r="J393" s="1" t="str">
        <x:v>$1,284 - $1,534</x:v>
      </x:c>
      <x:c r="K393" s="1" t="str">
        <x:v>$1,284 - $1,534</x:v>
      </x:c>
      <x:c r="L393" s="1" t="str">
        <x:v>false</x:v>
      </x:c>
      <x:c r="M393" s="1" t="str">
        <x:v>1,099 sq. ft.</x:v>
      </x:c>
      <x:c r="N393" s="1" t="n">
        <x:v>2</x:v>
      </x:c>
      <x:c r="O393" s="1" t="str">
        <x:v>FutureDate</x:v>
      </x:c>
      <x:c r="P393" s="1" t="str">
        <x:v>Available Soon</x:v>
      </x:c>
      <x:c r="Q393" s="1" t="n">
        <x:v>46291.99998842592</x:v>
      </x:c>
      <x:c r="R393" s="1" t="str"/>
      <x:c r="S393" s="1" t="str"/>
      <x:c r="T393" s="1" t="str"/>
      <x:c r="U393" s="1" t="str"/>
      <x:c r="V393" s="1" t="str"/>
      <x:c r="W393" s="1" t="str"/>
      <x:c r="X393" s="1" t="str">
        <x:v>false</x:v>
      </x:c>
      <x:c r="Y393" s="1" t="str">
        <x:v>false</x:v>
      </x:c>
      <x:c r="Z393" s="1" t="str">
        <x:v>[]</x:v>
      </x:c>
    </x:row>
    <x:row r="394" ht="24" hidden="0" customHeight="1">
      <x:c r="A394" s="1" t="str">
        <x:v>ocpszex2v4</x:v>
      </x:c>
      <x:c r="B394" s="5" t="str">
        <x:v>Spacious bedroom with private bath in 2BR townhome – 5 minutes to NC State</x:v>
      </x:c>
      <x:c r="C394" s="1" t="str">
        <x:v>1</x:v>
      </x:c>
      <x:c r="D394" s="1" t="str">
        <x:v>q2j0gkx</x:v>
      </x:c>
      <x:c r="E394" s="1" t="str"/>
      <x:c r="F394" s="1" t="n">
        <x:v>2</x:v>
      </x:c>
      <x:c r="G394" s="1" t="n">
        <x:v>2.5</x:v>
      </x:c>
      <x:c r="H394" s="1" t="n">
        <x:v>800</x:v>
      </x:c>
      <x:c r="I394" s="1" t="n">
        <x:v>800</x:v>
      </x:c>
      <x:c r="J394" s="1" t="str">
        <x:v>$800</x:v>
      </x:c>
      <x:c r="K394" s="1" t="str">
        <x:v>$800</x:v>
      </x:c>
      <x:c r="L394" s="1" t="str">
        <x:v>true</x:v>
      </x:c>
      <x:c r="M394" s="1" t="str">
        <x:v>1,344 sq. ft.</x:v>
      </x:c>
      <x:c r="N394" s="1" t="n">
        <x:v>1</x:v>
      </x:c>
      <x:c r="O394" s="1" t="str">
        <x:v>AvailableNow</x:v>
      </x:c>
      <x:c r="P394" s="1" t="str">
        <x:v>Rentals Available</x:v>
      </x:c>
      <x:c r="Q394" s="1" t="n">
        <x:v>25569.999988425927</x:v>
      </x:c>
      <x:c r="R394" s="1" t="str"/>
      <x:c r="S394" s="1" t="str"/>
      <x:c r="T394" s="1" t="str">
        <x:v>N/A</x:v>
      </x:c>
      <x:c r="U394" s="1" t="str">
        <x:v>N/A</x:v>
      </x:c>
      <x:c r="V394" s="1" t="str">
        <x:v>2</x:v>
      </x:c>
      <x:c r="W394" s="1" t="str"/>
      <x:c r="X394" s="1" t="str">
        <x:v>false</x:v>
      </x:c>
      <x:c r="Y394" s="1" t="str">
        <x:v>false</x:v>
      </x:c>
      <x:c r="Z394" s="1" t="str">
        <x:v>[]</x:v>
      </x:c>
    </x:row>
    <x:row r="395" ht="15" hidden="0" customHeight="1">
      <x:c r="A395" s="1" t="str">
        <x:v>6mnn0qr</x:v>
      </x:c>
      <x:c r="B395" s="5" t="str">
        <x:v>Live on Hillsborough</x:v>
      </x:c>
      <x:c r="C395" s="1" t="str">
        <x:v>2935998</x:v>
      </x:c>
      <x:c r="D395" s="1" t="str">
        <x:v>hd7ezf3</x:v>
      </x:c>
      <x:c r="E395" s="1" t="str">
        <x:v>Bldg 109 1x1</x:v>
      </x:c>
      <x:c r="F395" s="1" t="n">
        <x:v>1</x:v>
      </x:c>
      <x:c r="G395" s="1" t="n">
        <x:v>1</x:v>
      </x:c>
      <x:c r="H395" s="1" t="n">
        <x:v>1409</x:v>
      </x:c>
      <x:c r="I395" s="1" t="n">
        <x:v>1409</x:v>
      </x:c>
      <x:c r="J395" s="1" t="str">
        <x:v>$1,409</x:v>
      </x:c>
      <x:c r="K395" s="1" t="str">
        <x:v>$1,424</x:v>
      </x:c>
      <x:c r="L395" s="1" t="str">
        <x:v>false</x:v>
      </x:c>
      <x:c r="M395" s="1" t="str">
        <x:v>540 sq. ft.</x:v>
      </x:c>
      <x:c r="N395" s="1" t="n">
        <x:v>1</x:v>
      </x:c>
      <x:c r="O395" s="1" t="str">
        <x:v>AvailableNow</x:v>
      </x:c>
      <x:c r="P395" s="1" t="str">
        <x:v>Rentals Available</x:v>
      </x:c>
      <x:c r="Q395" s="1" t="n">
        <x:v>46247.99998842592</x:v>
      </x:c>
      <x:c r="R395" s="1" t="str"/>
      <x:c r="S395" s="1" t="str"/>
      <x:c r="T395" s="1" t="str"/>
      <x:c r="U395" s="1" t="str"/>
      <x:c r="V395" s="1" t="str">
        <x:v>1</x:v>
      </x:c>
      <x:c r="W395" s="1" t="str"/>
      <x:c r="X395" s="1" t="str">
        <x:v>false</x:v>
      </x:c>
      <x:c r="Y395" s="1" t="str">
        <x:v>false</x:v>
      </x:c>
      <x:c r="Z395" s="1" t="str">
        <x:v>[]</x:v>
      </x:c>
    </x:row>
    <x:row r="396" ht="15" hidden="0" customHeight="1">
      <x:c r="A396" s="1" t="str">
        <x:v>6mnn0qr</x:v>
      </x:c>
      <x:c r="B396" s="5" t="str">
        <x:v>Live on Hillsborough</x:v>
      </x:c>
      <x:c r="C396" s="1" t="str">
        <x:v>2935999</x:v>
      </x:c>
      <x:c r="D396" s="1" t="str">
        <x:v>h8qevf0</x:v>
      </x:c>
      <x:c r="E396" s="1" t="str">
        <x:v>Bldg 1301 1x1</x:v>
      </x:c>
      <x:c r="F396" s="1" t="n">
        <x:v>1</x:v>
      </x:c>
      <x:c r="G396" s="1" t="n">
        <x:v>1</x:v>
      </x:c>
      <x:c r="H396" s="1" t="n">
        <x:v>1409</x:v>
      </x:c>
      <x:c r="I396" s="1" t="n">
        <x:v>1409</x:v>
      </x:c>
      <x:c r="J396" s="1" t="str">
        <x:v>$1,409</x:v>
      </x:c>
      <x:c r="K396" s="1" t="str">
        <x:v>$1,424</x:v>
      </x:c>
      <x:c r="L396" s="1" t="str">
        <x:v>false</x:v>
      </x:c>
      <x:c r="M396" s="1" t="str">
        <x:v>540 sq. ft.</x:v>
      </x:c>
      <x:c r="N396" s="1" t="n">
        <x:v>1</x:v>
      </x:c>
      <x:c r="O396" s="1" t="str">
        <x:v>AvailableNow</x:v>
      </x:c>
      <x:c r="P396" s="1" t="str">
        <x:v>Rentals Available</x:v>
      </x:c>
      <x:c r="Q396" s="1" t="n">
        <x:v>46247.99998842592</x:v>
      </x:c>
      <x:c r="R396" s="1" t="str"/>
      <x:c r="S396" s="1" t="str"/>
      <x:c r="T396" s="1" t="str"/>
      <x:c r="U396" s="1" t="str"/>
      <x:c r="V396" s="1" t="str">
        <x:v>1</x:v>
      </x:c>
      <x:c r="W396" s="1" t="str"/>
      <x:c r="X396" s="1" t="str">
        <x:v>false</x:v>
      </x:c>
      <x:c r="Y396" s="1" t="str">
        <x:v>false</x:v>
      </x:c>
      <x:c r="Z396" s="1" t="str">
        <x:v>[]</x:v>
      </x:c>
    </x:row>
    <x:row r="397" ht="15" hidden="0" customHeight="1">
      <x:c r="A397" s="1" t="str">
        <x:v>6mnn0qr</x:v>
      </x:c>
      <x:c r="B397" s="5" t="str">
        <x:v>Live on Hillsborough</x:v>
      </x:c>
      <x:c r="C397" s="1" t="str">
        <x:v>5971714</x:v>
      </x:c>
      <x:c r="D397" s="1" t="str">
        <x:v>jf6he14</x:v>
      </x:c>
      <x:c r="E397" s="1" t="str">
        <x:v>Bldg 1301 Studio</x:v>
      </x:c>
      <x:c r="F397" s="1" t="n">
        <x:v>1</x:v>
      </x:c>
      <x:c r="G397" s="1" t="n">
        <x:v>1</x:v>
      </x:c>
      <x:c r="H397" s="1" t="n">
        <x:v>1409</x:v>
      </x:c>
      <x:c r="I397" s="1" t="n">
        <x:v>1409</x:v>
      </x:c>
      <x:c r="J397" s="1" t="str">
        <x:v>$1,409</x:v>
      </x:c>
      <x:c r="K397" s="1" t="str">
        <x:v>$1,424</x:v>
      </x:c>
      <x:c r="L397" s="1" t="str">
        <x:v>false</x:v>
      </x:c>
      <x:c r="M397" s="1" t="str">
        <x:v>482 sq. ft.</x:v>
      </x:c>
      <x:c r="N397" s="1" t="n">
        <x:v>1</x:v>
      </x:c>
      <x:c r="O397" s="1" t="str">
        <x:v>AvailableNow</x:v>
      </x:c>
      <x:c r="P397" s="1" t="str">
        <x:v>Rentals Available</x:v>
      </x:c>
      <x:c r="Q397" s="1" t="n">
        <x:v>46247.99998842592</x:v>
      </x:c>
      <x:c r="R397" s="1" t="str"/>
      <x:c r="S397" s="1" t="str"/>
      <x:c r="T397" s="1" t="str"/>
      <x:c r="U397" s="1" t="str"/>
      <x:c r="V397" s="1" t="str"/>
      <x:c r="W397" s="1" t="str"/>
      <x:c r="X397" s="1" t="str">
        <x:v>false</x:v>
      </x:c>
      <x:c r="Y397" s="1" t="str">
        <x:v>false</x:v>
      </x:c>
      <x:c r="Z397" s="1" t="str">
        <x:v>[]</x:v>
      </x:c>
    </x:row>
    <x:row r="398" ht="15" hidden="0" customHeight="1">
      <x:c r="A398" s="1" t="str">
        <x:v>6mnn0qr</x:v>
      </x:c>
      <x:c r="B398" s="5" t="str">
        <x:v>Live on Hillsborough</x:v>
      </x:c>
      <x:c r="C398" s="1" t="str">
        <x:v>2861437</x:v>
      </x:c>
      <x:c r="D398" s="1" t="str">
        <x:v>kkwrhpc</x:v>
      </x:c>
      <x:c r="E398" s="1" t="str">
        <x:v>Bldg 103 1x1</x:v>
      </x:c>
      <x:c r="F398" s="1" t="n">
        <x:v>1</x:v>
      </x:c>
      <x:c r="G398" s="1" t="n">
        <x:v>1</x:v>
      </x:c>
      <x:c r="H398" s="1" t="n">
        <x:v>1435</x:v>
      </x:c>
      <x:c r="I398" s="1" t="n">
        <x:v>1435</x:v>
      </x:c>
      <x:c r="J398" s="1" t="str">
        <x:v>$1,435</x:v>
      </x:c>
      <x:c r="K398" s="1" t="str">
        <x:v>$1,450</x:v>
      </x:c>
      <x:c r="L398" s="1" t="str">
        <x:v>false</x:v>
      </x:c>
      <x:c r="M398" s="1" t="str">
        <x:v>540 sq. ft.</x:v>
      </x:c>
      <x:c r="N398" s="1" t="n">
        <x:v>1</x:v>
      </x:c>
      <x:c r="O398" s="1" t="str">
        <x:v>AvailableNow</x:v>
      </x:c>
      <x:c r="P398" s="1" t="str">
        <x:v>Rentals Available</x:v>
      </x:c>
      <x:c r="Q398" s="1" t="n">
        <x:v>46247.99998842592</x:v>
      </x:c>
      <x:c r="R398" s="1" t="str"/>
      <x:c r="S398" s="1" t="str"/>
      <x:c r="T398" s="1" t="str"/>
      <x:c r="U398" s="1" t="str"/>
      <x:c r="V398" s="1" t="str">
        <x:v>1</x:v>
      </x:c>
      <x:c r="W398" s="1" t="str"/>
      <x:c r="X398" s="1" t="str">
        <x:v>false</x:v>
      </x:c>
      <x:c r="Y398" s="1" t="str">
        <x:v>false</x:v>
      </x:c>
      <x:c r="Z398" s="1" t="str">
        <x:v>[]</x:v>
      </x:c>
    </x:row>
    <x:row r="399" ht="15" hidden="0" customHeight="1">
      <x:c r="A399" s="1" t="str">
        <x:v>6mnn0qr</x:v>
      </x:c>
      <x:c r="B399" s="5" t="str">
        <x:v>Live on Hillsborough</x:v>
      </x:c>
      <x:c r="C399" s="1" t="str">
        <x:v>2935995</x:v>
      </x:c>
      <x:c r="D399" s="1" t="str">
        <x:v>hbzesy1</x:v>
      </x:c>
      <x:c r="E399" s="1" t="str">
        <x:v>Bldg 104 1x1</x:v>
      </x:c>
      <x:c r="F399" s="1" t="n">
        <x:v>1</x:v>
      </x:c>
      <x:c r="G399" s="1" t="n">
        <x:v>1</x:v>
      </x:c>
      <x:c r="H399" s="1" t="n">
        <x:v>1435</x:v>
      </x:c>
      <x:c r="I399" s="1" t="n">
        <x:v>1435</x:v>
      </x:c>
      <x:c r="J399" s="1" t="str">
        <x:v>$1,435</x:v>
      </x:c>
      <x:c r="K399" s="1" t="str">
        <x:v>$1,450</x:v>
      </x:c>
      <x:c r="L399" s="1" t="str">
        <x:v>false</x:v>
      </x:c>
      <x:c r="M399" s="1" t="str">
        <x:v>540 sq. ft.</x:v>
      </x:c>
      <x:c r="N399" s="1" t="n">
        <x:v>1</x:v>
      </x:c>
      <x:c r="O399" s="1" t="str">
        <x:v>AvailableNow</x:v>
      </x:c>
      <x:c r="P399" s="1" t="str">
        <x:v>Rentals Available</x:v>
      </x:c>
      <x:c r="Q399" s="1" t="n">
        <x:v>46247.99998842592</x:v>
      </x:c>
      <x:c r="R399" s="1" t="str"/>
      <x:c r="S399" s="1" t="str"/>
      <x:c r="T399" s="1" t="str"/>
      <x:c r="U399" s="1" t="str"/>
      <x:c r="V399" s="1" t="str">
        <x:v>1</x:v>
      </x:c>
      <x:c r="W399" s="1" t="str"/>
      <x:c r="X399" s="1" t="str">
        <x:v>false</x:v>
      </x:c>
      <x:c r="Y399" s="1" t="str">
        <x:v>false</x:v>
      </x:c>
      <x:c r="Z399" s="1" t="str">
        <x:v>[]</x:v>
      </x:c>
    </x:row>
    <x:row r="400" ht="15" hidden="0" customHeight="1">
      <x:c r="A400" s="1" t="str">
        <x:v>6mnn0qr</x:v>
      </x:c>
      <x:c r="B400" s="5" t="str">
        <x:v>Live on Hillsborough</x:v>
      </x:c>
      <x:c r="C400" s="1" t="str">
        <x:v>2935996</x:v>
      </x:c>
      <x:c r="D400" s="1" t="str">
        <x:v>xkxtjxq</x:v>
      </x:c>
      <x:c r="E400" s="1" t="str">
        <x:v>Bldg 2811 1x1</x:v>
      </x:c>
      <x:c r="F400" s="1" t="n">
        <x:v>1</x:v>
      </x:c>
      <x:c r="G400" s="1" t="n">
        <x:v>1</x:v>
      </x:c>
      <x:c r="H400" s="1" t="n">
        <x:v>1435</x:v>
      </x:c>
      <x:c r="I400" s="1" t="n">
        <x:v>1435</x:v>
      </x:c>
      <x:c r="J400" s="1" t="str">
        <x:v>$1,435</x:v>
      </x:c>
      <x:c r="K400" s="1" t="str">
        <x:v>$1,450</x:v>
      </x:c>
      <x:c r="L400" s="1" t="str">
        <x:v>false</x:v>
      </x:c>
      <x:c r="M400" s="1" t="str">
        <x:v>540 sq. ft.</x:v>
      </x:c>
      <x:c r="N400" s="1" t="n">
        <x:v>0</x:v>
      </x:c>
      <x:c r="O400" s="1" t="str">
        <x:v>AvailableSoon</x:v>
      </x:c>
      <x:c r="P400" s="1" t="str">
        <x:v>Available Soon</x:v>
      </x:c>
      <x:c r="Q400" s="1" t="str"/>
      <x:c r="R400" s="1" t="str"/>
      <x:c r="S400" s="1" t="str"/>
      <x:c r="T400" s="1" t="str"/>
      <x:c r="U400" s="1" t="str"/>
      <x:c r="V400" s="1" t="str"/>
      <x:c r="W400" s="1" t="str"/>
      <x:c r="X400" s="1" t="str">
        <x:v>false</x:v>
      </x:c>
      <x:c r="Y400" s="1" t="str">
        <x:v>false</x:v>
      </x:c>
      <x:c r="Z400" s="1" t="str">
        <x:v>[]</x:v>
      </x:c>
    </x:row>
    <x:row r="401" ht="15" hidden="0" customHeight="1">
      <x:c r="A401" s="1" t="str">
        <x:v>6mnn0qr</x:v>
      </x:c>
      <x:c r="B401" s="5" t="str">
        <x:v>Live on Hillsborough</x:v>
      </x:c>
      <x:c r="C401" s="1" t="str">
        <x:v>3332080</x:v>
      </x:c>
      <x:c r="D401" s="1" t="str">
        <x:v>d67yj0k</x:v>
      </x:c>
      <x:c r="E401" s="1" t="str">
        <x:v>Bldg 2604 1x1</x:v>
      </x:c>
      <x:c r="F401" s="1" t="n">
        <x:v>1</x:v>
      </x:c>
      <x:c r="G401" s="1" t="n">
        <x:v>1</x:v>
      </x:c>
      <x:c r="H401" s="1" t="n">
        <x:v>1435</x:v>
      </x:c>
      <x:c r="I401" s="1" t="n">
        <x:v>1435</x:v>
      </x:c>
      <x:c r="J401" s="1" t="str">
        <x:v>$1,435</x:v>
      </x:c>
      <x:c r="K401" s="1" t="str">
        <x:v>$1,450</x:v>
      </x:c>
      <x:c r="L401" s="1" t="str">
        <x:v>false</x:v>
      </x:c>
      <x:c r="M401" s="1" t="str">
        <x:v>540 sq. ft.</x:v>
      </x:c>
      <x:c r="N401" s="1" t="n">
        <x:v>0</x:v>
      </x:c>
      <x:c r="O401" s="1" t="str">
        <x:v>AvailableSoon</x:v>
      </x:c>
      <x:c r="P401" s="1" t="str">
        <x:v>Available Soon</x:v>
      </x:c>
      <x:c r="Q401" s="1" t="str"/>
      <x:c r="R401" s="1" t="str"/>
      <x:c r="S401" s="1" t="str"/>
      <x:c r="T401" s="1" t="str"/>
      <x:c r="U401" s="1" t="str"/>
      <x:c r="V401" s="1" t="str"/>
      <x:c r="W401" s="1" t="str"/>
      <x:c r="X401" s="1" t="str">
        <x:v>false</x:v>
      </x:c>
      <x:c r="Y401" s="1" t="str">
        <x:v>false</x:v>
      </x:c>
      <x:c r="Z401" s="1" t="str">
        <x:v>[]</x:v>
      </x:c>
    </x:row>
    <x:row r="402" ht="15" hidden="0" customHeight="1">
      <x:c r="A402" s="1" t="str">
        <x:v>6mnn0qr</x:v>
      </x:c>
      <x:c r="B402" s="5" t="str">
        <x:v>Live on Hillsborough</x:v>
      </x:c>
      <x:c r="C402" s="1" t="str">
        <x:v>2936001</x:v>
      </x:c>
      <x:c r="D402" s="1" t="str">
        <x:v>6hnvc0r</x:v>
      </x:c>
      <x:c r="E402" s="1" t="str">
        <x:v>Bldg 109 2x2</x:v>
      </x:c>
      <x:c r="F402" s="1" t="n">
        <x:v>2</x:v>
      </x:c>
      <x:c r="G402" s="1" t="n">
        <x:v>2</x:v>
      </x:c>
      <x:c r="H402" s="1" t="n">
        <x:v>1209</x:v>
      </x:c>
      <x:c r="I402" s="1" t="n">
        <x:v>1209</x:v>
      </x:c>
      <x:c r="J402" s="1" t="str">
        <x:v>$1,209</x:v>
      </x:c>
      <x:c r="K402" s="1" t="str">
        <x:v>$1,224</x:v>
      </x:c>
      <x:c r="L402" s="1" t="str">
        <x:v>true</x:v>
      </x:c>
      <x:c r="M402" s="1" t="str">
        <x:v>732 sq. ft.</x:v>
      </x:c>
      <x:c r="N402" s="1" t="n">
        <x:v>1</x:v>
      </x:c>
      <x:c r="O402" s="1" t="str">
        <x:v>AvailableNow</x:v>
      </x:c>
      <x:c r="P402" s="1" t="str">
        <x:v>Rentals Available</x:v>
      </x:c>
      <x:c r="Q402" s="1" t="n">
        <x:v>46247.99998842592</x:v>
      </x:c>
      <x:c r="R402" s="1" t="str"/>
      <x:c r="S402" s="1" t="str"/>
      <x:c r="T402" s="1" t="str"/>
      <x:c r="U402" s="1" t="str"/>
      <x:c r="V402" s="1" t="str">
        <x:v>2</x:v>
      </x:c>
      <x:c r="W402" s="1" t="str"/>
      <x:c r="X402" s="1" t="str">
        <x:v>false</x:v>
      </x:c>
      <x:c r="Y402" s="1" t="str">
        <x:v>false</x:v>
      </x:c>
      <x:c r="Z402" s="1" t="str">
        <x:v>[]</x:v>
      </x:c>
    </x:row>
    <x:row r="403" ht="15" hidden="0" customHeight="1">
      <x:c r="A403" s="1" t="str">
        <x:v>6mnn0qr</x:v>
      </x:c>
      <x:c r="B403" s="5" t="str">
        <x:v>Live on Hillsborough</x:v>
      </x:c>
      <x:c r="C403" s="1" t="str">
        <x:v>2936002</x:v>
      </x:c>
      <x:c r="D403" s="1" t="str">
        <x:v>vbxw1zg</x:v>
      </x:c>
      <x:c r="E403" s="1" t="str">
        <x:v>Bldg 1301 2x2</x:v>
      </x:c>
      <x:c r="F403" s="1" t="n">
        <x:v>2</x:v>
      </x:c>
      <x:c r="G403" s="1" t="n">
        <x:v>2</x:v>
      </x:c>
      <x:c r="H403" s="1" t="n">
        <x:v>1209</x:v>
      </x:c>
      <x:c r="I403" s="1" t="n">
        <x:v>1209</x:v>
      </x:c>
      <x:c r="J403" s="1" t="str">
        <x:v>$1,209</x:v>
      </x:c>
      <x:c r="K403" s="1" t="str">
        <x:v>$1,224</x:v>
      </x:c>
      <x:c r="L403" s="1" t="str">
        <x:v>true</x:v>
      </x:c>
      <x:c r="M403" s="1" t="str">
        <x:v>732 sq. ft.</x:v>
      </x:c>
      <x:c r="N403" s="1" t="n">
        <x:v>1</x:v>
      </x:c>
      <x:c r="O403" s="1" t="str">
        <x:v>AvailableNow</x:v>
      </x:c>
      <x:c r="P403" s="1" t="str">
        <x:v>Rentals Available</x:v>
      </x:c>
      <x:c r="Q403" s="1" t="n">
        <x:v>46247.99998842592</x:v>
      </x:c>
      <x:c r="R403" s="1" t="str"/>
      <x:c r="S403" s="1" t="str"/>
      <x:c r="T403" s="1" t="str"/>
      <x:c r="U403" s="1" t="str"/>
      <x:c r="V403" s="1" t="str">
        <x:v>2</x:v>
      </x:c>
      <x:c r="W403" s="1" t="str"/>
      <x:c r="X403" s="1" t="str">
        <x:v>false</x:v>
      </x:c>
      <x:c r="Y403" s="1" t="str">
        <x:v>false</x:v>
      </x:c>
      <x:c r="Z403" s="1" t="str">
        <x:v>[]</x:v>
      </x:c>
    </x:row>
    <x:row r="404" ht="15" hidden="0" customHeight="1">
      <x:c r="A404" s="1" t="str">
        <x:v>6mnn0qr</x:v>
      </x:c>
      <x:c r="B404" s="5" t="str">
        <x:v>Live on Hillsborough</x:v>
      </x:c>
      <x:c r="C404" s="1" t="str">
        <x:v>2861438</x:v>
      </x:c>
      <x:c r="D404" s="1" t="str">
        <x:v>sky98q5</x:v>
      </x:c>
      <x:c r="E404" s="1" t="str">
        <x:v>Bldg 103 2x2</x:v>
      </x:c>
      <x:c r="F404" s="1" t="n">
        <x:v>2</x:v>
      </x:c>
      <x:c r="G404" s="1" t="n">
        <x:v>2</x:v>
      </x:c>
      <x:c r="H404" s="1" t="n">
        <x:v>1235</x:v>
      </x:c>
      <x:c r="I404" s="1" t="n">
        <x:v>1235</x:v>
      </x:c>
      <x:c r="J404" s="1" t="str">
        <x:v>$1,235</x:v>
      </x:c>
      <x:c r="K404" s="1" t="str">
        <x:v>$1,250</x:v>
      </x:c>
      <x:c r="L404" s="1" t="str">
        <x:v>true</x:v>
      </x:c>
      <x:c r="M404" s="1" t="str">
        <x:v>732 sq. ft.</x:v>
      </x:c>
      <x:c r="N404" s="1" t="n">
        <x:v>1</x:v>
      </x:c>
      <x:c r="O404" s="1" t="str">
        <x:v>AvailableNow</x:v>
      </x:c>
      <x:c r="P404" s="1" t="str">
        <x:v>Rentals Available</x:v>
      </x:c>
      <x:c r="Q404" s="1" t="n">
        <x:v>46247.99998842592</x:v>
      </x:c>
      <x:c r="R404" s="1" t="str"/>
      <x:c r="S404" s="1" t="str"/>
      <x:c r="T404" s="1" t="str"/>
      <x:c r="U404" s="1" t="str"/>
      <x:c r="V404" s="1" t="str">
        <x:v>2</x:v>
      </x:c>
      <x:c r="W404" s="1" t="str"/>
      <x:c r="X404" s="1" t="str">
        <x:v>false</x:v>
      </x:c>
      <x:c r="Y404" s="1" t="str">
        <x:v>false</x:v>
      </x:c>
      <x:c r="Z404" s="1" t="str">
        <x:v>[]</x:v>
      </x:c>
    </x:row>
    <x:row r="405" ht="15" hidden="0" customHeight="1">
      <x:c r="A405" s="1" t="str">
        <x:v>6mnn0qr</x:v>
      </x:c>
      <x:c r="B405" s="5" t="str">
        <x:v>Live on Hillsborough</x:v>
      </x:c>
      <x:c r="C405" s="1" t="str">
        <x:v>2936000</x:v>
      </x:c>
      <x:c r="D405" s="1" t="str">
        <x:v>4sjstsh</x:v>
      </x:c>
      <x:c r="E405" s="1" t="str">
        <x:v>Bldg 104 2x2</x:v>
      </x:c>
      <x:c r="F405" s="1" t="n">
        <x:v>2</x:v>
      </x:c>
      <x:c r="G405" s="1" t="n">
        <x:v>2</x:v>
      </x:c>
      <x:c r="H405" s="1" t="n">
        <x:v>1235</x:v>
      </x:c>
      <x:c r="I405" s="1" t="n">
        <x:v>1235</x:v>
      </x:c>
      <x:c r="J405" s="1" t="str">
        <x:v>$1,235</x:v>
      </x:c>
      <x:c r="K405" s="1" t="str">
        <x:v>$1,250</x:v>
      </x:c>
      <x:c r="L405" s="1" t="str">
        <x:v>true</x:v>
      </x:c>
      <x:c r="M405" s="1" t="str">
        <x:v>732 sq. ft.</x:v>
      </x:c>
      <x:c r="N405" s="1" t="n">
        <x:v>1</x:v>
      </x:c>
      <x:c r="O405" s="1" t="str">
        <x:v>AvailableNow</x:v>
      </x:c>
      <x:c r="P405" s="1" t="str">
        <x:v>Rentals Available</x:v>
      </x:c>
      <x:c r="Q405" s="1" t="n">
        <x:v>46247.99998842592</x:v>
      </x:c>
      <x:c r="R405" s="1" t="str"/>
      <x:c r="S405" s="1" t="str"/>
      <x:c r="T405" s="1" t="str"/>
      <x:c r="U405" s="1" t="str"/>
      <x:c r="V405" s="1" t="str">
        <x:v>2</x:v>
      </x:c>
      <x:c r="W405" s="1" t="str"/>
      <x:c r="X405" s="1" t="str">
        <x:v>false</x:v>
      </x:c>
      <x:c r="Y405" s="1" t="str">
        <x:v>false</x:v>
      </x:c>
      <x:c r="Z405" s="1" t="str">
        <x:v>[]</x:v>
      </x:c>
    </x:row>
    <x:row r="406" ht="15" hidden="0" customHeight="1">
      <x:c r="A406" s="1" t="str">
        <x:v>6mnn0qr</x:v>
      </x:c>
      <x:c r="B406" s="5" t="str">
        <x:v>Live on Hillsborough</x:v>
      </x:c>
      <x:c r="C406" s="1" t="str">
        <x:v>2936005</x:v>
      </x:c>
      <x:c r="D406" s="1" t="str">
        <x:v>nkwkjvq</x:v>
      </x:c>
      <x:c r="E406" s="1" t="str">
        <x:v>Bldg 1301 3x3</x:v>
      </x:c>
      <x:c r="F406" s="1" t="n">
        <x:v>3</x:v>
      </x:c>
      <x:c r="G406" s="1" t="n">
        <x:v>3</x:v>
      </x:c>
      <x:c r="H406" s="1" t="n">
        <x:v>979</x:v>
      </x:c>
      <x:c r="I406" s="1" t="n">
        <x:v>979</x:v>
      </x:c>
      <x:c r="J406" s="1" t="str">
        <x:v>$979</x:v>
      </x:c>
      <x:c r="K406" s="1" t="str">
        <x:v>$994</x:v>
      </x:c>
      <x:c r="L406" s="1" t="str">
        <x:v>true</x:v>
      </x:c>
      <x:c r="M406" s="1" t="str">
        <x:v>1,050 sq. ft.</x:v>
      </x:c>
      <x:c r="N406" s="1" t="n">
        <x:v>1</x:v>
      </x:c>
      <x:c r="O406" s="1" t="str">
        <x:v>AvailableNow</x:v>
      </x:c>
      <x:c r="P406" s="1" t="str">
        <x:v>Rentals Available</x:v>
      </x:c>
      <x:c r="Q406" s="1" t="n">
        <x:v>46247.99998842592</x:v>
      </x:c>
      <x:c r="R406" s="1" t="str"/>
      <x:c r="S406" s="1" t="str"/>
      <x:c r="T406" s="1" t="str"/>
      <x:c r="U406" s="1" t="str"/>
      <x:c r="V406" s="1" t="str">
        <x:v>3</x:v>
      </x:c>
      <x:c r="W406" s="1" t="str"/>
      <x:c r="X406" s="1" t="str">
        <x:v>false</x:v>
      </x:c>
      <x:c r="Y406" s="1" t="str">
        <x:v>false</x:v>
      </x:c>
      <x:c r="Z406" s="1" t="str">
        <x:v>[]</x:v>
      </x:c>
    </x:row>
    <x:row r="407" ht="15" hidden="0" customHeight="1">
      <x:c r="A407" s="1" t="str">
        <x:v>6mnn0qr</x:v>
      </x:c>
      <x:c r="B407" s="5" t="str">
        <x:v>Live on Hillsborough</x:v>
      </x:c>
      <x:c r="C407" s="1" t="str">
        <x:v>2936006</x:v>
      </x:c>
      <x:c r="D407" s="1" t="str">
        <x:v>22xz9l9</x:v>
      </x:c>
      <x:c r="E407" s="1" t="str">
        <x:v>Bldg 2604 3x3</x:v>
      </x:c>
      <x:c r="F407" s="1" t="n">
        <x:v>3</x:v>
      </x:c>
      <x:c r="G407" s="1" t="n">
        <x:v>3</x:v>
      </x:c>
      <x:c r="H407" s="1" t="n">
        <x:v>979</x:v>
      </x:c>
      <x:c r="I407" s="1" t="n">
        <x:v>979</x:v>
      </x:c>
      <x:c r="J407" s="1" t="str">
        <x:v>$979</x:v>
      </x:c>
      <x:c r="K407" s="1" t="str">
        <x:v>$994</x:v>
      </x:c>
      <x:c r="L407" s="1" t="str">
        <x:v>true</x:v>
      </x:c>
      <x:c r="M407" s="1" t="str">
        <x:v>1,050 sq. ft.</x:v>
      </x:c>
      <x:c r="N407" s="1" t="n">
        <x:v>1</x:v>
      </x:c>
      <x:c r="O407" s="1" t="str">
        <x:v>AvailableNow</x:v>
      </x:c>
      <x:c r="P407" s="1" t="str">
        <x:v>Rentals Available</x:v>
      </x:c>
      <x:c r="Q407" s="1" t="n">
        <x:v>46247.99998842592</x:v>
      </x:c>
      <x:c r="R407" s="1" t="str"/>
      <x:c r="S407" s="1" t="str"/>
      <x:c r="T407" s="1" t="str"/>
      <x:c r="U407" s="1" t="str"/>
      <x:c r="V407" s="1" t="str">
        <x:v>3</x:v>
      </x:c>
      <x:c r="W407" s="1" t="str"/>
      <x:c r="X407" s="1" t="str">
        <x:v>false</x:v>
      </x:c>
      <x:c r="Y407" s="1" t="str">
        <x:v>false</x:v>
      </x:c>
      <x:c r="Z407" s="1" t="str">
        <x:v>[]</x:v>
      </x:c>
    </x:row>
    <x:row r="408" ht="15" hidden="0" customHeight="1">
      <x:c r="A408" s="1" t="str">
        <x:v>6mnn0qr</x:v>
      </x:c>
      <x:c r="B408" s="5" t="str">
        <x:v>Live on Hillsborough</x:v>
      </x:c>
      <x:c r="C408" s="1" t="str">
        <x:v>2936007</x:v>
      </x:c>
      <x:c r="D408" s="1" t="str">
        <x:v>r9k5th0</x:v>
      </x:c>
      <x:c r="E408" s="1" t="str">
        <x:v>Bldg 2811 3x3</x:v>
      </x:c>
      <x:c r="F408" s="1" t="n">
        <x:v>3</x:v>
      </x:c>
      <x:c r="G408" s="1" t="n">
        <x:v>3</x:v>
      </x:c>
      <x:c r="H408" s="1" t="n">
        <x:v>979</x:v>
      </x:c>
      <x:c r="I408" s="1" t="n">
        <x:v>979</x:v>
      </x:c>
      <x:c r="J408" s="1" t="str">
        <x:v>$979</x:v>
      </x:c>
      <x:c r="K408" s="1" t="str">
        <x:v>$994</x:v>
      </x:c>
      <x:c r="L408" s="1" t="str">
        <x:v>true</x:v>
      </x:c>
      <x:c r="M408" s="1" t="str">
        <x:v>1,050 sq. ft.</x:v>
      </x:c>
      <x:c r="N408" s="1" t="n">
        <x:v>1</x:v>
      </x:c>
      <x:c r="O408" s="1" t="str">
        <x:v>AvailableNow</x:v>
      </x:c>
      <x:c r="P408" s="1" t="str">
        <x:v>Rentals Available</x:v>
      </x:c>
      <x:c r="Q408" s="1" t="n">
        <x:v>46247.99998842592</x:v>
      </x:c>
      <x:c r="R408" s="1" t="str"/>
      <x:c r="S408" s="1" t="str"/>
      <x:c r="T408" s="1" t="str"/>
      <x:c r="U408" s="1" t="str"/>
      <x:c r="V408" s="1" t="str">
        <x:v>3</x:v>
      </x:c>
      <x:c r="W408" s="1" t="str"/>
      <x:c r="X408" s="1" t="str">
        <x:v>false</x:v>
      </x:c>
      <x:c r="Y408" s="1" t="str">
        <x:v>false</x:v>
      </x:c>
      <x:c r="Z408" s="1" t="str">
        <x:v>[]</x:v>
      </x:c>
    </x:row>
    <x:row r="409" ht="15" hidden="0" customHeight="1">
      <x:c r="A409" s="1" t="str">
        <x:v>6mnn0qr</x:v>
      </x:c>
      <x:c r="B409" s="5" t="str">
        <x:v>Live on Hillsborough</x:v>
      </x:c>
      <x:c r="C409" s="1" t="str">
        <x:v>2936004</x:v>
      </x:c>
      <x:c r="D409" s="1" t="str">
        <x:v>zsjr2my</x:v>
      </x:c>
      <x:c r="E409" s="1" t="str">
        <x:v>Bldg 109 3x3</x:v>
      </x:c>
      <x:c r="F409" s="1" t="n">
        <x:v>3</x:v>
      </x:c>
      <x:c r="G409" s="1" t="n">
        <x:v>3</x:v>
      </x:c>
      <x:c r="H409" s="1" t="n">
        <x:v>985</x:v>
      </x:c>
      <x:c r="I409" s="1" t="n">
        <x:v>985</x:v>
      </x:c>
      <x:c r="J409" s="1" t="str">
        <x:v>$985</x:v>
      </x:c>
      <x:c r="K409" s="1" t="str">
        <x:v>$1,000</x:v>
      </x:c>
      <x:c r="L409" s="1" t="str">
        <x:v>true</x:v>
      </x:c>
      <x:c r="M409" s="1" t="str">
        <x:v>1,050 sq. ft.</x:v>
      </x:c>
      <x:c r="N409" s="1" t="n">
        <x:v>1</x:v>
      </x:c>
      <x:c r="O409" s="1" t="str">
        <x:v>AvailableNow</x:v>
      </x:c>
      <x:c r="P409" s="1" t="str">
        <x:v>Rentals Available</x:v>
      </x:c>
      <x:c r="Q409" s="1" t="n">
        <x:v>46247.99998842592</x:v>
      </x:c>
      <x:c r="R409" s="1" t="str"/>
      <x:c r="S409" s="1" t="str"/>
      <x:c r="T409" s="1" t="str"/>
      <x:c r="U409" s="1" t="str"/>
      <x:c r="V409" s="1" t="str">
        <x:v>3</x:v>
      </x:c>
      <x:c r="W409" s="1" t="str"/>
      <x:c r="X409" s="1" t="str">
        <x:v>false</x:v>
      </x:c>
      <x:c r="Y409" s="1" t="str">
        <x:v>false</x:v>
      </x:c>
      <x:c r="Z409" s="1" t="str">
        <x:v>[]</x:v>
      </x:c>
    </x:row>
    <x:row r="410" ht="15" hidden="0" customHeight="1">
      <x:c r="A410" s="1" t="str">
        <x:v>6mnn0qr</x:v>
      </x:c>
      <x:c r="B410" s="5" t="str">
        <x:v>Live on Hillsborough</x:v>
      </x:c>
      <x:c r="C410" s="1" t="str">
        <x:v>2861439</x:v>
      </x:c>
      <x:c r="D410" s="1" t="str">
        <x:v>e3rx90n</x:v>
      </x:c>
      <x:c r="E410" s="1" t="str">
        <x:v>Bldg 103 3x3</x:v>
      </x:c>
      <x:c r="F410" s="1" t="n">
        <x:v>3</x:v>
      </x:c>
      <x:c r="G410" s="1" t="n">
        <x:v>3</x:v>
      </x:c>
      <x:c r="H410" s="1" t="n">
        <x:v>1059</x:v>
      </x:c>
      <x:c r="I410" s="1" t="n">
        <x:v>1059</x:v>
      </x:c>
      <x:c r="J410" s="1" t="str">
        <x:v>$1,059</x:v>
      </x:c>
      <x:c r="K410" s="1" t="str">
        <x:v>$1,074</x:v>
      </x:c>
      <x:c r="L410" s="1" t="str">
        <x:v>true</x:v>
      </x:c>
      <x:c r="M410" s="1" t="str">
        <x:v>1,050 sq. ft.</x:v>
      </x:c>
      <x:c r="N410" s="1" t="n">
        <x:v>1</x:v>
      </x:c>
      <x:c r="O410" s="1" t="str">
        <x:v>AvailableNow</x:v>
      </x:c>
      <x:c r="P410" s="1" t="str">
        <x:v>Rentals Available</x:v>
      </x:c>
      <x:c r="Q410" s="1" t="n">
        <x:v>46247.99998842592</x:v>
      </x:c>
      <x:c r="R410" s="1" t="str"/>
      <x:c r="S410" s="1" t="str"/>
      <x:c r="T410" s="1" t="str"/>
      <x:c r="U410" s="1" t="str"/>
      <x:c r="V410" s="1" t="str">
        <x:v>3</x:v>
      </x:c>
      <x:c r="W410" s="1" t="str"/>
      <x:c r="X410" s="1" t="str">
        <x:v>false</x:v>
      </x:c>
      <x:c r="Y410" s="1" t="str">
        <x:v>false</x:v>
      </x:c>
      <x:c r="Z410" s="1" t="str">
        <x:v>[]</x:v>
      </x:c>
    </x:row>
    <x:row r="411" ht="15" hidden="0" customHeight="1">
      <x:c r="A411" s="1" t="str">
        <x:v>6mnn0qr</x:v>
      </x:c>
      <x:c r="B411" s="5" t="str">
        <x:v>Live on Hillsborough</x:v>
      </x:c>
      <x:c r="C411" s="1" t="str">
        <x:v>2936003</x:v>
      </x:c>
      <x:c r="D411" s="1" t="str">
        <x:v>drmjv7h</x:v>
      </x:c>
      <x:c r="E411" s="1" t="str">
        <x:v>Bldg 104 3x3</x:v>
      </x:c>
      <x:c r="F411" s="1" t="n">
        <x:v>3</x:v>
      </x:c>
      <x:c r="G411" s="1" t="n">
        <x:v>3</x:v>
      </x:c>
      <x:c r="H411" s="1" t="n">
        <x:v>1059</x:v>
      </x:c>
      <x:c r="I411" s="1" t="n">
        <x:v>1059</x:v>
      </x:c>
      <x:c r="J411" s="1" t="str">
        <x:v>$1,059</x:v>
      </x:c>
      <x:c r="K411" s="1" t="str">
        <x:v>$1,074</x:v>
      </x:c>
      <x:c r="L411" s="1" t="str">
        <x:v>true</x:v>
      </x:c>
      <x:c r="M411" s="1" t="str">
        <x:v>1,050 sq. ft.</x:v>
      </x:c>
      <x:c r="N411" s="1" t="n">
        <x:v>1</x:v>
      </x:c>
      <x:c r="O411" s="1" t="str">
        <x:v>AvailableNow</x:v>
      </x:c>
      <x:c r="P411" s="1" t="str">
        <x:v>Rentals Available</x:v>
      </x:c>
      <x:c r="Q411" s="1" t="n">
        <x:v>46247.99998842592</x:v>
      </x:c>
      <x:c r="R411" s="1" t="str"/>
      <x:c r="S411" s="1" t="str"/>
      <x:c r="T411" s="1" t="str"/>
      <x:c r="U411" s="1" t="str"/>
      <x:c r="V411" s="1" t="str">
        <x:v>3</x:v>
      </x:c>
      <x:c r="W411" s="1" t="str"/>
      <x:c r="X411" s="1" t="str">
        <x:v>false</x:v>
      </x:c>
      <x:c r="Y411" s="1" t="str">
        <x:v>false</x:v>
      </x:c>
      <x:c r="Z411" s="1" t="str">
        <x:v>[]</x:v>
      </x:c>
    </x:row>
    <x:row r="412" ht="15" hidden="0" customHeight="1">
      <x:c r="A412" s="1" t="str">
        <x:v>ocp74dcp6w</x:v>
      </x:c>
      <x:c r="B412" s="5" t="str">
        <x:v>Crabtree Woods Townhome West Raleigh</x:v>
      </x:c>
      <x:c r="C412" s="1" t="str">
        <x:v>1</x:v>
      </x:c>
      <x:c r="D412" s="1" t="str">
        <x:v>q2j0gkx</x:v>
      </x:c>
      <x:c r="E412" s="1" t="str"/>
      <x:c r="F412" s="1" t="n">
        <x:v>2</x:v>
      </x:c>
      <x:c r="G412" s="1" t="n">
        <x:v>2.5</x:v>
      </x:c>
      <x:c r="H412" s="1" t="n">
        <x:v>1595</x:v>
      </x:c>
      <x:c r="I412" s="1" t="n">
        <x:v>1595</x:v>
      </x:c>
      <x:c r="J412" s="1" t="str">
        <x:v>$1,595</x:v>
      </x:c>
      <x:c r="K412" s="1" t="str">
        <x:v>$1,595</x:v>
      </x:c>
      <x:c r="L412" s="1" t="str">
        <x:v>false</x:v>
      </x:c>
      <x:c r="M412" s="1" t="str">
        <x:v>1,200 sq. ft.</x:v>
      </x:c>
      <x:c r="N412" s="1" t="n">
        <x:v>1</x:v>
      </x:c>
      <x:c r="O412" s="1" t="str">
        <x:v>AvailableNow</x:v>
      </x:c>
      <x:c r="P412" s="1" t="str">
        <x:v>Rentals Available</x:v>
      </x:c>
      <x:c r="Q412" s="1" t="n">
        <x:v>25569.999988425927</x:v>
      </x:c>
      <x:c r="R412" s="1" t="str"/>
      <x:c r="S412" s="1" t="str"/>
      <x:c r="T412" s="1" t="str">
        <x:v>N/A</x:v>
      </x:c>
      <x:c r="U412" s="1" t="str">
        <x:v>N/A</x:v>
      </x:c>
      <x:c r="V412" s="1" t="str">
        <x:v>2</x:v>
      </x:c>
      <x:c r="W412" s="1" t="str"/>
      <x:c r="X412" s="1" t="str">
        <x:v>false</x:v>
      </x:c>
      <x:c r="Y412" s="1" t="str">
        <x:v>false</x:v>
      </x:c>
      <x:c r="Z412" s="1" t="str">
        <x:v>[]</x:v>
      </x:c>
    </x:row>
    <x:row r="413" ht="15" hidden="0" customHeight="1">
      <x:c r="A413" s="1" t="str">
        <x:v>nhblm0q</x:v>
      </x:c>
      <x:c r="B413" s="5" t="str">
        <x:v>Viceroy Apartments</x:v>
      </x:c>
      <x:c r="C413" s="1" t="str">
        <x:v>2102383</x:v>
      </x:c>
      <x:c r="D413" s="1" t="str">
        <x:v>0why1r0</x:v>
      </x:c>
      <x:c r="E413" s="1" t="str">
        <x:v>VR 2x1</x:v>
      </x:c>
      <x:c r="F413" s="1" t="n">
        <x:v>2</x:v>
      </x:c>
      <x:c r="G413" s="1" t="n">
        <x:v>1</x:v>
      </x:c>
      <x:c r="H413" s="1" t="n">
        <x:v>1099</x:v>
      </x:c>
      <x:c r="I413" s="1" t="n">
        <x:v>1099</x:v>
      </x:c>
      <x:c r="J413" s="1" t="str">
        <x:v>$1,099</x:v>
      </x:c>
      <x:c r="K413" s="1" t="str">
        <x:v>$1,099</x:v>
      </x:c>
      <x:c r="L413" s="1" t="str">
        <x:v>false</x:v>
      </x:c>
      <x:c r="M413" s="1" t="str">
        <x:v>840 sq. ft.</x:v>
      </x:c>
      <x:c r="N413" s="1" t="n">
        <x:v>3</x:v>
      </x:c>
      <x:c r="O413" s="1" t="str">
        <x:v>AvailableNow</x:v>
      </x:c>
      <x:c r="P413" s="1" t="str">
        <x:v>Rentals Available</x:v>
      </x:c>
      <x:c r="Q413" s="1" t="n">
        <x:v>46270.99998842592</x:v>
      </x:c>
      <x:c r="R413" s="1" t="str"/>
      <x:c r="S413" s="1" t="str"/>
      <x:c r="T413" s="1" t="str"/>
      <x:c r="U413" s="1" t="str"/>
      <x:c r="V413" s="1" t="str"/>
      <x:c r="W413" s="1" t="str"/>
      <x:c r="X413" s="1" t="str">
        <x:v>false</x:v>
      </x:c>
      <x:c r="Y413" s="1" t="str">
        <x:v>false</x:v>
      </x:c>
      <x:c r="Z413" s="1" t="str">
        <x:v>[]</x:v>
      </x:c>
    </x:row>
    <x:row r="414" ht="15" hidden="0" customHeight="1">
      <x:c r="A414" s="1" t="str">
        <x:v>ocpkb0kbhb</x:v>
      </x:c>
      <x:c r="B414" s="5" t="str">
        <x:v>Great Location - Connected to Centennial Campus</x:v>
      </x:c>
      <x:c r="C414" s="1" t="str">
        <x:v>1</x:v>
      </x:c>
      <x:c r="D414" s="1" t="str">
        <x:v>q2j0gkx</x:v>
      </x:c>
      <x:c r="E414" s="1" t="str"/>
      <x:c r="F414" s="1" t="n">
        <x:v>2</x:v>
      </x:c>
      <x:c r="G414" s="1" t="n">
        <x:v>1</x:v>
      </x:c>
      <x:c r="H414" s="1" t="n">
        <x:v>1240</x:v>
      </x:c>
      <x:c r="I414" s="1" t="n">
        <x:v>1240</x:v>
      </x:c>
      <x:c r="J414" s="1" t="str">
        <x:v>$1,240</x:v>
      </x:c>
      <x:c r="K414" s="1" t="str">
        <x:v>$1,240</x:v>
      </x:c>
      <x:c r="L414" s="1" t="str">
        <x:v>false</x:v>
      </x:c>
      <x:c r="M414" s="1" t="str">
        <x:v>900 sq. ft.</x:v>
      </x:c>
      <x:c r="N414" s="1" t="n">
        <x:v>1</x:v>
      </x:c>
      <x:c r="O414" s="1" t="str">
        <x:v>AvailableNow</x:v>
      </x:c>
      <x:c r="P414" s="1" t="str">
        <x:v>Rentals Available</x:v>
      </x:c>
      <x:c r="Q414" s="1" t="n">
        <x:v>46235.99998842592</x:v>
      </x:c>
      <x:c r="R414" s="1" t="str"/>
      <x:c r="S414" s="1" t="str"/>
      <x:c r="T414" s="1" t="str">
        <x:v>N/A</x:v>
      </x:c>
      <x:c r="U414" s="1" t="str">
        <x:v>N/A</x:v>
      </x:c>
      <x:c r="V414" s="1" t="str">
        <x:v>2</x:v>
      </x:c>
      <x:c r="W414" s="1" t="str"/>
      <x:c r="X414" s="1" t="str">
        <x:v>false</x:v>
      </x:c>
      <x:c r="Y414" s="1" t="str">
        <x:v>false</x:v>
      </x:c>
      <x:c r="Z414" s="1" t="str">
        <x:v>[]</x:v>
      </x:c>
    </x:row>
    <x:row r="415" ht="15" hidden="0" customHeight="1">
      <x:c r="A415" s="1" t="str">
        <x:v>jjs8f07</x:v>
      </x:c>
      <x:c r="B415" s="5" t="str">
        <x:v>Village Green Student Housing</x:v>
      </x:c>
      <x:c r="C415" s="1" t="str">
        <x:v>2761355</x:v>
      </x:c>
      <x:c r="D415" s="1" t="str">
        <x:v>z5zze7x</x:v>
      </x:c>
      <x:c r="E415" s="1" t="str">
        <x:v>3BD/3BA Classic</x:v>
      </x:c>
      <x:c r="F415" s="1" t="n">
        <x:v>3</x:v>
      </x:c>
      <x:c r="G415" s="1" t="n">
        <x:v>3</x:v>
      </x:c>
      <x:c r="H415" s="1" t="n">
        <x:v>649</x:v>
      </x:c>
      <x:c r="I415" s="1" t="n">
        <x:v>649</x:v>
      </x:c>
      <x:c r="J415" s="1" t="str">
        <x:v>$649</x:v>
      </x:c>
      <x:c r="K415" s="1" t="str">
        <x:v>$669</x:v>
      </x:c>
      <x:c r="L415" s="1" t="str">
        <x:v>true</x:v>
      </x:c>
      <x:c r="M415" s="1" t="str">
        <x:v>1,167 sq. ft.</x:v>
      </x:c>
      <x:c r="N415" s="1" t="n">
        <x:v>1</x:v>
      </x:c>
      <x:c r="O415" s="1" t="str">
        <x:v>AvailableNow</x:v>
      </x:c>
      <x:c r="P415" s="1" t="str">
        <x:v>Rentals Available</x:v>
      </x:c>
      <x:c r="Q415" s="1" t="n">
        <x:v>46248.99998842592</x:v>
      </x:c>
      <x:c r="R415" s="1" t="str"/>
      <x:c r="S415" s="1" t="str"/>
      <x:c r="T415" s="1" t="str"/>
      <x:c r="U415" s="1" t="str"/>
      <x:c r="V415" s="1" t="str">
        <x:v>3</x:v>
      </x:c>
      <x:c r="W415" s="1" t="str"/>
      <x:c r="X415" s="1" t="str">
        <x:v>false</x:v>
      </x:c>
      <x:c r="Y415" s="1" t="str">
        <x:v>false</x:v>
      </x:c>
      <x:c r="Z415" s="1" t="str">
        <x:v>[]</x:v>
      </x:c>
    </x:row>
    <x:row r="416" ht="15" hidden="0" customHeight="1">
      <x:c r="A416" s="1" t="str">
        <x:v>jjs8f07</x:v>
      </x:c>
      <x:c r="B416" s="5" t="str">
        <x:v>Village Green Student Housing</x:v>
      </x:c>
      <x:c r="C416" s="1" t="str">
        <x:v>727277</x:v>
      </x:c>
      <x:c r="D416" s="1" t="str">
        <x:v>z509c9y</x:v>
      </x:c>
      <x:c r="E416" s="1" t="str">
        <x:v>3BD/3BA</x:v>
      </x:c>
      <x:c r="F416" s="1" t="n">
        <x:v>3</x:v>
      </x:c>
      <x:c r="G416" s="1" t="n">
        <x:v>3</x:v>
      </x:c>
      <x:c r="H416" s="1" t="n">
        <x:v>749</x:v>
      </x:c>
      <x:c r="I416" s="1" t="n">
        <x:v>749</x:v>
      </x:c>
      <x:c r="J416" s="1" t="str">
        <x:v>$749</x:v>
      </x:c>
      <x:c r="K416" s="1" t="str">
        <x:v>$769</x:v>
      </x:c>
      <x:c r="L416" s="1" t="str">
        <x:v>true</x:v>
      </x:c>
      <x:c r="M416" s="1" t="str">
        <x:v>1,167 sq. ft.</x:v>
      </x:c>
      <x:c r="N416" s="1" t="n">
        <x:v>1</x:v>
      </x:c>
      <x:c r="O416" s="1" t="str">
        <x:v>AvailableNow</x:v>
      </x:c>
      <x:c r="P416" s="1" t="str">
        <x:v>Rentals Available</x:v>
      </x:c>
      <x:c r="Q416" s="1" t="n">
        <x:v>46248.99998842592</x:v>
      </x:c>
      <x:c r="R416" s="1" t="str"/>
      <x:c r="S416" s="1" t="str"/>
      <x:c r="T416" s="1" t="str"/>
      <x:c r="U416" s="1" t="str"/>
      <x:c r="V416" s="1" t="str">
        <x:v>3</x:v>
      </x:c>
      <x:c r="W416" s="1" t="str"/>
      <x:c r="X416" s="1" t="str">
        <x:v>false</x:v>
      </x:c>
      <x:c r="Y416" s="1" t="str">
        <x:v>false</x:v>
      </x:c>
      <x:c r="Z416" s="1" t="str">
        <x:v>[]</x:v>
      </x:c>
    </x:row>
    <x:row r="417" ht="15" hidden="0" customHeight="1">
      <x:c r="A417" s="1" t="str">
        <x:v>jjs8f07</x:v>
      </x:c>
      <x:c r="B417" s="5" t="str">
        <x:v>Village Green Student Housing</x:v>
      </x:c>
      <x:c r="C417" s="1" t="str">
        <x:v>727279</x:v>
      </x:c>
      <x:c r="D417" s="1" t="str">
        <x:v>xg8csrq</x:v>
      </x:c>
      <x:c r="E417" s="1" t="str">
        <x:v>4BD/4BA</x:v>
      </x:c>
      <x:c r="F417" s="1" t="n">
        <x:v>4</x:v>
      </x:c>
      <x:c r="G417" s="1" t="n">
        <x:v>4</x:v>
      </x:c>
      <x:c r="H417" s="1" t="n">
        <x:v>839</x:v>
      </x:c>
      <x:c r="I417" s="1" t="n">
        <x:v>839</x:v>
      </x:c>
      <x:c r="J417" s="1" t="str">
        <x:v>$839</x:v>
      </x:c>
      <x:c r="K417" s="1" t="str">
        <x:v>$859</x:v>
      </x:c>
      <x:c r="L417" s="1" t="str">
        <x:v>true</x:v>
      </x:c>
      <x:c r="M417" s="1" t="str">
        <x:v>1,460 sq. ft.</x:v>
      </x:c>
      <x:c r="N417" s="1" t="n">
        <x:v>1</x:v>
      </x:c>
      <x:c r="O417" s="1" t="str">
        <x:v>AvailableNow</x:v>
      </x:c>
      <x:c r="P417" s="1" t="str">
        <x:v>Rentals Available</x:v>
      </x:c>
      <x:c r="Q417" s="1" t="n">
        <x:v>46248.99998842592</x:v>
      </x:c>
      <x:c r="R417" s="1" t="str"/>
      <x:c r="S417" s="1" t="str"/>
      <x:c r="T417" s="1" t="str"/>
      <x:c r="U417" s="1" t="str"/>
      <x:c r="V417" s="1" t="str">
        <x:v>4</x:v>
      </x:c>
      <x:c r="W417" s="1" t="str"/>
      <x:c r="X417" s="1" t="str">
        <x:v>false</x:v>
      </x:c>
      <x:c r="Y417" s="1" t="str">
        <x:v>false</x:v>
      </x:c>
      <x:c r="Z417" s="1" t="str">
        <x:v>[]</x:v>
      </x:c>
    </x:row>
    <x:row r="418" ht="24" hidden="0" customHeight="1">
      <x:c r="A418" s="1" t="str">
        <x:v>ocpjh4j574</x:v>
      </x:c>
      <x:c r="B418" s="5" t="str">
        <x:v>4BD/3.5BA townhome near NCSU &amp; Downtown Raleigh available August 2026!</x:v>
      </x:c>
      <x:c r="C418" s="1" t="str">
        <x:v>1</x:v>
      </x:c>
      <x:c r="D418" s="1" t="str">
        <x:v>q2j0gkx</x:v>
      </x:c>
      <x:c r="E418" s="1" t="str"/>
      <x:c r="F418" s="1" t="n">
        <x:v>4</x:v>
      </x:c>
      <x:c r="G418" s="1" t="n">
        <x:v>3.5</x:v>
      </x:c>
      <x:c r="H418" s="1" t="n">
        <x:v>2200</x:v>
      </x:c>
      <x:c r="I418" s="1" t="n">
        <x:v>2200</x:v>
      </x:c>
      <x:c r="J418" s="1" t="str">
        <x:v>$2,200</x:v>
      </x:c>
      <x:c r="K418" s="1" t="str">
        <x:v>$2,200</x:v>
      </x:c>
      <x:c r="L418" s="1" t="str">
        <x:v>false</x:v>
      </x:c>
      <x:c r="M418" s="1" t="str">
        <x:v>2,000 sq. ft.</x:v>
      </x:c>
      <x:c r="N418" s="1" t="n">
        <x:v>1</x:v>
      </x:c>
      <x:c r="O418" s="1" t="str">
        <x:v>AvailableNow</x:v>
      </x:c>
      <x:c r="P418" s="1" t="str">
        <x:v>Rentals Available</x:v>
      </x:c>
      <x:c r="Q418" s="1" t="n">
        <x:v>46247.99998842592</x:v>
      </x:c>
      <x:c r="R418" s="1" t="str"/>
      <x:c r="S418" s="1" t="str"/>
      <x:c r="T418" s="1" t="str">
        <x:v>N/A</x:v>
      </x:c>
      <x:c r="U418" s="1" t="str">
        <x:v>N/A</x:v>
      </x:c>
      <x:c r="V418" s="1" t="str">
        <x:v>5</x:v>
      </x:c>
      <x:c r="W418" s="1" t="str"/>
      <x:c r="X418" s="1" t="str">
        <x:v>false</x:v>
      </x:c>
      <x:c r="Y418" s="1" t="str">
        <x:v>false</x:v>
      </x:c>
      <x:c r="Z418" s="1" t="str">
        <x:v>[]</x:v>
      </x:c>
    </x:row>
    <x:row r="419" ht="15" hidden="0" customHeight="1">
      <x:c r="A419" s="1" t="str">
        <x:v>8gchf40</x:v>
      </x:c>
      <x:c r="B419" s="5" t="str">
        <x:v>The Hillsborough</x:v>
      </x:c>
      <x:c r="C419" s="1" t="str">
        <x:v>5867610</x:v>
      </x:c>
      <x:c r="D419" s="1" t="str">
        <x:v>8jrx1s1</x:v>
      </x:c>
      <x:c r="E419" s="1" t="str">
        <x:v>2 Bed 2 Bath Unfurnished</x:v>
      </x:c>
      <x:c r="F419" s="1" t="n">
        <x:v>2</x:v>
      </x:c>
      <x:c r="G419" s="1" t="n">
        <x:v>2</x:v>
      </x:c>
      <x:c r="H419" s="1" t="n">
        <x:v>1250</x:v>
      </x:c>
      <x:c r="I419" s="1" t="n">
        <x:v>1250</x:v>
      </x:c>
      <x:c r="J419" s="1" t="str">
        <x:v>$1,250</x:v>
      </x:c>
      <x:c r="K419" s="1" t="str">
        <x:v>$1,250</x:v>
      </x:c>
      <x:c r="L419" s="1" t="str">
        <x:v>true</x:v>
      </x:c>
      <x:c r="M419" s="1" t="str">
        <x:v>1,200 sq. ft.</x:v>
      </x:c>
      <x:c r="N419" s="1" t="n">
        <x:v>1</x:v>
      </x:c>
      <x:c r="O419" s="1" t="str">
        <x:v>AvailableNow</x:v>
      </x:c>
      <x:c r="P419" s="1" t="str">
        <x:v>Rentals Available</x:v>
      </x:c>
      <x:c r="Q419" s="1" t="str"/>
      <x:c r="R419" s="1" t="str"/>
      <x:c r="S419" s="1" t="str"/>
      <x:c r="T419" s="1" t="str"/>
      <x:c r="U419" s="1" t="str"/>
      <x:c r="V419" s="1" t="str">
        <x:v>2</x:v>
      </x:c>
      <x:c r="W419" s="1" t="str"/>
      <x:c r="X419" s="1" t="str">
        <x:v>false</x:v>
      </x:c>
      <x:c r="Y419" s="1" t="str">
        <x:v>false</x:v>
      </x:c>
      <x:c r="Z419" s="1" t="str">
        <x:v>[]</x:v>
      </x:c>
    </x:row>
    <x:row r="420" ht="15" hidden="0" customHeight="1">
      <x:c r="A420" s="1" t="str">
        <x:v>8gchf40</x:v>
      </x:c>
      <x:c r="B420" s="5" t="str">
        <x:v>The Hillsborough</x:v>
      </x:c>
      <x:c r="C420" s="1" t="str">
        <x:v>5781899</x:v>
      </x:c>
      <x:c r="D420" s="1" t="str">
        <x:v>e76k68m</x:v>
      </x:c>
      <x:c r="E420" s="1" t="str">
        <x:v>3 Bed 3 Bath Furnished</x:v>
      </x:c>
      <x:c r="F420" s="1" t="n">
        <x:v>3</x:v>
      </x:c>
      <x:c r="G420" s="1" t="n">
        <x:v>3</x:v>
      </x:c>
      <x:c r="H420" s="1" t="n">
        <x:v>1100</x:v>
      </x:c>
      <x:c r="I420" s="1" t="n">
        <x:v>1100</x:v>
      </x:c>
      <x:c r="J420" s="1" t="str">
        <x:v>$1,100</x:v>
      </x:c>
      <x:c r="K420" s="1" t="str">
        <x:v>$1,100</x:v>
      </x:c>
      <x:c r="L420" s="1" t="str">
        <x:v>true</x:v>
      </x:c>
      <x:c r="M420" s="1" t="str">
        <x:v>1,475 sq. ft.</x:v>
      </x:c>
      <x:c r="N420" s="1" t="n">
        <x:v>1</x:v>
      </x:c>
      <x:c r="O420" s="1" t="str">
        <x:v>AvailableNow</x:v>
      </x:c>
      <x:c r="P420" s="1" t="str">
        <x:v>Rentals Available</x:v>
      </x:c>
      <x:c r="Q420" s="1" t="n">
        <x:v>45870.99998842592</x:v>
      </x:c>
      <x:c r="R420" s="1" t="str">
        <x:v>3495</x:v>
      </x:c>
      <x:c r="S420" s="1" t="str"/>
      <x:c r="T420" s="1" t="str"/>
      <x:c r="U420" s="1" t="str"/>
      <x:c r="V420" s="1" t="str">
        <x:v>3</x:v>
      </x:c>
      <x:c r="W420" s="1" t="str"/>
      <x:c r="X420" s="1" t="str">
        <x:v>false</x:v>
      </x:c>
      <x:c r="Y420" s="1" t="str">
        <x:v>false</x:v>
      </x:c>
      <x:c r="Z420" s="1" t="str">
        <x:v>[]</x:v>
      </x:c>
    </x:row>
    <x:row r="421" ht="15" hidden="0" customHeight="1">
      <x:c r="A421" s="1" t="str">
        <x:v>8gchf40</x:v>
      </x:c>
      <x:c r="B421" s="5" t="str">
        <x:v>The Hillsborough</x:v>
      </x:c>
      <x:c r="C421" s="1" t="str">
        <x:v>5781900</x:v>
      </x:c>
      <x:c r="D421" s="1" t="str">
        <x:v>crtmj2f</x:v>
      </x:c>
      <x:c r="E421" s="1" t="str">
        <x:v>3 Bed 3 Bath by Room</x:v>
      </x:c>
      <x:c r="F421" s="1" t="n">
        <x:v>3</x:v>
      </x:c>
      <x:c r="G421" s="1" t="n">
        <x:v>3</x:v>
      </x:c>
      <x:c r="H421" s="1" t="n">
        <x:v>1300</x:v>
      </x:c>
      <x:c r="I421" s="1" t="n">
        <x:v>1350</x:v>
      </x:c>
      <x:c r="J421" s="1" t="str">
        <x:v>$1,300 - $1,350</x:v>
      </x:c>
      <x:c r="K421" s="1" t="str">
        <x:v>$1,300 - $1,350</x:v>
      </x:c>
      <x:c r="L421" s="1" t="str">
        <x:v>true</x:v>
      </x:c>
      <x:c r="M421" s="1" t="str">
        <x:v>1,475 sq. ft.</x:v>
      </x:c>
      <x:c r="N421" s="1" t="n">
        <x:v>1</x:v>
      </x:c>
      <x:c r="O421" s="1" t="str">
        <x:v>AvailableNow</x:v>
      </x:c>
      <x:c r="P421" s="1" t="str">
        <x:v>Rentals Available</x:v>
      </x:c>
      <x:c r="Q421" s="1" t="n">
        <x:v>45870.99998842592</x:v>
      </x:c>
      <x:c r="R421" s="1" t="str">
        <x:v>1300</x:v>
      </x:c>
      <x:c r="S421" s="1" t="str"/>
      <x:c r="T421" s="1" t="str"/>
      <x:c r="U421" s="1" t="str"/>
      <x:c r="V421" s="1" t="str">
        <x:v>3</x:v>
      </x:c>
      <x:c r="W421" s="1" t="str"/>
      <x:c r="X421" s="1" t="str">
        <x:v>false</x:v>
      </x:c>
      <x:c r="Y421" s="1" t="str">
        <x:v>false</x:v>
      </x:c>
      <x:c r="Z421" s="1" t="str">
        <x:v>[]</x:v>
      </x:c>
    </x:row>
    <x:row r="422" ht="24" hidden="0" customHeight="1">
      <x:c r="A422" s="1" t="str">
        <x:v>ocp032vj21</x:v>
      </x:c>
      <x:c r="B422" s="5" t="str">
        <x:v>5 bedroom 5 full Bath luxury house with 1Gig AT&amp;T Fiber and 1 free parking space per bedroom</x:v>
      </x:c>
      <x:c r="C422" s="1" t="str">
        <x:v>1</x:v>
      </x:c>
      <x:c r="D422" s="1" t="str">
        <x:v>q2j0gkx</x:v>
      </x:c>
      <x:c r="E422" s="1" t="str"/>
      <x:c r="F422" s="1" t="n">
        <x:v>5</x:v>
      </x:c>
      <x:c r="G422" s="1" t="n">
        <x:v>5</x:v>
      </x:c>
      <x:c r="H422" s="1" t="n">
        <x:v>6000</x:v>
      </x:c>
      <x:c r="I422" s="1" t="n">
        <x:v>6000</x:v>
      </x:c>
      <x:c r="J422" s="1" t="str">
        <x:v>$6,000</x:v>
      </x:c>
      <x:c r="K422" s="1" t="str">
        <x:v>$6,000</x:v>
      </x:c>
      <x:c r="L422" s="1" t="str">
        <x:v>false</x:v>
      </x:c>
      <x:c r="M422" s="1" t="str">
        <x:v>2,200 sq. ft.</x:v>
      </x:c>
      <x:c r="N422" s="1" t="n">
        <x:v>1</x:v>
      </x:c>
      <x:c r="O422" s="1" t="str">
        <x:v>FutureDate</x:v>
      </x:c>
      <x:c r="P422" s="1" t="str">
        <x:v>Available Soon</x:v>
      </x:c>
      <x:c r="Q422" s="1" t="n">
        <x:v>46575.99998842592</x:v>
      </x:c>
      <x:c r="R422" s="1" t="str"/>
      <x:c r="S422" s="1" t="str"/>
      <x:c r="T422" s="1" t="str">
        <x:v>N/A</x:v>
      </x:c>
      <x:c r="U422" s="1" t="str">
        <x:v>N/A</x:v>
      </x:c>
      <x:c r="V422" s="1" t="str">
        <x:v>5</x:v>
      </x:c>
      <x:c r="W422" s="1" t="str"/>
      <x:c r="X422" s="1" t="str">
        <x:v>false</x:v>
      </x:c>
      <x:c r="Y422" s="1" t="str">
        <x:v>false</x:v>
      </x:c>
      <x:c r="Z422" s="1" t="str">
        <x:v>[]</x:v>
      </x:c>
    </x:row>
    <x:row r="423" ht="15" hidden="0" customHeight="1">
      <x:c r="A423" s="1" t="str">
        <x:v>0pm7tt3</x:v>
      </x:c>
      <x:c r="B423" s="5" t="str">
        <x:v>Campus West at Tryon</x:v>
      </x:c>
      <x:c r="C423" s="1" t="str">
        <x:v>1569046</x:v>
      </x:c>
      <x:c r="D423" s="1" t="str">
        <x:v>l7jhj6f</x:v>
      </x:c>
      <x:c r="E423" s="1" t="str">
        <x:v>3X3</x:v>
      </x:c>
      <x:c r="F423" s="1" t="n">
        <x:v>3</x:v>
      </x:c>
      <x:c r="G423" s="1" t="n">
        <x:v>3</x:v>
      </x:c>
      <x:c r="H423" s="1" t="n">
        <x:v>699</x:v>
      </x:c>
      <x:c r="I423" s="1" t="n">
        <x:v>699</x:v>
      </x:c>
      <x:c r="J423" s="1" t="str">
        <x:v>$699</x:v>
      </x:c>
      <x:c r="K423" s="1" t="str">
        <x:v>$735</x:v>
      </x:c>
      <x:c r="L423" s="1" t="str">
        <x:v>true</x:v>
      </x:c>
      <x:c r="M423" s="1" t="str">
        <x:v>1,050 sq. ft.</x:v>
      </x:c>
      <x:c r="N423" s="1" t="n">
        <x:v>1</x:v>
      </x:c>
      <x:c r="O423" s="1" t="str">
        <x:v>AvailableNow</x:v>
      </x:c>
      <x:c r="P423" s="1" t="str">
        <x:v>Rentals Available</x:v>
      </x:c>
      <x:c r="Q423" s="1" t="n">
        <x:v>46244.99998842592</x:v>
      </x:c>
      <x:c r="R423" s="1" t="str"/>
      <x:c r="S423" s="1" t="str"/>
      <x:c r="T423" s="1" t="str"/>
      <x:c r="U423" s="1" t="str"/>
      <x:c r="V423" s="1" t="str">
        <x:v>3</x:v>
      </x:c>
      <x:c r="W423" s="1" t="str"/>
      <x:c r="X423" s="1" t="str">
        <x:v>false</x:v>
      </x:c>
      <x:c r="Y423" s="1" t="str">
        <x:v>false</x:v>
      </x:c>
      <x:c r="Z423" s="1" t="str">
        <x:v>[]</x:v>
      </x:c>
    </x:row>
    <x:row r="424" ht="15" hidden="0" customHeight="1">
      <x:c r="A424" s="1" t="str">
        <x:v>ocpbhbkvy9</x:v>
      </x:c>
      <x:c r="B424" s="5" t="str">
        <x:v>Voyager House</x:v>
      </x:c>
      <x:c r="C424" s="1" t="str">
        <x:v>1</x:v>
      </x:c>
      <x:c r="D424" s="1" t="str">
        <x:v>q2j0gkx</x:v>
      </x:c>
      <x:c r="E424" s="1" t="str"/>
      <x:c r="F424" s="1" t="n">
        <x:v>1</x:v>
      </x:c>
      <x:c r="G424" s="1" t="n">
        <x:v>1</x:v>
      </x:c>
      <x:c r="H424" s="1" t="n">
        <x:v>800</x:v>
      </x:c>
      <x:c r="I424" s="1" t="n">
        <x:v>800</x:v>
      </x:c>
      <x:c r="J424" s="1" t="str">
        <x:v>$800</x:v>
      </x:c>
      <x:c r="K424" s="1" t="str">
        <x:v>$800</x:v>
      </x:c>
      <x:c r="L424" s="1" t="str">
        <x:v>true</x:v>
      </x:c>
      <x:c r="M424" s="1" t="str">
        <x:v>500 sq. ft.</x:v>
      </x:c>
      <x:c r="N424" s="1" t="n">
        <x:v>1</x:v>
      </x:c>
      <x:c r="O424" s="1" t="str">
        <x:v>AvailableNow</x:v>
      </x:c>
      <x:c r="P424" s="1" t="str">
        <x:v>Rentals Available</x:v>
      </x:c>
      <x:c r="Q424" s="1" t="n">
        <x:v>46188.99998842592</x:v>
      </x:c>
      <x:c r="R424" s="1" t="str"/>
      <x:c r="S424" s="1" t="str"/>
      <x:c r="T424" s="1" t="str">
        <x:v>N/A</x:v>
      </x:c>
      <x:c r="U424" s="1" t="str">
        <x:v>N/A</x:v>
      </x:c>
      <x:c r="V424" s="1" t="str">
        <x:v>1</x:v>
      </x:c>
      <x:c r="W424" s="1" t="str"/>
      <x:c r="X424" s="1" t="str">
        <x:v>false</x:v>
      </x:c>
      <x:c r="Y424" s="1" t="str">
        <x:v>false</x:v>
      </x:c>
      <x:c r="Z424" s="1" t="str">
        <x:v>[]</x:v>
      </x:c>
    </x:row>
    <x:row r="425" ht="15" hidden="0" customHeight="1">
      <x:c r="A425" s="1" t="str">
        <x:v>e13mz5m</x:v>
      </x:c>
      <x:c r="B425" s="5" t="str">
        <x:v>University Suites Student Housing</x:v>
      </x:c>
      <x:c r="C425" s="1" t="str">
        <x:v>6022939</x:v>
      </x:c>
      <x:c r="D425" s="1" t="str">
        <x:v>g9fx8fx</x:v>
      </x:c>
      <x:c r="E425" s="1" t="str">
        <x:v>3X3</x:v>
      </x:c>
      <x:c r="F425" s="1" t="n">
        <x:v>3</x:v>
      </x:c>
      <x:c r="G425" s="1" t="n">
        <x:v>3</x:v>
      </x:c>
      <x:c r="H425" s="1" t="n">
        <x:v>799</x:v>
      </x:c>
      <x:c r="I425" s="1" t="n">
        <x:v>799</x:v>
      </x:c>
      <x:c r="J425" s="1" t="str">
        <x:v>$799</x:v>
      </x:c>
      <x:c r="K425" s="1" t="str">
        <x:v>$799</x:v>
      </x:c>
      <x:c r="L425" s="1" t="str">
        <x:v>true</x:v>
      </x:c>
      <x:c r="M425" s="1" t="str">
        <x:v>1,384 sq. ft.</x:v>
      </x:c>
      <x:c r="N425" s="1" t="n">
        <x:v>1</x:v>
      </x:c>
      <x:c r="O425" s="1" t="str">
        <x:v>AvailableNow</x:v>
      </x:c>
      <x:c r="P425" s="1" t="str">
        <x:v>Rentals Available</x:v>
      </x:c>
      <x:c r="Q425" s="1" t="n">
        <x:v>46248.99998842592</x:v>
      </x:c>
      <x:c r="R425" s="1" t="str"/>
      <x:c r="S425" s="1" t="str"/>
      <x:c r="T425" s="1" t="str"/>
      <x:c r="U425" s="1" t="str"/>
      <x:c r="V425" s="1" t="str"/>
      <x:c r="W425" s="1" t="str"/>
      <x:c r="X425" s="1" t="str">
        <x:v>false</x:v>
      </x:c>
      <x:c r="Y425" s="1" t="str">
        <x:v>false</x:v>
      </x:c>
      <x:c r="Z425" s="1" t="str">
        <x:v>[]</x:v>
      </x:c>
    </x:row>
    <x:row r="426" ht="15" hidden="0" customHeight="1">
      <x:c r="A426" s="1" t="str">
        <x:v>e13mz5m</x:v>
      </x:c>
      <x:c r="B426" s="5" t="str">
        <x:v>University Suites Student Housing</x:v>
      </x:c>
      <x:c r="C426" s="1" t="str">
        <x:v>1058151</x:v>
      </x:c>
      <x:c r="D426" s="1" t="str">
        <x:v>17wwdz5</x:v>
      </x:c>
      <x:c r="E426" s="1" t="str">
        <x:v>4X4</x:v>
      </x:c>
      <x:c r="F426" s="1" t="n">
        <x:v>4</x:v>
      </x:c>
      <x:c r="G426" s="1" t="n">
        <x:v>4</x:v>
      </x:c>
      <x:c r="H426" s="1" t="n">
        <x:v>699</x:v>
      </x:c>
      <x:c r="I426" s="1" t="n">
        <x:v>699</x:v>
      </x:c>
      <x:c r="J426" s="1" t="str">
        <x:v>$699</x:v>
      </x:c>
      <x:c r="K426" s="1" t="str">
        <x:v>$699</x:v>
      </x:c>
      <x:c r="L426" s="1" t="str">
        <x:v>true</x:v>
      </x:c>
      <x:c r="M426" s="1" t="str">
        <x:v>1,398 sq. ft.</x:v>
      </x:c>
      <x:c r="N426" s="1" t="n">
        <x:v>1</x:v>
      </x:c>
      <x:c r="O426" s="1" t="str">
        <x:v>AvailableNow</x:v>
      </x:c>
      <x:c r="P426" s="1" t="str">
        <x:v>Rentals Available</x:v>
      </x:c>
      <x:c r="Q426" s="1" t="n">
        <x:v>46248.99998842592</x:v>
      </x:c>
      <x:c r="R426" s="1" t="str"/>
      <x:c r="S426" s="1" t="str"/>
      <x:c r="T426" s="1" t="str"/>
      <x:c r="U426" s="1" t="str"/>
      <x:c r="V426" s="1" t="str">
        <x:v>4</x:v>
      </x:c>
      <x:c r="W426" s="1" t="str"/>
      <x:c r="X426" s="1" t="str">
        <x:v>false</x:v>
      </x:c>
      <x:c r="Y426" s="1" t="str">
        <x:v>false</x:v>
      </x:c>
      <x:c r="Z426" s="1" t="str">
        <x:v>[]</x:v>
      </x:c>
    </x:row>
    <x:row r="427" ht="15" hidden="0" customHeight="1">
      <x:c r="A427" s="1" t="str">
        <x:v>ocpepvxvln</x:v>
      </x:c>
      <x:c r="B427" s="5" t="str">
        <x:v>Village Green Student Living</x:v>
      </x:c>
      <x:c r="C427" s="1" t="str">
        <x:v>1</x:v>
      </x:c>
      <x:c r="D427" s="1" t="str">
        <x:v>q2j0gkx</x:v>
      </x:c>
      <x:c r="E427" s="1" t="str"/>
      <x:c r="F427" s="1" t="n">
        <x:v>1</x:v>
      </x:c>
      <x:c r="G427" s="1" t="n">
        <x:v>1</x:v>
      </x:c>
      <x:c r="H427" s="1" t="n">
        <x:v>831</x:v>
      </x:c>
      <x:c r="I427" s="1" t="n">
        <x:v>831</x:v>
      </x:c>
      <x:c r="J427" s="1" t="str">
        <x:v>$831</x:v>
      </x:c>
      <x:c r="K427" s="1" t="str">
        <x:v>$831</x:v>
      </x:c>
      <x:c r="L427" s="1" t="str">
        <x:v>true</x:v>
      </x:c>
      <x:c r="M427" s="1" t="str"/>
      <x:c r="N427" s="1" t="n">
        <x:v>1</x:v>
      </x:c>
      <x:c r="O427" s="1" t="str">
        <x:v>AvailableNow</x:v>
      </x:c>
      <x:c r="P427" s="1" t="str">
        <x:v>Rentals Available</x:v>
      </x:c>
      <x:c r="Q427" s="1" t="n">
        <x:v>46248.99998842592</x:v>
      </x:c>
      <x:c r="R427" s="1" t="str"/>
      <x:c r="S427" s="1" t="str"/>
      <x:c r="T427" s="1" t="str">
        <x:v>N/A</x:v>
      </x:c>
      <x:c r="U427" s="1" t="str">
        <x:v>N/A</x:v>
      </x:c>
      <x:c r="V427" s="1" t="str">
        <x:v>4</x:v>
      </x:c>
      <x:c r="W427" s="1" t="str"/>
      <x:c r="X427" s="1" t="str">
        <x:v>false</x:v>
      </x:c>
      <x:c r="Y427" s="1" t="str">
        <x:v>false</x:v>
      </x:c>
      <x:c r="Z427" s="1" t="str">
        <x:v>[]</x:v>
      </x:c>
    </x:row>
    <x:row r="428" ht="24" hidden="0" customHeight="1">
      <x:c r="A428" s="1" t="str">
        <x:v>ocpjpg1817</x:v>
      </x:c>
      <x:c r="B428" s="5" t="str">
        <x:v>Gorman Street Village PRE-LEASING for 2026! 3Bed 3Bath w/ Utilities! Upgraded Units Available!</x:v>
      </x:c>
      <x:c r="C428" s="1" t="str">
        <x:v>229220</x:v>
      </x:c>
      <x:c r="D428" s="1" t="str">
        <x:v>3czfhwg</x:v>
      </x:c>
      <x:c r="E428" s="1" t="str">
        <x:v>3 Bed 3 Bath Renovated</x:v>
      </x:c>
      <x:c r="F428" s="1" t="n">
        <x:v>3</x:v>
      </x:c>
      <x:c r="G428" s="1" t="n">
        <x:v>3</x:v>
      </x:c>
      <x:c r="H428" s="1" t="n">
        <x:v>2295</x:v>
      </x:c>
      <x:c r="I428" s="1" t="n">
        <x:v>2295</x:v>
      </x:c>
      <x:c r="J428" s="1" t="str">
        <x:v>$2,295</x:v>
      </x:c>
      <x:c r="K428" s="1" t="str">
        <x:v>$2,410</x:v>
      </x:c>
      <x:c r="L428" s="1" t="str">
        <x:v>false</x:v>
      </x:c>
      <x:c r="M428" s="1" t="str">
        <x:v>1,197 sq. ft.</x:v>
      </x:c>
      <x:c r="N428" s="1" t="n">
        <x:v>1</x:v>
      </x:c>
      <x:c r="O428" s="1" t="str">
        <x:v>AvailableNow</x:v>
      </x:c>
      <x:c r="P428" s="1" t="str">
        <x:v>Rentals Available</x:v>
      </x:c>
      <x:c r="Q428" s="1" t="n">
        <x:v>25569.999988425927</x:v>
      </x:c>
      <x:c r="R428" s="1" t="str">
        <x:v>0</x:v>
      </x:c>
      <x:c r="S428" s="1" t="str">
        <x:v>$0 - $800</x:v>
      </x:c>
      <x:c r="T428" s="1" t="str">
        <x:v>N/A</x:v>
      </x:c>
      <x:c r="U428" s="1" t="str">
        <x:v>N/A</x:v>
      </x:c>
      <x:c r="V428" s="1" t="str">
        <x:v>4</x:v>
      </x:c>
      <x:c r="W428" s="1" t="str"/>
      <x:c r="X428" s="1" t="str">
        <x:v>false</x:v>
      </x:c>
      <x:c r="Y428" s="1" t="str">
        <x:v>false</x:v>
      </x:c>
      <x:c r="Z428" s="1" t="str">
        <x:v>[]</x:v>
      </x:c>
    </x:row>
    <x:row r="429" ht="24" hidden="0" customHeight="1">
      <x:c r="A429" s="1" t="str">
        <x:v>ocpgxr290w</x:v>
      </x:c>
      <x:c r="B429" s="5" t="str">
        <x:v>Spacious Forest Park Two-Room Suite + Private Bath - Walk to Campus (Includes Utilities)</x:v>
      </x:c>
      <x:c r="C429" s="1" t="str">
        <x:v>1</x:v>
      </x:c>
      <x:c r="D429" s="1" t="str">
        <x:v>q2j0gkx</x:v>
      </x:c>
      <x:c r="E429" s="1" t="str"/>
      <x:c r="F429" s="1" t="n">
        <x:v>2</x:v>
      </x:c>
      <x:c r="G429" s="1" t="n">
        <x:v>1</x:v>
      </x:c>
      <x:c r="H429" s="1" t="n">
        <x:v>1225</x:v>
      </x:c>
      <x:c r="I429" s="1" t="n">
        <x:v>1225</x:v>
      </x:c>
      <x:c r="J429" s="1" t="str">
        <x:v>$1,225</x:v>
      </x:c>
      <x:c r="K429" s="1" t="str">
        <x:v>$1,225</x:v>
      </x:c>
      <x:c r="L429" s="1" t="str">
        <x:v>false</x:v>
      </x:c>
      <x:c r="M429" s="1" t="str">
        <x:v>750 sq. ft.</x:v>
      </x:c>
      <x:c r="N429" s="1" t="n">
        <x:v>1</x:v>
      </x:c>
      <x:c r="O429" s="1" t="str">
        <x:v>FutureDate</x:v>
      </x:c>
      <x:c r="P429" s="1" t="str">
        <x:v>Available Soon</x:v>
      </x:c>
      <x:c r="Q429" s="1" t="n">
        <x:v>46296.99998842592</x:v>
      </x:c>
      <x:c r="R429" s="1" t="str"/>
      <x:c r="S429" s="1" t="str"/>
      <x:c r="T429" s="1" t="str">
        <x:v>N/A</x:v>
      </x:c>
      <x:c r="U429" s="1" t="str">
        <x:v>N/A</x:v>
      </x:c>
      <x:c r="V429" s="1" t="str">
        <x:v>1</x:v>
      </x:c>
      <x:c r="W429" s="1" t="str"/>
      <x:c r="X429" s="1" t="str">
        <x:v>false</x:v>
      </x:c>
      <x:c r="Y429" s="1" t="str">
        <x:v>false</x:v>
      </x:c>
      <x:c r="Z429" s="1" t="str">
        <x:v>[]</x:v>
      </x:c>
    </x:row>
    <x:row r="430" ht="24" hidden="0" customHeight="1">
      <x:c r="A430" s="1" t="str">
        <x:v>ocpb48f058</x:v>
      </x:c>
      <x:c r="B430" s="5" t="str">
        <x:v>Now Pre-Leasing for August 2026! 1 and 3 Bedrooms with Utilities! Marcom St Apartments!</x:v>
      </x:c>
      <x:c r="C430" s="1" t="str">
        <x:v>110733</x:v>
      </x:c>
      <x:c r="D430" s="1" t="str">
        <x:v>py9lyhs</x:v>
      </x:c>
      <x:c r="E430" s="1" t="str">
        <x:v>B2</x:v>
      </x:c>
      <x:c r="F430" s="1" t="n">
        <x:v>2</x:v>
      </x:c>
      <x:c r="G430" s="1" t="n">
        <x:v>2</x:v>
      </x:c>
      <x:c r="H430" s="1" t="n">
        <x:v>1545</x:v>
      </x:c>
      <x:c r="I430" s="1" t="n">
        <x:v>1545</x:v>
      </x:c>
      <x:c r="J430" s="1" t="str">
        <x:v>$1,545</x:v>
      </x:c>
      <x:c r="K430" s="1" t="str">
        <x:v>$1,620 - $1,660</x:v>
      </x:c>
      <x:c r="L430" s="1" t="str">
        <x:v>false</x:v>
      </x:c>
      <x:c r="M430" s="1" t="str">
        <x:v>1,095 sq. ft.</x:v>
      </x:c>
      <x:c r="N430" s="1" t="n">
        <x:v>1</x:v>
      </x:c>
      <x:c r="O430" s="1" t="str">
        <x:v>AvailableNow</x:v>
      </x:c>
      <x:c r="P430" s="1" t="str">
        <x:v>Rentals Available</x:v>
      </x:c>
      <x:c r="Q430" s="1" t="n">
        <x:v>46235.99998842592</x:v>
      </x:c>
      <x:c r="R430" s="1" t="str">
        <x:v>1545</x:v>
      </x:c>
      <x:c r="S430" s="1" t="str">
        <x:v>$1,545 - $3,090</x:v>
      </x:c>
      <x:c r="T430" s="1" t="str">
        <x:v>N/A</x:v>
      </x:c>
      <x:c r="U430" s="1" t="str">
        <x:v>N/A</x:v>
      </x:c>
      <x:c r="V430" s="1" t="str">
        <x:v>4</x:v>
      </x:c>
      <x:c r="W430" s="1" t="str"/>
      <x:c r="X430" s="1" t="str">
        <x:v>false</x:v>
      </x:c>
      <x:c r="Y430" s="1" t="str">
        <x:v>false</x:v>
      </x:c>
      <x:c r="Z430" s="1" t="str">
        <x:v>[]</x:v>
      </x:c>
    </x:row>
    <x:row r="431" ht="24" hidden="0" customHeight="1">
      <x:c r="A431" s="1" t="str">
        <x:v>ocpb48f058</x:v>
      </x:c>
      <x:c r="B431" s="5" t="str">
        <x:v>Now Pre-Leasing for August 2026! 1 and 3 Bedrooms with Utilities! Marcom St Apartments!</x:v>
      </x:c>
      <x:c r="C431" s="1" t="str">
        <x:v>96906</x:v>
      </x:c>
      <x:c r="D431" s="1" t="str">
        <x:v>hm5sdc0</x:v>
      </x:c>
      <x:c r="E431" s="1" t="str">
        <x:v>B1</x:v>
      </x:c>
      <x:c r="F431" s="1" t="n">
        <x:v>2</x:v>
      </x:c>
      <x:c r="G431" s="1" t="n">
        <x:v>2</x:v>
      </x:c>
      <x:c r="H431" s="1" t="n">
        <x:v>1595</x:v>
      </x:c>
      <x:c r="I431" s="1" t="n">
        <x:v>1595</x:v>
      </x:c>
      <x:c r="J431" s="1" t="str">
        <x:v>$1,595</x:v>
      </x:c>
      <x:c r="K431" s="1" t="str">
        <x:v>$1,670 - $1,710</x:v>
      </x:c>
      <x:c r="L431" s="1" t="str">
        <x:v>false</x:v>
      </x:c>
      <x:c r="M431" s="1" t="str">
        <x:v>1,031 sq. ft.</x:v>
      </x:c>
      <x:c r="N431" s="1" t="n">
        <x:v>1</x:v>
      </x:c>
      <x:c r="O431" s="1" t="str">
        <x:v>AvailableNow</x:v>
      </x:c>
      <x:c r="P431" s="1" t="str">
        <x:v>Rentals Available</x:v>
      </x:c>
      <x:c r="Q431" s="1" t="n">
        <x:v>25569.999988425927</x:v>
      </x:c>
      <x:c r="R431" s="1" t="str">
        <x:v>1595</x:v>
      </x:c>
      <x:c r="S431" s="1" t="str">
        <x:v>$1,595 - $3,190</x:v>
      </x:c>
      <x:c r="T431" s="1" t="str">
        <x:v>N/A</x:v>
      </x:c>
      <x:c r="U431" s="1" t="str">
        <x:v>N/A</x:v>
      </x:c>
      <x:c r="V431" s="1" t="str">
        <x:v>4</x:v>
      </x:c>
      <x:c r="W431" s="1" t="str"/>
      <x:c r="X431" s="1" t="str">
        <x:v>false</x:v>
      </x:c>
      <x:c r="Y431" s="1" t="str">
        <x:v>false</x:v>
      </x:c>
      <x:c r="Z431" s="1" t="str">
        <x:v>[]</x:v>
      </x:c>
    </x:row>
    <x:row r="432" ht="24" hidden="0" customHeight="1">
      <x:c r="A432" s="1" t="str">
        <x:v>ocpb48f058</x:v>
      </x:c>
      <x:c r="B432" s="5" t="str">
        <x:v>Now Pre-Leasing for August 2026! 1 and 3 Bedrooms with Utilities! Marcom St Apartments!</x:v>
      </x:c>
      <x:c r="C432" s="1" t="str">
        <x:v>96909</x:v>
      </x:c>
      <x:c r="D432" s="1" t="str">
        <x:v>2ygcyp9</x:v>
      </x:c>
      <x:c r="E432" s="1" t="str">
        <x:v>C1</x:v>
      </x:c>
      <x:c r="F432" s="1" t="n">
        <x:v>3</x:v>
      </x:c>
      <x:c r="G432" s="1" t="n">
        <x:v>2</x:v>
      </x:c>
      <x:c r="H432" s="1" t="n">
        <x:v>2045</x:v>
      </x:c>
      <x:c r="I432" s="1" t="n">
        <x:v>2045</x:v>
      </x:c>
      <x:c r="J432" s="1" t="str">
        <x:v>$2,045</x:v>
      </x:c>
      <x:c r="K432" s="1" t="str">
        <x:v>$2,120 - $2,160</x:v>
      </x:c>
      <x:c r="L432" s="1" t="str">
        <x:v>false</x:v>
      </x:c>
      <x:c r="M432" s="1" t="str">
        <x:v>1,273 sq. ft.</x:v>
      </x:c>
      <x:c r="N432" s="1" t="n">
        <x:v>1</x:v>
      </x:c>
      <x:c r="O432" s="1" t="str">
        <x:v>AvailableNow</x:v>
      </x:c>
      <x:c r="P432" s="1" t="str">
        <x:v>Rentals Available</x:v>
      </x:c>
      <x:c r="Q432" s="1" t="n">
        <x:v>25569.999988425927</x:v>
      </x:c>
      <x:c r="R432" s="1" t="str">
        <x:v>2045</x:v>
      </x:c>
      <x:c r="S432" s="1" t="str">
        <x:v>$2,045 - $4,090</x:v>
      </x:c>
      <x:c r="T432" s="1" t="str">
        <x:v>N/A</x:v>
      </x:c>
      <x:c r="U432" s="1" t="str">
        <x:v>N/A</x:v>
      </x:c>
      <x:c r="V432" s="1" t="str">
        <x:v>4</x:v>
      </x:c>
      <x:c r="W432" s="1" t="str"/>
      <x:c r="X432" s="1" t="str">
        <x:v>false</x:v>
      </x:c>
      <x:c r="Y432" s="1" t="str">
        <x:v>false</x:v>
      </x:c>
      <x:c r="Z432" s="1" t="str">
        <x:v>[]</x:v>
      </x:c>
    </x:row>
    <x:row r="433" ht="24" hidden="0" customHeight="1">
      <x:c r="A433" s="1" t="str">
        <x:v>ocpsd8dpj6</x:v>
      </x:c>
      <x:c r="B433" s="5" t="str">
        <x:v>Spacious En-suite with private patio and garage parking in Crescent Ridge Townhome Community</x:v>
      </x:c>
      <x:c r="C433" s="1" t="str">
        <x:v>1</x:v>
      </x:c>
      <x:c r="D433" s="1" t="str">
        <x:v>q2j0gkx</x:v>
      </x:c>
      <x:c r="E433" s="1" t="str"/>
      <x:c r="F433" s="1" t="n">
        <x:v>1</x:v>
      </x:c>
      <x:c r="G433" s="1" t="n">
        <x:v>1</x:v>
      </x:c>
      <x:c r="H433" s="1" t="n">
        <x:v>900</x:v>
      </x:c>
      <x:c r="I433" s="1" t="n">
        <x:v>900</x:v>
      </x:c>
      <x:c r="J433" s="1" t="str">
        <x:v>$900</x:v>
      </x:c>
      <x:c r="K433" s="1" t="str">
        <x:v>$900</x:v>
      </x:c>
      <x:c r="L433" s="1" t="str">
        <x:v>true</x:v>
      </x:c>
      <x:c r="M433" s="1" t="str"/>
      <x:c r="N433" s="1" t="n">
        <x:v>1</x:v>
      </x:c>
      <x:c r="O433" s="1" t="str">
        <x:v>AvailableNow</x:v>
      </x:c>
      <x:c r="P433" s="1" t="str">
        <x:v>Rentals Available</x:v>
      </x:c>
      <x:c r="Q433" s="1" t="n">
        <x:v>25569.999988425927</x:v>
      </x:c>
      <x:c r="R433" s="1" t="str"/>
      <x:c r="S433" s="1" t="str"/>
      <x:c r="T433" s="1" t="str">
        <x:v>N/A</x:v>
      </x:c>
      <x:c r="U433" s="1" t="str">
        <x:v>N/A</x:v>
      </x:c>
      <x:c r="V433" s="1" t="str">
        <x:v>1</x:v>
      </x:c>
      <x:c r="W433" s="1" t="str"/>
      <x:c r="X433" s="1" t="str">
        <x:v>false</x:v>
      </x:c>
      <x:c r="Y433" s="1" t="str">
        <x:v>false</x:v>
      </x:c>
      <x:c r="Z433" s="1" t="str">
        <x:v>[]</x:v>
      </x:c>
    </x:row>
    <x:row r="434" ht="15" hidden="0" customHeight="1">
      <x:c r="A434" s="1" t="str">
        <x:v>xcp87fm</x:v>
      </x:c>
      <x:c r="B434" s="5" t="str">
        <x:v>Tryon Flats Apartments</x:v>
      </x:c>
      <x:c r="C434" s="1" t="str">
        <x:v>3217496</x:v>
      </x:c>
      <x:c r="D434" s="1" t="str">
        <x:v>ss1xft7</x:v>
      </x:c>
      <x:c r="E434" s="1" t="str">
        <x:v>A2</x:v>
      </x:c>
      <x:c r="F434" s="1" t="n">
        <x:v>4</x:v>
      </x:c>
      <x:c r="G434" s="1" t="n">
        <x:v>4</x:v>
      </x:c>
      <x:c r="H434" s="1" t="n">
        <x:v>750</x:v>
      </x:c>
      <x:c r="I434" s="1" t="n">
        <x:v>750</x:v>
      </x:c>
      <x:c r="J434" s="1" t="str">
        <x:v>$750</x:v>
      </x:c>
      <x:c r="K434" s="1" t="str">
        <x:v>$750</x:v>
      </x:c>
      <x:c r="L434" s="1" t="str">
        <x:v>true</x:v>
      </x:c>
      <x:c r="M434" s="1" t="str">
        <x:v>1,300 sq. ft.</x:v>
      </x:c>
      <x:c r="N434" s="1" t="n">
        <x:v>1</x:v>
      </x:c>
      <x:c r="O434" s="1" t="str">
        <x:v>AvailableNow</x:v>
      </x:c>
      <x:c r="P434" s="1" t="str">
        <x:v>Rentals Available</x:v>
      </x:c>
      <x:c r="Q434" s="1" t="n">
        <x:v>46192.99998842592</x:v>
      </x:c>
      <x:c r="R434" s="1" t="str">
        <x:v>875</x:v>
      </x:c>
      <x:c r="S434" s="1" t="str"/>
      <x:c r="T434" s="1" t="str"/>
      <x:c r="U434" s="1" t="str"/>
      <x:c r="V434" s="1" t="str"/>
      <x:c r="W434" s="1" t="str"/>
      <x:c r="X434" s="1" t="str">
        <x:v>false</x:v>
      </x:c>
      <x:c r="Y434" s="1" t="str">
        <x:v>false</x:v>
      </x:c>
      <x:c r="Z434" s="1" t="str">
        <x:v>[]</x:v>
      </x:c>
    </x:row>
    <x:row r="435" ht="15" hidden="0" customHeight="1">
      <x:c r="A435" s="1" t="str">
        <x:v>ocpsq86tm4</x:v>
      </x:c>
      <x:c r="B435" s="5" t="str">
        <x:v>4bed 4bath Apartment Near Centennial Campus</x:v>
      </x:c>
      <x:c r="C435" s="1" t="str">
        <x:v>1</x:v>
      </x:c>
      <x:c r="D435" s="1" t="str">
        <x:v>q2j0gkx</x:v>
      </x:c>
      <x:c r="E435" s="1" t="str"/>
      <x:c r="F435" s="1" t="n">
        <x:v>4</x:v>
      </x:c>
      <x:c r="G435" s="1" t="n">
        <x:v>4</x:v>
      </x:c>
      <x:c r="H435" s="1" t="n">
        <x:v>725</x:v>
      </x:c>
      <x:c r="I435" s="1" t="n">
        <x:v>725</x:v>
      </x:c>
      <x:c r="J435" s="1" t="str">
        <x:v>$725</x:v>
      </x:c>
      <x:c r="K435" s="1" t="str">
        <x:v>$725</x:v>
      </x:c>
      <x:c r="L435" s="1" t="str">
        <x:v>true</x:v>
      </x:c>
      <x:c r="M435" s="1" t="str">
        <x:v>1,300 sq. ft.</x:v>
      </x:c>
      <x:c r="N435" s="1" t="n">
        <x:v>1</x:v>
      </x:c>
      <x:c r="O435" s="1" t="str">
        <x:v>AvailableNow</x:v>
      </x:c>
      <x:c r="P435" s="1" t="str">
        <x:v>Rentals Available</x:v>
      </x:c>
      <x:c r="Q435" s="1" t="n">
        <x:v>25569.999988425927</x:v>
      </x:c>
      <x:c r="R435" s="1" t="str"/>
      <x:c r="S435" s="1" t="str"/>
      <x:c r="T435" s="1" t="str">
        <x:v>N/A</x:v>
      </x:c>
      <x:c r="U435" s="1" t="str">
        <x:v>N/A</x:v>
      </x:c>
      <x:c r="V435" s="1" t="str">
        <x:v>4</x:v>
      </x:c>
      <x:c r="W435" s="1" t="str"/>
      <x:c r="X435" s="1" t="str">
        <x:v>false</x:v>
      </x:c>
      <x:c r="Y435" s="1" t="str">
        <x:v>false</x:v>
      </x:c>
      <x:c r="Z435" s="1" t="str">
        <x:v>[]</x:v>
      </x:c>
    </x:row>
    <x:row r="436" ht="15" hidden="0" customHeight="1">
      <x:c r="A436" s="1" t="str">
        <x:v>35cz5ed</x:v>
      </x:c>
      <x:c r="B436" s="5" t="str">
        <x:v>644 Coleman St (Raleigh, NC)</x:v>
      </x:c>
      <x:c r="C436" s="1" t="str">
        <x:v>39831844</x:v>
      </x:c>
      <x:c r="D436" s="1" t="str">
        <x:v>nzs5yqp</x:v>
      </x:c>
      <x:c r="E436" s="1" t="str"/>
      <x:c r="F436" s="1" t="n">
        <x:v>3</x:v>
      </x:c>
      <x:c r="G436" s="1" t="n">
        <x:v>2.5</x:v>
      </x:c>
      <x:c r="H436" s="1" t="n">
        <x:v>2150</x:v>
      </x:c>
      <x:c r="I436" s="1" t="n">
        <x:v>2150</x:v>
      </x:c>
      <x:c r="J436" s="1" t="str">
        <x:v>$2,150</x:v>
      </x:c>
      <x:c r="K436" s="1" t="str">
        <x:v>$2,150</x:v>
      </x:c>
      <x:c r="L436" s="1" t="str">
        <x:v>false</x:v>
      </x:c>
      <x:c r="M436" s="1" t="str">
        <x:v>1,320 sq. ft.</x:v>
      </x:c>
      <x:c r="N436" s="1" t="n">
        <x:v>1</x:v>
      </x:c>
      <x:c r="O436" s="1" t="str">
        <x:v>AvailableNow</x:v>
      </x:c>
      <x:c r="P436" s="1" t="str">
        <x:v>Rentals Available</x:v>
      </x:c>
      <x:c r="Q436" s="1" t="n">
        <x:v>46268.99998842592</x:v>
      </x:c>
      <x:c r="R436" s="1" t="str">
        <x:v>2150</x:v>
      </x:c>
      <x:c r="S436" s="1" t="str"/>
      <x:c r="T436" s="1" t="str"/>
      <x:c r="U436" s="1" t="str"/>
      <x:c r="V436" s="1" t="str"/>
      <x:c r="W436" s="1" t="str"/>
      <x:c r="X436" s="1" t="str">
        <x:v>false</x:v>
      </x:c>
      <x:c r="Y436" s="1" t="str">
        <x:v>false</x:v>
      </x:c>
      <x:c r="Z436" s="1" t="str">
        <x:v>[]</x:v>
      </x:c>
    </x:row>
    <x:row r="437" ht="15" hidden="0" customHeight="1">
      <x:c r="A437" s="1" t="str">
        <x:v>ocp2gxtxqc</x:v>
      </x:c>
      <x:c r="B437" s="5" t="str">
        <x:v>The Station</x:v>
      </x:c>
      <x:c r="C437" s="1" t="str">
        <x:v>1</x:v>
      </x:c>
      <x:c r="D437" s="1" t="str">
        <x:v>q2j0gkx</x:v>
      </x:c>
      <x:c r="E437" s="1" t="str"/>
      <x:c r="F437" s="1" t="n">
        <x:v>1</x:v>
      </x:c>
      <x:c r="G437" s="1" t="n">
        <x:v>4</x:v>
      </x:c>
      <x:c r="H437" s="1" t="n">
        <x:v>969</x:v>
      </x:c>
      <x:c r="I437" s="1" t="n">
        <x:v>969</x:v>
      </x:c>
      <x:c r="J437" s="1" t="str">
        <x:v>$969</x:v>
      </x:c>
      <x:c r="K437" s="1" t="str">
        <x:v>$969</x:v>
      </x:c>
      <x:c r="L437" s="1" t="str">
        <x:v>true</x:v>
      </x:c>
      <x:c r="M437" s="1" t="str"/>
      <x:c r="N437" s="1" t="n">
        <x:v>1</x:v>
      </x:c>
      <x:c r="O437" s="1" t="str">
        <x:v>FutureDate</x:v>
      </x:c>
      <x:c r="P437" s="1" t="str">
        <x:v>Available Soon</x:v>
      </x:c>
      <x:c r="Q437" s="1" t="n">
        <x:v>46389.99998842592</x:v>
      </x:c>
      <x:c r="R437" s="1" t="str"/>
      <x:c r="S437" s="1" t="str"/>
      <x:c r="T437" s="1" t="str">
        <x:v>N/A</x:v>
      </x:c>
      <x:c r="U437" s="1" t="str">
        <x:v>N/A</x:v>
      </x:c>
      <x:c r="V437" s="1" t="str">
        <x:v>4</x:v>
      </x:c>
      <x:c r="W437" s="1" t="str"/>
      <x:c r="X437" s="1" t="str">
        <x:v>false</x:v>
      </x:c>
      <x:c r="Y437" s="1" t="str">
        <x:v>false</x:v>
      </x:c>
      <x:c r="Z437" s="1" t="str">
        <x:v>[]</x:v>
      </x:c>
    </x:row>
    <x:row r="438" ht="15" hidden="0" customHeight="1">
      <x:c r="A438" s="1" t="str">
        <x:v>pxc3rhs</x:v>
      </x:c>
      <x:c r="B438" s="5" t="str">
        <x:v>Room in Condo on Crab Orchard Dr</x:v>
      </x:c>
      <x:c r="C438" s="1" t="str">
        <x:v>35127316</x:v>
      </x:c>
      <x:c r="D438" s="1" t="str">
        <x:v>d193mhk</x:v>
      </x:c>
      <x:c r="E438" s="1" t="str"/>
      <x:c r="F438" s="1" t="n">
        <x:v>1</x:v>
      </x:c>
      <x:c r="G438" s="1" t="n">
        <x:v>1</x:v>
      </x:c>
      <x:c r="H438" s="1" t="n">
        <x:v>675</x:v>
      </x:c>
      <x:c r="I438" s="1" t="n">
        <x:v>675</x:v>
      </x:c>
      <x:c r="J438" s="1" t="str">
        <x:v>$675</x:v>
      </x:c>
      <x:c r="K438" s="1" t="str">
        <x:v>$675</x:v>
      </x:c>
      <x:c r="L438" s="1" t="str">
        <x:v>false</x:v>
      </x:c>
      <x:c r="M438" s="1" t="str">
        <x:v>1,173 sq. ft.</x:v>
      </x:c>
      <x:c r="N438" s="1" t="n">
        <x:v>1</x:v>
      </x:c>
      <x:c r="O438" s="1" t="str">
        <x:v>CallForAvailability</x:v>
      </x:c>
      <x:c r="P438" s="1" t="str">
        <x:v>Rentals Available</x:v>
      </x:c>
      <x:c r="Q438" s="1" t="n">
        <x:v>46274.99998842592</x:v>
      </x:c>
      <x:c r="R438" s="1" t="str"/>
      <x:c r="S438" s="1" t="str"/>
      <x:c r="T438" s="1" t="str"/>
      <x:c r="U438" s="1" t="str"/>
      <x:c r="V438" s="1" t="str"/>
      <x:c r="W438" s="1" t="str"/>
      <x:c r="X438" s="1" t="str">
        <x:v>false</x:v>
      </x:c>
      <x:c r="Y438" s="1" t="str">
        <x:v>false</x:v>
      </x:c>
      <x:c r="Z438" s="1" t="str">
        <x:v>[]</x:v>
      </x:c>
    </x:row>
    <x:row r="439" ht="15" hidden="0" customHeight="1">
      <x:c r="A439" s="1" t="str">
        <x:v>ocppbmmgnt</x:v>
      </x:c>
      <x:c r="B439" s="5" t="str">
        <x:v>5 bedroom townhome available near NC State</x:v>
      </x:c>
      <x:c r="C439" s="1" t="str">
        <x:v>1</x:v>
      </x:c>
      <x:c r="D439" s="1" t="str">
        <x:v>q2j0gkx</x:v>
      </x:c>
      <x:c r="E439" s="1" t="str"/>
      <x:c r="F439" s="1" t="n">
        <x:v>2</x:v>
      </x:c>
      <x:c r="G439" s="1" t="n">
        <x:v>2</x:v>
      </x:c>
      <x:c r="H439" s="1" t="n">
        <x:v>650</x:v>
      </x:c>
      <x:c r="I439" s="1" t="n">
        <x:v>650</x:v>
      </x:c>
      <x:c r="J439" s="1" t="str">
        <x:v>$650</x:v>
      </x:c>
      <x:c r="K439" s="1" t="str">
        <x:v>$650</x:v>
      </x:c>
      <x:c r="L439" s="1" t="str">
        <x:v>true</x:v>
      </x:c>
      <x:c r="M439" s="1" t="str">
        <x:v>2,700 sq. ft.</x:v>
      </x:c>
      <x:c r="N439" s="1" t="n">
        <x:v>1</x:v>
      </x:c>
      <x:c r="O439" s="1" t="str">
        <x:v>AvailableNow</x:v>
      </x:c>
      <x:c r="P439" s="1" t="str">
        <x:v>Rentals Available</x:v>
      </x:c>
      <x:c r="Q439" s="1" t="n">
        <x:v>46235.99998842592</x:v>
      </x:c>
      <x:c r="R439" s="1" t="str"/>
      <x:c r="S439" s="1" t="str"/>
      <x:c r="T439" s="1" t="str">
        <x:v>N/A</x:v>
      </x:c>
      <x:c r="U439" s="1" t="str">
        <x:v>N/A</x:v>
      </x:c>
      <x:c r="V439" s="1" t="str">
        <x:v>5</x:v>
      </x:c>
      <x:c r="W439" s="1" t="str"/>
      <x:c r="X439" s="1" t="str">
        <x:v>false</x:v>
      </x:c>
      <x:c r="Y439" s="1" t="str">
        <x:v>false</x:v>
      </x:c>
      <x:c r="Z439" s="1" t="str">
        <x:v>[]</x:v>
      </x:c>
    </x:row>
    <x:row r="440" ht="15" hidden="0" customHeight="1">
      <x:c r="A440" s="1" t="str">
        <x:v>tqbb2mb</x:v>
      </x:c>
      <x:c r="B440" s="5" t="str">
        <x:v>Room in House on Okelly St</x:v>
      </x:c>
      <x:c r="C440" s="1" t="str">
        <x:v>1</x:v>
      </x:c>
      <x:c r="D440" s="1" t="str">
        <x:v>q2j0gkx</x:v>
      </x:c>
      <x:c r="E440" s="1" t="str"/>
      <x:c r="F440" s="1" t="n">
        <x:v>1</x:v>
      </x:c>
      <x:c r="G440" s="1" t="n">
        <x:v>1</x:v>
      </x:c>
      <x:c r="H440" s="1" t="n">
        <x:v>700</x:v>
      </x:c>
      <x:c r="I440" s="1" t="n">
        <x:v>700</x:v>
      </x:c>
      <x:c r="J440" s="1" t="str">
        <x:v>$700</x:v>
      </x:c>
      <x:c r="K440" s="1" t="str">
        <x:v>$700</x:v>
      </x:c>
      <x:c r="L440" s="1" t="str">
        <x:v>false</x:v>
      </x:c>
      <x:c r="M440" s="1" t="str">
        <x:v>1,300 sq. ft.</x:v>
      </x:c>
      <x:c r="N440" s="1" t="n">
        <x:v>1</x:v>
      </x:c>
      <x:c r="O440" s="1" t="str">
        <x:v>AvailableNow</x:v>
      </x:c>
      <x:c r="P440" s="1" t="str">
        <x:v>Rentals Available</x:v>
      </x:c>
      <x:c r="Q440" s="1" t="n">
        <x:v>46274.99998842592</x:v>
      </x:c>
      <x:c r="R440" s="1" t="str"/>
      <x:c r="S440" s="1" t="str"/>
      <x:c r="T440" s="1" t="str"/>
      <x:c r="U440" s="1" t="str"/>
      <x:c r="V440" s="1" t="str"/>
      <x:c r="W440" s="1" t="str"/>
      <x:c r="X440" s="1" t="str">
        <x:v>false</x:v>
      </x:c>
      <x:c r="Y440" s="1" t="str">
        <x:v>false</x:v>
      </x:c>
      <x:c r="Z440" s="1" t="str">
        <x:v>[]</x:v>
      </x:c>
    </x:row>
    <x:row r="441" ht="15" hidden="0" customHeight="1">
      <x:c r="A441" s="1" t="str">
        <x:v>ocp176ghy4</x:v>
      </x:c>
      <x:c r="B441" s="5" t="str">
        <x:v>Campus Crossings Raleigh</x:v>
      </x:c>
      <x:c r="C441" s="1" t="str">
        <x:v>1</x:v>
      </x:c>
      <x:c r="D441" s="1" t="str">
        <x:v>q2j0gkx</x:v>
      </x:c>
      <x:c r="E441" s="1" t="str"/>
      <x:c r="F441" s="1" t="n">
        <x:v>1</x:v>
      </x:c>
      <x:c r="G441" s="1" t="n">
        <x:v>1</x:v>
      </x:c>
      <x:c r="H441" s="1" t="n">
        <x:v>865</x:v>
      </x:c>
      <x:c r="I441" s="1" t="n">
        <x:v>865</x:v>
      </x:c>
      <x:c r="J441" s="1" t="str">
        <x:v>$865</x:v>
      </x:c>
      <x:c r="K441" s="1" t="str">
        <x:v>$865</x:v>
      </x:c>
      <x:c r="L441" s="1" t="str">
        <x:v>true</x:v>
      </x:c>
      <x:c r="M441" s="1" t="str"/>
      <x:c r="N441" s="1" t="n">
        <x:v>1</x:v>
      </x:c>
      <x:c r="O441" s="1" t="str">
        <x:v>AvailableNow</x:v>
      </x:c>
      <x:c r="P441" s="1" t="str">
        <x:v>Rentals Available</x:v>
      </x:c>
      <x:c r="Q441" s="1" t="n">
        <x:v>25569.999988425927</x:v>
      </x:c>
      <x:c r="R441" s="1" t="str"/>
      <x:c r="S441" s="1" t="str"/>
      <x:c r="T441" s="1" t="str">
        <x:v>N/A</x:v>
      </x:c>
      <x:c r="U441" s="1" t="str">
        <x:v>N/A</x:v>
      </x:c>
      <x:c r="V441" s="1" t="str">
        <x:v>1</x:v>
      </x:c>
      <x:c r="W441" s="1" t="str"/>
      <x:c r="X441" s="1" t="str">
        <x:v>false</x:v>
      </x:c>
      <x:c r="Y441" s="1" t="str">
        <x:v>false</x:v>
      </x:c>
      <x:c r="Z441" s="1" t="str">
        <x:v>[]</x:v>
      </x:c>
    </x:row>
    <x:row r="442" ht="15" hidden="0" customHeight="1">
      <x:c r="A442" s="1" t="str">
        <x:v>qcvpeqz</x:v>
      </x:c>
      <x:c r="B442" s="5" t="str">
        <x:v>1431 Collegiate Cir (Raleigh, NC)</x:v>
      </x:c>
      <x:c r="C442" s="1" t="str">
        <x:v>40259345</x:v>
      </x:c>
      <x:c r="D442" s="1" t="str">
        <x:v>znftldx</x:v>
      </x:c>
      <x:c r="E442" s="1" t="str"/>
      <x:c r="F442" s="1" t="n">
        <x:v>1</x:v>
      </x:c>
      <x:c r="G442" s="1" t="n">
        <x:v>1</x:v>
      </x:c>
      <x:c r="H442" s="1" t="n">
        <x:v>725</x:v>
      </x:c>
      <x:c r="I442" s="1" t="n">
        <x:v>725</x:v>
      </x:c>
      <x:c r="J442" s="1" t="str">
        <x:v>$725</x:v>
      </x:c>
      <x:c r="K442" s="1" t="str">
        <x:v>$725</x:v>
      </x:c>
      <x:c r="L442" s="1" t="str">
        <x:v>false</x:v>
      </x:c>
      <x:c r="M442" s="1" t="str"/>
      <x:c r="N442" s="1" t="n">
        <x:v>1</x:v>
      </x:c>
      <x:c r="O442" s="1" t="str">
        <x:v>AvailableNow</x:v>
      </x:c>
      <x:c r="P442" s="1" t="str">
        <x:v>Rentals Available</x:v>
      </x:c>
      <x:c r="Q442" s="1" t="n">
        <x:v>46272.99998842592</x:v>
      </x:c>
      <x:c r="R442" s="1" t="str">
        <x:v>950</x:v>
      </x:c>
      <x:c r="S442" s="1" t="str"/>
      <x:c r="T442" s="1" t="str"/>
      <x:c r="U442" s="1" t="str"/>
      <x:c r="V442" s="1" t="str"/>
      <x:c r="W442" s="1" t="str"/>
      <x:c r="X442" s="1" t="str">
        <x:v>false</x:v>
      </x:c>
      <x:c r="Y442" s="1" t="str">
        <x:v>false</x:v>
      </x:c>
      <x:c r="Z442" s="1" t="str">
        <x:v>[]</x:v>
      </x:c>
    </x:row>
    <x:row r="443" ht="15" hidden="0" customHeight="1">
      <x:c r="A443" s="1" t="str">
        <x:v>ocpqe84m5z</x:v>
      </x:c>
      <x:c r="B443" s="5" t="str">
        <x:v>University Commons, close to Wolfline Stops</x:v>
      </x:c>
      <x:c r="C443" s="1" t="str">
        <x:v>1</x:v>
      </x:c>
      <x:c r="D443" s="1" t="str">
        <x:v>q2j0gkx</x:v>
      </x:c>
      <x:c r="E443" s="1" t="str"/>
      <x:c r="F443" s="1" t="n">
        <x:v>4</x:v>
      </x:c>
      <x:c r="G443" s="1" t="n">
        <x:v>4</x:v>
      </x:c>
      <x:c r="H443" s="1" t="n">
        <x:v>2500</x:v>
      </x:c>
      <x:c r="I443" s="1" t="n">
        <x:v>2500</x:v>
      </x:c>
      <x:c r="J443" s="1" t="str">
        <x:v>$2,500</x:v>
      </x:c>
      <x:c r="K443" s="1" t="str">
        <x:v>$2,500</x:v>
      </x:c>
      <x:c r="L443" s="1" t="str">
        <x:v>false</x:v>
      </x:c>
      <x:c r="M443" s="1" t="str">
        <x:v>1,224 sq. ft.</x:v>
      </x:c>
      <x:c r="N443" s="1" t="n">
        <x:v>1</x:v>
      </x:c>
      <x:c r="O443" s="1" t="str">
        <x:v>AvailableNow</x:v>
      </x:c>
      <x:c r="P443" s="1" t="str">
        <x:v>Rentals Available</x:v>
      </x:c>
      <x:c r="Q443" s="1" t="n">
        <x:v>46235.99998842592</x:v>
      </x:c>
      <x:c r="R443" s="1" t="str"/>
      <x:c r="S443" s="1" t="str"/>
      <x:c r="T443" s="1" t="str">
        <x:v>N/A</x:v>
      </x:c>
      <x:c r="U443" s="1" t="str">
        <x:v>N/A</x:v>
      </x:c>
      <x:c r="V443" s="1" t="str">
        <x:v>4</x:v>
      </x:c>
      <x:c r="W443" s="1" t="str"/>
      <x:c r="X443" s="1" t="str">
        <x:v>false</x:v>
      </x:c>
      <x:c r="Y443" s="1" t="str">
        <x:v>false</x:v>
      </x:c>
      <x:c r="Z443" s="1" t="str">
        <x:v>[]</x:v>
      </x:c>
    </x:row>
    <x:row r="444" ht="15" hidden="0" customHeight="1">
      <x:c r="A444" s="1" t="str">
        <x:v>c1v4mzd</x:v>
      </x:c>
      <x:c r="B444" s="5" t="str">
        <x:v>Room in House on Henslowe Dr</x:v>
      </x:c>
      <x:c r="C444" s="1" t="str">
        <x:v>1</x:v>
      </x:c>
      <x:c r="D444" s="1" t="str">
        <x:v>q2j0gkx</x:v>
      </x:c>
      <x:c r="E444" s="1" t="str"/>
      <x:c r="F444" s="1" t="n">
        <x:v>1</x:v>
      </x:c>
      <x:c r="G444" s="1" t="n">
        <x:v>1</x:v>
      </x:c>
      <x:c r="H444" s="1" t="n">
        <x:v>670</x:v>
      </x:c>
      <x:c r="I444" s="1" t="n">
        <x:v>670</x:v>
      </x:c>
      <x:c r="J444" s="1" t="str">
        <x:v>$670</x:v>
      </x:c>
      <x:c r="K444" s="1" t="str">
        <x:v>$670</x:v>
      </x:c>
      <x:c r="L444" s="1" t="str">
        <x:v>false</x:v>
      </x:c>
      <x:c r="M444" s="1" t="str">
        <x:v>1,900 sq. ft.</x:v>
      </x:c>
      <x:c r="N444" s="1" t="n">
        <x:v>1</x:v>
      </x:c>
      <x:c r="O444" s="1" t="str">
        <x:v>CallForAvailability</x:v>
      </x:c>
      <x:c r="P444" s="1" t="str">
        <x:v>Rentals Available</x:v>
      </x:c>
      <x:c r="Q444" s="1" t="n">
        <x:v>46274.99998842592</x:v>
      </x:c>
      <x:c r="R444" s="1" t="str"/>
      <x:c r="S444" s="1" t="str"/>
      <x:c r="T444" s="1" t="str"/>
      <x:c r="U444" s="1" t="str"/>
      <x:c r="V444" s="1" t="str"/>
      <x:c r="W444" s="1" t="str"/>
      <x:c r="X444" s="1" t="str">
        <x:v>false</x:v>
      </x:c>
      <x:c r="Y444" s="1" t="str">
        <x:v>false</x:v>
      </x:c>
      <x:c r="Z444" s="1" t="str">
        <x:v>[]</x:v>
      </x:c>
    </x:row>
    <x:row r="445" ht="15" hidden="0" customHeight="1">
      <x:c r="A445" s="1" t="str">
        <x:v>ocpx51p4tm</x:v>
      </x:c>
      <x:c r="B445" s="5" t="str">
        <x:v>Condo near NCSU</x:v>
      </x:c>
      <x:c r="C445" s="1" t="str">
        <x:v>1</x:v>
      </x:c>
      <x:c r="D445" s="1" t="str">
        <x:v>q2j0gkx</x:v>
      </x:c>
      <x:c r="E445" s="1" t="str"/>
      <x:c r="F445" s="1" t="n">
        <x:v>4</x:v>
      </x:c>
      <x:c r="G445" s="1" t="n">
        <x:v>4</x:v>
      </x:c>
      <x:c r="H445" s="1" t="n">
        <x:v>800</x:v>
      </x:c>
      <x:c r="I445" s="1" t="n">
        <x:v>800</x:v>
      </x:c>
      <x:c r="J445" s="1" t="str">
        <x:v>$800</x:v>
      </x:c>
      <x:c r="K445" s="1" t="str">
        <x:v>$800</x:v>
      </x:c>
      <x:c r="L445" s="1" t="str">
        <x:v>true</x:v>
      </x:c>
      <x:c r="M445" s="1" t="str"/>
      <x:c r="N445" s="1" t="n">
        <x:v>1</x:v>
      </x:c>
      <x:c r="O445" s="1" t="str">
        <x:v>AvailableNow</x:v>
      </x:c>
      <x:c r="P445" s="1" t="str">
        <x:v>Rentals Available</x:v>
      </x:c>
      <x:c r="Q445" s="1" t="n">
        <x:v>25569.999988425927</x:v>
      </x:c>
      <x:c r="R445" s="1" t="str"/>
      <x:c r="S445" s="1" t="str"/>
      <x:c r="T445" s="1" t="str">
        <x:v>N/A</x:v>
      </x:c>
      <x:c r="U445" s="1" t="str">
        <x:v>N/A</x:v>
      </x:c>
      <x:c r="V445" s="1" t="str">
        <x:v>1</x:v>
      </x:c>
      <x:c r="W445" s="1" t="str"/>
      <x:c r="X445" s="1" t="str">
        <x:v>false</x:v>
      </x:c>
      <x:c r="Y445" s="1" t="str">
        <x:v>false</x:v>
      </x:c>
      <x:c r="Z445" s="1" t="str">
        <x:v>[]</x:v>
      </x:c>
    </x:row>
    <x:row r="446" ht="15" hidden="0" customHeight="1">
      <x:c r="A446" s="1" t="str">
        <x:v>x5wd0zn</x:v>
      </x:c>
      <x:c r="B446" s="5" t="str">
        <x:v>Room in House on Pineland Cir</x:v>
      </x:c>
      <x:c r="C446" s="1" t="str">
        <x:v>1</x:v>
      </x:c>
      <x:c r="D446" s="1" t="str">
        <x:v>q2j0gkx</x:v>
      </x:c>
      <x:c r="E446" s="1" t="str"/>
      <x:c r="F446" s="1" t="n">
        <x:v>1</x:v>
      </x:c>
      <x:c r="G446" s="1" t="n">
        <x:v>1</x:v>
      </x:c>
      <x:c r="H446" s="1" t="n">
        <x:v>700</x:v>
      </x:c>
      <x:c r="I446" s="1" t="n">
        <x:v>700</x:v>
      </x:c>
      <x:c r="J446" s="1" t="str">
        <x:v>$700</x:v>
      </x:c>
      <x:c r="K446" s="1" t="str">
        <x:v>$700</x:v>
      </x:c>
      <x:c r="L446" s="1" t="str">
        <x:v>false</x:v>
      </x:c>
      <x:c r="M446" s="1" t="str">
        <x:v>1,477 sq. ft.</x:v>
      </x:c>
      <x:c r="N446" s="1" t="n">
        <x:v>1</x:v>
      </x:c>
      <x:c r="O446" s="1" t="str">
        <x:v>AvailableNow</x:v>
      </x:c>
      <x:c r="P446" s="1" t="str">
        <x:v>Rentals Available</x:v>
      </x:c>
      <x:c r="Q446" s="1" t="n">
        <x:v>46274.99998842592</x:v>
      </x:c>
      <x:c r="R446" s="1" t="str"/>
      <x:c r="S446" s="1" t="str"/>
      <x:c r="T446" s="1" t="str"/>
      <x:c r="U446" s="1" t="str"/>
      <x:c r="V446" s="1" t="str"/>
      <x:c r="W446" s="1" t="str"/>
      <x:c r="X446" s="1" t="str">
        <x:v>false</x:v>
      </x:c>
      <x:c r="Y446" s="1" t="str">
        <x:v>false</x:v>
      </x:c>
      <x:c r="Z446" s="1" t="str">
        <x:v>[]</x:v>
      </x:c>
    </x:row>
    <x:row r="447" ht="15" hidden="0" customHeight="1">
      <x:c r="A447" s="1" t="str">
        <x:v>ocphdtdgk2</x:v>
      </x:c>
      <x:c r="B447" s="5" t="str">
        <x:v>105 Friendly Drive! Furnished Room Rentals with Utilities!</x:v>
      </x:c>
      <x:c r="C447" s="1" t="str">
        <x:v>129416</x:v>
      </x:c>
      <x:c r="D447" s="1" t="str">
        <x:v>mtgxxxl</x:v>
      </x:c>
      <x:c r="E447" s="1" t="str">
        <x:v>2 Bed 2 Bath</x:v>
      </x:c>
      <x:c r="F447" s="1" t="n">
        <x:v>2</x:v>
      </x:c>
      <x:c r="G447" s="1" t="n">
        <x:v>2</x:v>
      </x:c>
      <x:c r="H447" s="1" t="n">
        <x:v>925</x:v>
      </x:c>
      <x:c r="I447" s="1" t="n">
        <x:v>925</x:v>
      </x:c>
      <x:c r="J447" s="1" t="str">
        <x:v>$925</x:v>
      </x:c>
      <x:c r="K447" s="1" t="str">
        <x:v>$930</x:v>
      </x:c>
      <x:c r="L447" s="1" t="str">
        <x:v>true</x:v>
      </x:c>
      <x:c r="M447" s="1" t="str">
        <x:v>653 sq. ft.</x:v>
      </x:c>
      <x:c r="N447" s="1" t="n">
        <x:v>1</x:v>
      </x:c>
      <x:c r="O447" s="1" t="str">
        <x:v>AvailableNow</x:v>
      </x:c>
      <x:c r="P447" s="1" t="str">
        <x:v>Rentals Available</x:v>
      </x:c>
      <x:c r="Q447" s="1" t="n">
        <x:v>46247.99998842592</x:v>
      </x:c>
      <x:c r="R447" s="1" t="str">
        <x:v>925</x:v>
      </x:c>
      <x:c r="S447" s="1" t="str">
        <x:v>$925 - $1,850</x:v>
      </x:c>
      <x:c r="T447" s="1" t="str">
        <x:v>N/A</x:v>
      </x:c>
      <x:c r="U447" s="1" t="str">
        <x:v>N/A</x:v>
      </x:c>
      <x:c r="V447" s="1" t="str">
        <x:v>2</x:v>
      </x:c>
      <x:c r="W447" s="1" t="str"/>
      <x:c r="X447" s="1" t="str">
        <x:v>false</x:v>
      </x:c>
      <x:c r="Y447" s="1" t="str">
        <x:v>false</x:v>
      </x:c>
      <x:c r="Z447" s="1" t="str">
        <x:v>[]</x:v>
      </x:c>
    </x:row>
    <x:row r="448" ht="15" hidden="0" customHeight="1">
      <x:c r="A448" s="1" t="str">
        <x:v>ocphdtdgk2</x:v>
      </x:c>
      <x:c r="B448" s="5" t="str">
        <x:v>105 Friendly Drive! Furnished Room Rentals with Utilities!</x:v>
      </x:c>
      <x:c r="C448" s="1" t="str">
        <x:v>119878</x:v>
      </x:c>
      <x:c r="D448" s="1" t="str">
        <x:v>bh3s4bb</x:v>
      </x:c>
      <x:c r="E448" s="1" t="str">
        <x:v>2 Bedroom 2 Bathroom Penthouse</x:v>
      </x:c>
      <x:c r="F448" s="1" t="n">
        <x:v>2</x:v>
      </x:c>
      <x:c r="G448" s="1" t="n">
        <x:v>2</x:v>
      </x:c>
      <x:c r="H448" s="1" t="n">
        <x:v>1050</x:v>
      </x:c>
      <x:c r="I448" s="1" t="n">
        <x:v>1050</x:v>
      </x:c>
      <x:c r="J448" s="1" t="str">
        <x:v>$1,050</x:v>
      </x:c>
      <x:c r="K448" s="1" t="str">
        <x:v>$1,055</x:v>
      </x:c>
      <x:c r="L448" s="1" t="str">
        <x:v>true</x:v>
      </x:c>
      <x:c r="M448" s="1" t="str">
        <x:v>759 sq. ft.</x:v>
      </x:c>
      <x:c r="N448" s="1" t="n">
        <x:v>1</x:v>
      </x:c>
      <x:c r="O448" s="1" t="str">
        <x:v>AvailableNow</x:v>
      </x:c>
      <x:c r="P448" s="1" t="str">
        <x:v>Rentals Available</x:v>
      </x:c>
      <x:c r="Q448" s="1" t="n">
        <x:v>25569.999988425927</x:v>
      </x:c>
      <x:c r="R448" s="1" t="str">
        <x:v>1050</x:v>
      </x:c>
      <x:c r="S448" s="1" t="str">
        <x:v>$1,050 - $2,100</x:v>
      </x:c>
      <x:c r="T448" s="1" t="str">
        <x:v>N/A</x:v>
      </x:c>
      <x:c r="U448" s="1" t="str">
        <x:v>N/A</x:v>
      </x:c>
      <x:c r="V448" s="1" t="str">
        <x:v>2</x:v>
      </x:c>
      <x:c r="W448" s="1" t="str"/>
      <x:c r="X448" s="1" t="str">
        <x:v>false</x:v>
      </x:c>
      <x:c r="Y448" s="1" t="str">
        <x:v>false</x:v>
      </x:c>
      <x:c r="Z448" s="1" t="str">
        <x:v>[]</x:v>
      </x:c>
    </x:row>
    <x:row r="449" ht="15" hidden="0" customHeight="1">
      <x:c r="A449" s="1" t="str">
        <x:v>ocphdtdgk2</x:v>
      </x:c>
      <x:c r="B449" s="5" t="str">
        <x:v>105 Friendly Drive! Furnished Room Rentals with Utilities!</x:v>
      </x:c>
      <x:c r="C449" s="1" t="str">
        <x:v>119877</x:v>
      </x:c>
      <x:c r="D449" s="1" t="str">
        <x:v>n6vwtmp</x:v>
      </x:c>
      <x:c r="E449" s="1" t="str">
        <x:v>4 Bedroom 4 Bathroom</x:v>
      </x:c>
      <x:c r="F449" s="1" t="n">
        <x:v>4</x:v>
      </x:c>
      <x:c r="G449" s="1" t="n">
        <x:v>4</x:v>
      </x:c>
      <x:c r="H449" s="1" t="n">
        <x:v>775</x:v>
      </x:c>
      <x:c r="I449" s="1" t="n">
        <x:v>775</x:v>
      </x:c>
      <x:c r="J449" s="1" t="str">
        <x:v>$775</x:v>
      </x:c>
      <x:c r="K449" s="1" t="str">
        <x:v>$778</x:v>
      </x:c>
      <x:c r="L449" s="1" t="str">
        <x:v>true</x:v>
      </x:c>
      <x:c r="M449" s="1" t="str">
        <x:v>1,420 sq. ft.</x:v>
      </x:c>
      <x:c r="N449" s="1" t="n">
        <x:v>1</x:v>
      </x:c>
      <x:c r="O449" s="1" t="str">
        <x:v>AvailableNow</x:v>
      </x:c>
      <x:c r="P449" s="1" t="str">
        <x:v>Rentals Available</x:v>
      </x:c>
      <x:c r="Q449" s="1" t="n">
        <x:v>46247.99998842592</x:v>
      </x:c>
      <x:c r="R449" s="1" t="str">
        <x:v>775</x:v>
      </x:c>
      <x:c r="S449" s="1" t="str">
        <x:v>$775 - $1,550</x:v>
      </x:c>
      <x:c r="T449" s="1" t="str">
        <x:v>N/A</x:v>
      </x:c>
      <x:c r="U449" s="1" t="str">
        <x:v>N/A</x:v>
      </x:c>
      <x:c r="V449" s="1" t="str">
        <x:v>4</x:v>
      </x:c>
      <x:c r="W449" s="1" t="str"/>
      <x:c r="X449" s="1" t="str">
        <x:v>false</x:v>
      </x:c>
      <x:c r="Y449" s="1" t="str">
        <x:v>false</x:v>
      </x:c>
      <x:c r="Z449" s="1" t="str">
        <x:v>[]</x:v>
      </x:c>
    </x:row>
    <x:row r="450" ht="15" hidden="0" customHeight="1">
      <x:c r="A450" s="1" t="str">
        <x:v>51px18q</x:v>
      </x:c>
      <x:c r="B450" s="5" t="str">
        <x:v>1101 Gunnison Pl (Raleigh, NC)</x:v>
      </x:c>
      <x:c r="C450" s="1" t="str">
        <x:v>1</x:v>
      </x:c>
      <x:c r="D450" s="1" t="str">
        <x:v>q2j0gkx</x:v>
      </x:c>
      <x:c r="E450" s="1" t="str"/>
      <x:c r="F450" s="1" t="n">
        <x:v>3</x:v>
      </x:c>
      <x:c r="G450" s="1" t="n">
        <x:v>2.5</x:v>
      </x:c>
      <x:c r="H450" s="1" t="n">
        <x:v>3200</x:v>
      </x:c>
      <x:c r="I450" s="1" t="n">
        <x:v>3200</x:v>
      </x:c>
      <x:c r="J450" s="1" t="str">
        <x:v>$3,200</x:v>
      </x:c>
      <x:c r="K450" s="1" t="str">
        <x:v>$3,200</x:v>
      </x:c>
      <x:c r="L450" s="1" t="str">
        <x:v>false</x:v>
      </x:c>
      <x:c r="M450" s="1" t="str">
        <x:v>1,723 sq. ft.</x:v>
      </x:c>
      <x:c r="N450" s="1" t="n">
        <x:v>1</x:v>
      </x:c>
      <x:c r="O450" s="1" t="str">
        <x:v>AvailableNow</x:v>
      </x:c>
      <x:c r="P450" s="1" t="str">
        <x:v>Rentals Available</x:v>
      </x:c>
      <x:c r="Q450" s="1" t="n">
        <x:v>46255.99998842592</x:v>
      </x:c>
      <x:c r="R450" s="1" t="str">
        <x:v>3200</x:v>
      </x:c>
      <x:c r="S450" s="1" t="str"/>
      <x:c r="T450" s="1" t="str"/>
      <x:c r="U450" s="1" t="str"/>
      <x:c r="V450" s="1" t="str"/>
      <x:c r="W450" s="1" t="str"/>
      <x:c r="X450" s="1" t="str">
        <x:v>false</x:v>
      </x:c>
      <x:c r="Y450" s="1" t="str">
        <x:v>false</x:v>
      </x:c>
      <x:c r="Z450" s="1" t="str">
        <x:v>[]</x:v>
      </x:c>
    </x:row>
    <x:row r="451" ht="15" hidden="0" customHeight="1">
      <x:c r="A451" s="1" t="str">
        <x:v>ocpjxe9lb5</x:v>
      </x:c>
      <x:c r="B451" s="5" t="str">
        <x:v>Private House room listing</x:v>
      </x:c>
      <x:c r="C451" s="1" t="str">
        <x:v>1</x:v>
      </x:c>
      <x:c r="D451" s="1" t="str">
        <x:v>q2j0gkx</x:v>
      </x:c>
      <x:c r="E451" s="1" t="str"/>
      <x:c r="F451" s="1" t="n">
        <x:v>1</x:v>
      </x:c>
      <x:c r="G451" s="1" t="n">
        <x:v>1.5</x:v>
      </x:c>
      <x:c r="H451" s="1" t="n">
        <x:v>1000</x:v>
      </x:c>
      <x:c r="I451" s="1" t="n">
        <x:v>1000</x:v>
      </x:c>
      <x:c r="J451" s="1" t="str">
        <x:v>$1,000</x:v>
      </x:c>
      <x:c r="K451" s="1" t="str">
        <x:v>$1,000</x:v>
      </x:c>
      <x:c r="L451" s="1" t="str">
        <x:v>true</x:v>
      </x:c>
      <x:c r="M451" s="1" t="str">
        <x:v>1,250 sq. ft.</x:v>
      </x:c>
      <x:c r="N451" s="1" t="n">
        <x:v>1</x:v>
      </x:c>
      <x:c r="O451" s="1" t="str">
        <x:v>AvailableNow</x:v>
      </x:c>
      <x:c r="P451" s="1" t="str">
        <x:v>Rentals Available</x:v>
      </x:c>
      <x:c r="Q451" s="1" t="n">
        <x:v>25569.999988425927</x:v>
      </x:c>
      <x:c r="R451" s="1" t="str"/>
      <x:c r="S451" s="1" t="str"/>
      <x:c r="T451" s="1" t="str">
        <x:v>N/A</x:v>
      </x:c>
      <x:c r="U451" s="1" t="str">
        <x:v>N/A</x:v>
      </x:c>
      <x:c r="V451" s="1" t="str">
        <x:v>1</x:v>
      </x:c>
      <x:c r="W451" s="1" t="str"/>
      <x:c r="X451" s="1" t="str">
        <x:v>false</x:v>
      </x:c>
      <x:c r="Y451" s="1" t="str">
        <x:v>false</x:v>
      </x:c>
      <x:c r="Z451" s="1" t="str">
        <x:v>[]</x:v>
      </x:c>
    </x:row>
    <x:row r="452" ht="15" hidden="0" customHeight="1">
      <x:c r="A452" s="1" t="str">
        <x:v>6lbm6br</x:v>
      </x:c>
      <x:c r="B452" s="5" t="str">
        <x:v>2810 Crestscene Trail (Raleigh, NC)</x:v>
      </x:c>
      <x:c r="C452" s="1" t="str">
        <x:v>1</x:v>
      </x:c>
      <x:c r="D452" s="1" t="str">
        <x:v>q2j0gkx</x:v>
      </x:c>
      <x:c r="E452" s="1" t="str"/>
      <x:c r="F452" s="1" t="n">
        <x:v>3</x:v>
      </x:c>
      <x:c r="G452" s="1" t="n">
        <x:v>2.5</x:v>
      </x:c>
      <x:c r="H452" s="1" t="n">
        <x:v>2500</x:v>
      </x:c>
      <x:c r="I452" s="1" t="n">
        <x:v>2500</x:v>
      </x:c>
      <x:c r="J452" s="1" t="str">
        <x:v>$2,500</x:v>
      </x:c>
      <x:c r="K452" s="1" t="str">
        <x:v>$2,500</x:v>
      </x:c>
      <x:c r="L452" s="1" t="str">
        <x:v>false</x:v>
      </x:c>
      <x:c r="M452" s="1" t="str">
        <x:v>1,789 sq. ft.</x:v>
      </x:c>
      <x:c r="N452" s="1" t="n">
        <x:v>1</x:v>
      </x:c>
      <x:c r="O452" s="1" t="str">
        <x:v>FutureDate</x:v>
      </x:c>
      <x:c r="P452" s="1" t="str">
        <x:v>Available Soon</x:v>
      </x:c>
      <x:c r="Q452" s="1" t="n">
        <x:v>46539.99998842592</x:v>
      </x:c>
      <x:c r="R452" s="1" t="str">
        <x:v>2500</x:v>
      </x:c>
      <x:c r="S452" s="1" t="str"/>
      <x:c r="T452" s="1" t="str"/>
      <x:c r="U452" s="1" t="str"/>
      <x:c r="V452" s="1" t="str"/>
      <x:c r="W452" s="1" t="str"/>
      <x:c r="X452" s="1" t="str">
        <x:v>false</x:v>
      </x:c>
      <x:c r="Y452" s="1" t="str">
        <x:v>false</x:v>
      </x:c>
      <x:c r="Z452" s="1" t="str">
        <x:v>[]</x:v>
      </x:c>
    </x:row>
    <x:row r="453" ht="15" hidden="0" customHeight="1">
      <x:c r="A453" s="1" t="str">
        <x:v>ocp4lh373j</x:v>
      </x:c>
      <x:c r="B453" s="5" t="str">
        <x:v>Hub Raleigh – 4x2 Lease Takeover, Available Now</x:v>
      </x:c>
      <x:c r="C453" s="1" t="str">
        <x:v>1</x:v>
      </x:c>
      <x:c r="D453" s="1" t="str">
        <x:v>q2j0gkx</x:v>
      </x:c>
      <x:c r="E453" s="1" t="str"/>
      <x:c r="F453" s="1" t="n">
        <x:v>1</x:v>
      </x:c>
      <x:c r="G453" s="1" t="n">
        <x:v>2</x:v>
      </x:c>
      <x:c r="H453" s="1" t="n">
        <x:v>1199</x:v>
      </x:c>
      <x:c r="I453" s="1" t="n">
        <x:v>1199</x:v>
      </x:c>
      <x:c r="J453" s="1" t="str">
        <x:v>$1,199</x:v>
      </x:c>
      <x:c r="K453" s="1" t="str">
        <x:v>$1,199</x:v>
      </x:c>
      <x:c r="L453" s="1" t="str">
        <x:v>true</x:v>
      </x:c>
      <x:c r="M453" s="1" t="str"/>
      <x:c r="N453" s="1" t="n">
        <x:v>1</x:v>
      </x:c>
      <x:c r="O453" s="1" t="str">
        <x:v>AvailableNow</x:v>
      </x:c>
      <x:c r="P453" s="1" t="str">
        <x:v>Rentals Available</x:v>
      </x:c>
      <x:c r="Q453" s="1" t="n">
        <x:v>46254.99998842592</x:v>
      </x:c>
      <x:c r="R453" s="1" t="str"/>
      <x:c r="S453" s="1" t="str"/>
      <x:c r="T453" s="1" t="str">
        <x:v>N/A</x:v>
      </x:c>
      <x:c r="U453" s="1" t="str">
        <x:v>N/A</x:v>
      </x:c>
      <x:c r="V453" s="1" t="str">
        <x:v>4</x:v>
      </x:c>
      <x:c r="W453" s="1" t="str"/>
      <x:c r="X453" s="1" t="str">
        <x:v>false</x:v>
      </x:c>
      <x:c r="Y453" s="1" t="str">
        <x:v>false</x:v>
      </x:c>
      <x:c r="Z453" s="1" t="str">
        <x:v>[]</x:v>
      </x:c>
    </x:row>
    <x:row r="454" ht="15" hidden="0" customHeight="1">
      <x:c r="A454" s="1" t="str">
        <x:v>dnbdmqk</x:v>
      </x:c>
      <x:c r="B454" s="5" t="str">
        <x:v>2626 Wolf Cub Ct (Raleigh, NC)</x:v>
      </x:c>
      <x:c r="C454" s="1" t="str">
        <x:v>1</x:v>
      </x:c>
      <x:c r="D454" s="1" t="str">
        <x:v>q2j0gkx</x:v>
      </x:c>
      <x:c r="E454" s="1" t="str"/>
      <x:c r="F454" s="1" t="n">
        <x:v>3</x:v>
      </x:c>
      <x:c r="G454" s="1" t="n">
        <x:v>3.5</x:v>
      </x:c>
      <x:c r="H454" s="1" t="n">
        <x:v>1895</x:v>
      </x:c>
      <x:c r="I454" s="1" t="n">
        <x:v>1895</x:v>
      </x:c>
      <x:c r="J454" s="1" t="str">
        <x:v>$1,895</x:v>
      </x:c>
      <x:c r="K454" s="1" t="str">
        <x:v>$1,895</x:v>
      </x:c>
      <x:c r="L454" s="1" t="str">
        <x:v>false</x:v>
      </x:c>
      <x:c r="M454" s="1" t="str">
        <x:v>1,700 sq. ft.</x:v>
      </x:c>
      <x:c r="N454" s="1" t="n">
        <x:v>1</x:v>
      </x:c>
      <x:c r="O454" s="1" t="str">
        <x:v>AvailableNow</x:v>
      </x:c>
      <x:c r="P454" s="1" t="str">
        <x:v>Rentals Available</x:v>
      </x:c>
      <x:c r="Q454" s="1" t="n">
        <x:v>46251.99998842592</x:v>
      </x:c>
      <x:c r="R454" s="1" t="str">
        <x:v>1895</x:v>
      </x:c>
      <x:c r="S454" s="1" t="str"/>
      <x:c r="T454" s="1" t="str"/>
      <x:c r="U454" s="1" t="str"/>
      <x:c r="V454" s="1" t="str"/>
      <x:c r="W454" s="1" t="str"/>
      <x:c r="X454" s="1" t="str">
        <x:v>false</x:v>
      </x:c>
      <x:c r="Y454" s="1" t="str">
        <x:v>false</x:v>
      </x:c>
      <x:c r="Z454" s="1" t="str">
        <x:v>[]</x:v>
      </x:c>
    </x:row>
    <x:row r="455" ht="15" hidden="0" customHeight="1">
      <x:c r="A455" s="1" t="str">
        <x:v>ocp5cx5drn</x:v>
      </x:c>
      <x:c r="B455" s="5" t="str">
        <x:v>Valentine Commons</x:v>
      </x:c>
      <x:c r="C455" s="1" t="str">
        <x:v>1</x:v>
      </x:c>
      <x:c r="D455" s="1" t="str">
        <x:v>q2j0gkx</x:v>
      </x:c>
      <x:c r="E455" s="1" t="str"/>
      <x:c r="F455" s="1" t="n">
        <x:v>4</x:v>
      </x:c>
      <x:c r="G455" s="1" t="n">
        <x:v>4</x:v>
      </x:c>
      <x:c r="H455" s="1" t="n">
        <x:v>1000</x:v>
      </x:c>
      <x:c r="I455" s="1" t="n">
        <x:v>1300</x:v>
      </x:c>
      <x:c r="J455" s="1" t="str">
        <x:v>$1,000 - $1,300</x:v>
      </x:c>
      <x:c r="K455" s="1" t="str">
        <x:v>$1,023 - $1,323</x:v>
      </x:c>
      <x:c r="L455" s="1" t="str">
        <x:v>true</x:v>
      </x:c>
      <x:c r="M455" s="1" t="str">
        <x:v>1,098 sq. ft.</x:v>
      </x:c>
      <x:c r="N455" s="1" t="n">
        <x:v>1</x:v>
      </x:c>
      <x:c r="O455" s="1" t="str">
        <x:v>FutureDate</x:v>
      </x:c>
      <x:c r="P455" s="1" t="str">
        <x:v>Available Soon</x:v>
      </x:c>
      <x:c r="Q455" s="1" t="n">
        <x:v>46610.99998842592</x:v>
      </x:c>
      <x:c r="R455" s="1" t="str"/>
      <x:c r="S455" s="1" t="str"/>
      <x:c r="T455" s="1" t="str">
        <x:v>N/A</x:v>
      </x:c>
      <x:c r="U455" s="1" t="str">
        <x:v>N/A</x:v>
      </x:c>
      <x:c r="V455" s="1" t="str">
        <x:v>4</x:v>
      </x:c>
      <x:c r="W455" s="1" t="str"/>
      <x:c r="X455" s="1" t="str">
        <x:v>false</x:v>
      </x:c>
      <x:c r="Y455" s="1" t="str">
        <x:v>false</x:v>
      </x:c>
      <x:c r="Z455" s="1" t="str">
        <x:v>[]</x:v>
      </x:c>
    </x:row>
    <x:row r="456" ht="15" hidden="0" customHeight="1">
      <x:c r="A456" s="1" t="str">
        <x:v>teq7kh8</x:v>
      </x:c>
      <x:c r="B456" s="5" t="str">
        <x:v>1233 S Blount St (Raleigh, NC)</x:v>
      </x:c>
      <x:c r="C456" s="1" t="str">
        <x:v>40330810</x:v>
      </x:c>
      <x:c r="D456" s="1" t="str">
        <x:v>0yg6lz2</x:v>
      </x:c>
      <x:c r="E456" s="1" t="str"/>
      <x:c r="F456" s="1" t="n">
        <x:v>3</x:v>
      </x:c>
      <x:c r="G456" s="1" t="n">
        <x:v>2.5</x:v>
      </x:c>
      <x:c r="H456" s="1" t="n">
        <x:v>3000</x:v>
      </x:c>
      <x:c r="I456" s="1" t="n">
        <x:v>3000</x:v>
      </x:c>
      <x:c r="J456" s="1" t="str">
        <x:v>$3,000</x:v>
      </x:c>
      <x:c r="K456" s="1" t="str">
        <x:v>$3,000</x:v>
      </x:c>
      <x:c r="L456" s="1" t="str">
        <x:v>false</x:v>
      </x:c>
      <x:c r="M456" s="1" t="str">
        <x:v>2,400 sq. ft.</x:v>
      </x:c>
      <x:c r="N456" s="1" t="n">
        <x:v>1</x:v>
      </x:c>
      <x:c r="O456" s="1" t="str">
        <x:v>AvailableNow</x:v>
      </x:c>
      <x:c r="P456" s="1" t="str">
        <x:v>Rentals Available</x:v>
      </x:c>
      <x:c r="Q456" s="1" t="n">
        <x:v>46266.99998842592</x:v>
      </x:c>
      <x:c r="R456" s="1" t="str">
        <x:v>1500</x:v>
      </x:c>
      <x:c r="S456" s="1" t="str"/>
      <x:c r="T456" s="1" t="str"/>
      <x:c r="U456" s="1" t="str"/>
      <x:c r="V456" s="1" t="str"/>
      <x:c r="W456" s="1" t="str"/>
      <x:c r="X456" s="1" t="str">
        <x:v>false</x:v>
      </x:c>
      <x:c r="Y456" s="1" t="str">
        <x:v>false</x:v>
      </x:c>
      <x:c r="Z456" s="1" t="str">
        <x:v>[]</x:v>
      </x:c>
    </x:row>
    <x:row r="457" ht="15" hidden="0" customHeight="1">
      <x:c r="A457" s="1" t="str">
        <x:v>ocpsgy1zk5</x:v>
      </x:c>
      <x:c r="B457" s="5" t="str">
        <x:v>Family Neighborhood with Greenway Access</x:v>
      </x:c>
      <x:c r="C457" s="1" t="str">
        <x:v>1</x:v>
      </x:c>
      <x:c r="D457" s="1" t="str">
        <x:v>q2j0gkx</x:v>
      </x:c>
      <x:c r="E457" s="1" t="str"/>
      <x:c r="F457" s="1" t="n">
        <x:v>3</x:v>
      </x:c>
      <x:c r="G457" s="1" t="n">
        <x:v>1</x:v>
      </x:c>
      <x:c r="H457" s="1" t="n">
        <x:v>3000</x:v>
      </x:c>
      <x:c r="I457" s="1" t="n">
        <x:v>3500</x:v>
      </x:c>
      <x:c r="J457" s="1" t="str">
        <x:v>$3,000 - $3,500</x:v>
      </x:c>
      <x:c r="K457" s="1" t="str">
        <x:v>$3,100 - $3,640</x:v>
      </x:c>
      <x:c r="L457" s="1" t="str">
        <x:v>false</x:v>
      </x:c>
      <x:c r="M457" s="1" t="str">
        <x:v>1,100 sq. ft.</x:v>
      </x:c>
      <x:c r="N457" s="1" t="n">
        <x:v>1</x:v>
      </x:c>
      <x:c r="O457" s="1" t="str">
        <x:v>AvailableNow</x:v>
      </x:c>
      <x:c r="P457" s="1" t="str">
        <x:v>Rentals Available</x:v>
      </x:c>
      <x:c r="Q457" s="1" t="n">
        <x:v>25569.999988425927</x:v>
      </x:c>
      <x:c r="R457" s="1" t="str"/>
      <x:c r="S457" s="1" t="str"/>
      <x:c r="T457" s="1" t="str">
        <x:v>N/A</x:v>
      </x:c>
      <x:c r="U457" s="1" t="str">
        <x:v>N/A</x:v>
      </x:c>
      <x:c r="V457" s="1" t="str">
        <x:v>6</x:v>
      </x:c>
      <x:c r="W457" s="1" t="str"/>
      <x:c r="X457" s="1" t="str">
        <x:v>false</x:v>
      </x:c>
      <x:c r="Y457" s="1" t="str">
        <x:v>false</x:v>
      </x:c>
      <x:c r="Z457" s="1" t="str">
        <x:v>[]</x:v>
      </x:c>
    </x:row>
    <x:row r="458" ht="15" hidden="0" customHeight="1">
      <x:c r="A458" s="1" t="str">
        <x:v>se736e5</x:v>
      </x:c>
      <x:c r="B458" s="5" t="str">
        <x:v>College Inn</x:v>
      </x:c>
      <x:c r="C458" s="1" t="str">
        <x:v>2202122</x:v>
      </x:c>
      <x:c r="D458" s="1" t="str">
        <x:v>51er1tn</x:v>
      </x:c>
      <x:c r="E458" s="1" t="str">
        <x:v>2X2</x:v>
      </x:c>
      <x:c r="F458" s="1" t="n">
        <x:v>2</x:v>
      </x:c>
      <x:c r="G458" s="1" t="n">
        <x:v>2</x:v>
      </x:c>
      <x:c r="H458" s="1" t="n">
        <x:v>1275</x:v>
      </x:c>
      <x:c r="I458" s="1" t="n">
        <x:v>1275</x:v>
      </x:c>
      <x:c r="J458" s="1" t="str">
        <x:v>$1,275</x:v>
      </x:c>
      <x:c r="K458" s="1" t="str">
        <x:v>$1,311</x:v>
      </x:c>
      <x:c r="L458" s="1" t="str">
        <x:v>true</x:v>
      </x:c>
      <x:c r="M458" s="1" t="str">
        <x:v>756 sq. ft.</x:v>
      </x:c>
      <x:c r="N458" s="1" t="n">
        <x:v>1</x:v>
      </x:c>
      <x:c r="O458" s="1" t="str">
        <x:v>AvailableNow</x:v>
      </x:c>
      <x:c r="P458" s="1" t="str">
        <x:v>Rentals Available</x:v>
      </x:c>
      <x:c r="Q458" s="1" t="n">
        <x:v>46246.99998842592</x:v>
      </x:c>
      <x:c r="R458" s="1" t="str"/>
      <x:c r="S458" s="1" t="str"/>
      <x:c r="T458" s="1" t="str"/>
      <x:c r="U458" s="1" t="str"/>
      <x:c r="V458" s="1" t="str">
        <x:v>2</x:v>
      </x:c>
      <x:c r="W458" s="1" t="str"/>
      <x:c r="X458" s="1" t="str">
        <x:v>false</x:v>
      </x:c>
      <x:c r="Y458" s="1" t="str">
        <x:v>false</x:v>
      </x:c>
      <x:c r="Z458" s="1" t="str">
        <x:v>[]</x:v>
      </x:c>
    </x:row>
    <x:row r="459" ht="15" hidden="0" customHeight="1">
      <x:c r="A459" s="1" t="str">
        <x:v>se736e5</x:v>
      </x:c>
      <x:c r="B459" s="5" t="str">
        <x:v>College Inn</x:v>
      </x:c>
      <x:c r="C459" s="1" t="str">
        <x:v>943937</x:v>
      </x:c>
      <x:c r="D459" s="1" t="str">
        <x:v>dckygwj</x:v>
      </x:c>
      <x:c r="E459" s="1" t="str">
        <x:v>4X2</x:v>
      </x:c>
      <x:c r="F459" s="1" t="n">
        <x:v>4</x:v>
      </x:c>
      <x:c r="G459" s="1" t="n">
        <x:v>2</x:v>
      </x:c>
      <x:c r="H459" s="1" t="n">
        <x:v>859</x:v>
      </x:c>
      <x:c r="I459" s="1" t="n">
        <x:v>859</x:v>
      </x:c>
      <x:c r="J459" s="1" t="str">
        <x:v>$859</x:v>
      </x:c>
      <x:c r="K459" s="1" t="str">
        <x:v>$895</x:v>
      </x:c>
      <x:c r="L459" s="1" t="str">
        <x:v>true</x:v>
      </x:c>
      <x:c r="M459" s="1" t="str">
        <x:v>1,133 sq. ft.</x:v>
      </x:c>
      <x:c r="N459" s="1" t="n">
        <x:v>1</x:v>
      </x:c>
      <x:c r="O459" s="1" t="str">
        <x:v>AvailableNow</x:v>
      </x:c>
      <x:c r="P459" s="1" t="str">
        <x:v>Rentals Available</x:v>
      </x:c>
      <x:c r="Q459" s="1" t="n">
        <x:v>46246.99998842592</x:v>
      </x:c>
      <x:c r="R459" s="1" t="str"/>
      <x:c r="S459" s="1" t="str"/>
      <x:c r="T459" s="1" t="str"/>
      <x:c r="U459" s="1" t="str"/>
      <x:c r="V459" s="1" t="str">
        <x:v>4</x:v>
      </x:c>
      <x:c r="W459" s="1" t="str"/>
      <x:c r="X459" s="1" t="str">
        <x:v>false</x:v>
      </x:c>
      <x:c r="Y459" s="1" t="str">
        <x:v>false</x:v>
      </x:c>
      <x:c r="Z459" s="1" t="str">
        <x:v>[]</x:v>
      </x:c>
    </x:row>
    <x:row r="460" ht="15" hidden="0" customHeight="1">
      <x:c r="A460" s="1" t="str">
        <x:v>se736e5</x:v>
      </x:c>
      <x:c r="B460" s="5" t="str">
        <x:v>College Inn</x:v>
      </x:c>
      <x:c r="C460" s="1" t="str">
        <x:v>943938</x:v>
      </x:c>
      <x:c r="D460" s="1" t="str">
        <x:v>dg2ycwk</x:v>
      </x:c>
      <x:c r="E460" s="1" t="str">
        <x:v>4X2 UP</x:v>
      </x:c>
      <x:c r="F460" s="1" t="n">
        <x:v>4</x:v>
      </x:c>
      <x:c r="G460" s="1" t="n">
        <x:v>2</x:v>
      </x:c>
      <x:c r="H460" s="1" t="n">
        <x:v>879</x:v>
      </x:c>
      <x:c r="I460" s="1" t="n">
        <x:v>879</x:v>
      </x:c>
      <x:c r="J460" s="1" t="str">
        <x:v>$879</x:v>
      </x:c>
      <x:c r="K460" s="1" t="str">
        <x:v>$915</x:v>
      </x:c>
      <x:c r="L460" s="1" t="str">
        <x:v>true</x:v>
      </x:c>
      <x:c r="M460" s="1" t="str">
        <x:v>1,133 sq. ft.</x:v>
      </x:c>
      <x:c r="N460" s="1" t="n">
        <x:v>1</x:v>
      </x:c>
      <x:c r="O460" s="1" t="str">
        <x:v>AvailableNow</x:v>
      </x:c>
      <x:c r="P460" s="1" t="str">
        <x:v>Rentals Available</x:v>
      </x:c>
      <x:c r="Q460" s="1" t="n">
        <x:v>46246.99998842592</x:v>
      </x:c>
      <x:c r="R460" s="1" t="str"/>
      <x:c r="S460" s="1" t="str"/>
      <x:c r="T460" s="1" t="str"/>
      <x:c r="U460" s="1" t="str"/>
      <x:c r="V460" s="1" t="str">
        <x:v>4</x:v>
      </x:c>
      <x:c r="W460" s="1" t="str"/>
      <x:c r="X460" s="1" t="str">
        <x:v>false</x:v>
      </x:c>
      <x:c r="Y460" s="1" t="str">
        <x:v>false</x:v>
      </x:c>
      <x:c r="Z460" s="1" t="str">
        <x:v>[]</x:v>
      </x:c>
    </x:row>
    <x:row r="461" ht="15" hidden="0" customHeight="1">
      <x:c r="A461" s="1" t="str">
        <x:v>se736e5</x:v>
      </x:c>
      <x:c r="B461" s="5" t="str">
        <x:v>College Inn</x:v>
      </x:c>
      <x:c r="C461" s="1" t="str">
        <x:v>943940</x:v>
      </x:c>
      <x:c r="D461" s="1" t="str">
        <x:v>x2qn6fq</x:v>
      </x:c>
      <x:c r="E461" s="1" t="str">
        <x:v>4X4 UP</x:v>
      </x:c>
      <x:c r="F461" s="1" t="n">
        <x:v>4</x:v>
      </x:c>
      <x:c r="G461" s="1" t="n">
        <x:v>4</x:v>
      </x:c>
      <x:c r="H461" s="1" t="n">
        <x:v>899</x:v>
      </x:c>
      <x:c r="I461" s="1" t="n">
        <x:v>899</x:v>
      </x:c>
      <x:c r="J461" s="1" t="str">
        <x:v>$899</x:v>
      </x:c>
      <x:c r="K461" s="1" t="str">
        <x:v>$935</x:v>
      </x:c>
      <x:c r="L461" s="1" t="str">
        <x:v>true</x:v>
      </x:c>
      <x:c r="M461" s="1" t="str">
        <x:v>1,239 sq. ft.</x:v>
      </x:c>
      <x:c r="N461" s="1" t="n">
        <x:v>1</x:v>
      </x:c>
      <x:c r="O461" s="1" t="str">
        <x:v>AvailableNow</x:v>
      </x:c>
      <x:c r="P461" s="1" t="str">
        <x:v>Rentals Available</x:v>
      </x:c>
      <x:c r="Q461" s="1" t="n">
        <x:v>46246.99998842592</x:v>
      </x:c>
      <x:c r="R461" s="1" t="str"/>
      <x:c r="S461" s="1" t="str"/>
      <x:c r="T461" s="1" t="str"/>
      <x:c r="U461" s="1" t="str"/>
      <x:c r="V461" s="1" t="str">
        <x:v>4</x:v>
      </x:c>
      <x:c r="W461" s="1" t="str"/>
      <x:c r="X461" s="1" t="str">
        <x:v>false</x:v>
      </x:c>
      <x:c r="Y461" s="1" t="str">
        <x:v>false</x:v>
      </x:c>
      <x:c r="Z461" s="1" t="str">
        <x:v>[]</x:v>
      </x:c>
    </x:row>
    <x:row r="462" ht="24" hidden="0" customHeight="1">
      <x:c r="A462" s="1" t="str">
        <x:v>ocp0gch9g2</x:v>
      </x:c>
      <x:c r="B462" s="5" t="str">
        <x:v>Quiet Furnished Room in Cary – Private Bath, Storage, Driveway Access, Near Bus 3</x:v>
      </x:c>
      <x:c r="C462" s="1" t="str">
        <x:v>1</x:v>
      </x:c>
      <x:c r="D462" s="1" t="str">
        <x:v>q2j0gkx</x:v>
      </x:c>
      <x:c r="E462" s="1" t="str"/>
      <x:c r="F462" s="1" t="n">
        <x:v>1</x:v>
      </x:c>
      <x:c r="G462" s="1" t="n">
        <x:v>1</x:v>
      </x:c>
      <x:c r="H462" s="1" t="n">
        <x:v>950</x:v>
      </x:c>
      <x:c r="I462" s="1" t="n">
        <x:v>950</x:v>
      </x:c>
      <x:c r="J462" s="1" t="str">
        <x:v>$950</x:v>
      </x:c>
      <x:c r="K462" s="1" t="str">
        <x:v>$950</x:v>
      </x:c>
      <x:c r="L462" s="1" t="str">
        <x:v>true</x:v>
      </x:c>
      <x:c r="M462" s="1" t="str">
        <x:v>200 sq. ft.</x:v>
      </x:c>
      <x:c r="N462" s="1" t="n">
        <x:v>1</x:v>
      </x:c>
      <x:c r="O462" s="1" t="str">
        <x:v>AvailableNow</x:v>
      </x:c>
      <x:c r="P462" s="1" t="str">
        <x:v>Rentals Available</x:v>
      </x:c>
      <x:c r="Q462" s="1" t="n">
        <x:v>46266.99998842592</x:v>
      </x:c>
      <x:c r="R462" s="1" t="str"/>
      <x:c r="S462" s="1" t="str"/>
      <x:c r="T462" s="1" t="str">
        <x:v>N/A</x:v>
      </x:c>
      <x:c r="U462" s="1" t="str">
        <x:v>N/A</x:v>
      </x:c>
      <x:c r="V462" s="1" t="str">
        <x:v>1</x:v>
      </x:c>
      <x:c r="W462" s="1" t="str"/>
      <x:c r="X462" s="1" t="str">
        <x:v>false</x:v>
      </x:c>
      <x:c r="Y462" s="1" t="str">
        <x:v>false</x:v>
      </x:c>
      <x:c r="Z462" s="1" t="str">
        <x:v>[]</x:v>
      </x:c>
    </x:row>
    <x:row r="463" ht="15" hidden="0" customHeight="1">
      <x:c r="A463" s="1" t="str">
        <x:v>r2tht53</x:v>
      </x:c>
      <x:c r="B463" s="5" t="str">
        <x:v>Room in House on Tall Rock Ct</x:v>
      </x:c>
      <x:c r="C463" s="1" t="str">
        <x:v>1</x:v>
      </x:c>
      <x:c r="D463" s="1" t="str">
        <x:v>q2j0gkx</x:v>
      </x:c>
      <x:c r="E463" s="1" t="str"/>
      <x:c r="F463" s="1" t="n">
        <x:v>1</x:v>
      </x:c>
      <x:c r="G463" s="1" t="n">
        <x:v>1</x:v>
      </x:c>
      <x:c r="H463" s="1" t="n">
        <x:v>825</x:v>
      </x:c>
      <x:c r="I463" s="1" t="n">
        <x:v>825</x:v>
      </x:c>
      <x:c r="J463" s="1" t="str">
        <x:v>$825</x:v>
      </x:c>
      <x:c r="K463" s="1" t="str">
        <x:v>$825</x:v>
      </x:c>
      <x:c r="L463" s="1" t="str">
        <x:v>false</x:v>
      </x:c>
      <x:c r="M463" s="1" t="str">
        <x:v>1,000 sq. ft.</x:v>
      </x:c>
      <x:c r="N463" s="1" t="n">
        <x:v>1</x:v>
      </x:c>
      <x:c r="O463" s="1" t="str">
        <x:v>AvailableNow</x:v>
      </x:c>
      <x:c r="P463" s="1" t="str">
        <x:v>Rentals Available</x:v>
      </x:c>
      <x:c r="Q463" s="1" t="n">
        <x:v>46274.99998842592</x:v>
      </x:c>
      <x:c r="R463" s="1" t="str"/>
      <x:c r="S463" s="1" t="str"/>
      <x:c r="T463" s="1" t="str"/>
      <x:c r="U463" s="1" t="str"/>
      <x:c r="V463" s="1" t="str"/>
      <x:c r="W463" s="1" t="str"/>
      <x:c r="X463" s="1" t="str">
        <x:v>false</x:v>
      </x:c>
      <x:c r="Y463" s="1" t="str">
        <x:v>false</x:v>
      </x:c>
      <x:c r="Z463" s="1" t="str">
        <x:v>[]</x:v>
      </x:c>
    </x:row>
    <x:row r="464" ht="15" hidden="0" customHeight="1">
      <x:c r="A464" s="1" t="str">
        <x:v>ocp1ddchy6</x:v>
      </x:c>
      <x:c r="B464" s="5" t="str">
        <x:v>Village Green</x:v>
      </x:c>
      <x:c r="C464" s="1" t="str">
        <x:v>1</x:v>
      </x:c>
      <x:c r="D464" s="1" t="str">
        <x:v>q2j0gkx</x:v>
      </x:c>
      <x:c r="E464" s="1" t="str"/>
      <x:c r="F464" s="1" t="n">
        <x:v>1</x:v>
      </x:c>
      <x:c r="G464" s="1" t="n">
        <x:v>1</x:v>
      </x:c>
      <x:c r="H464" s="1" t="n">
        <x:v>930</x:v>
      </x:c>
      <x:c r="I464" s="1" t="n">
        <x:v>930</x:v>
      </x:c>
      <x:c r="J464" s="1" t="str">
        <x:v>$930</x:v>
      </x:c>
      <x:c r="K464" s="1" t="str">
        <x:v>$930</x:v>
      </x:c>
      <x:c r="L464" s="1" t="str">
        <x:v>true</x:v>
      </x:c>
      <x:c r="M464" s="1" t="str"/>
      <x:c r="N464" s="1" t="n">
        <x:v>1</x:v>
      </x:c>
      <x:c r="O464" s="1" t="str">
        <x:v>FutureDate</x:v>
      </x:c>
      <x:c r="P464" s="1" t="str">
        <x:v>Available Soon</x:v>
      </x:c>
      <x:c r="Q464" s="1" t="n">
        <x:v>46395.99998842592</x:v>
      </x:c>
      <x:c r="R464" s="1" t="str"/>
      <x:c r="S464" s="1" t="str"/>
      <x:c r="T464" s="1" t="str">
        <x:v>N/A</x:v>
      </x:c>
      <x:c r="U464" s="1" t="str">
        <x:v>N/A</x:v>
      </x:c>
      <x:c r="V464" s="1" t="str">
        <x:v>4</x:v>
      </x:c>
      <x:c r="W464" s="1" t="str"/>
      <x:c r="X464" s="1" t="str">
        <x:v>false</x:v>
      </x:c>
      <x:c r="Y464" s="1" t="str">
        <x:v>false</x:v>
      </x:c>
      <x:c r="Z464" s="1" t="str">
        <x:v>[]</x:v>
      </x:c>
    </x:row>
    <x:row r="465" ht="15" hidden="0" customHeight="1">
      <x:c r="A465" s="1" t="str">
        <x:v>r66ecw0</x:v>
      </x:c>
      <x:c r="B465" s="5" t="str">
        <x:v>Room in Duplex on Bragg St</x:v>
      </x:c>
      <x:c r="C465" s="1" t="str">
        <x:v>1</x:v>
      </x:c>
      <x:c r="D465" s="1" t="str">
        <x:v>q2j0gkx</x:v>
      </x:c>
      <x:c r="E465" s="1" t="str"/>
      <x:c r="F465" s="1" t="n">
        <x:v>1</x:v>
      </x:c>
      <x:c r="G465" s="1" t="n">
        <x:v>1</x:v>
      </x:c>
      <x:c r="H465" s="1" t="n">
        <x:v>630</x:v>
      </x:c>
      <x:c r="I465" s="1" t="n">
        <x:v>630</x:v>
      </x:c>
      <x:c r="J465" s="1" t="str">
        <x:v>$630</x:v>
      </x:c>
      <x:c r="K465" s="1" t="str">
        <x:v>$630</x:v>
      </x:c>
      <x:c r="L465" s="1" t="str">
        <x:v>false</x:v>
      </x:c>
      <x:c r="M465" s="1" t="str">
        <x:v>1,300 sq. ft.</x:v>
      </x:c>
      <x:c r="N465" s="1" t="n">
        <x:v>1</x:v>
      </x:c>
      <x:c r="O465" s="1" t="str">
        <x:v>AvailableNow</x:v>
      </x:c>
      <x:c r="P465" s="1" t="str">
        <x:v>Rentals Available</x:v>
      </x:c>
      <x:c r="Q465" s="1" t="n">
        <x:v>46274.99998842592</x:v>
      </x:c>
      <x:c r="R465" s="1" t="str"/>
      <x:c r="S465" s="1" t="str"/>
      <x:c r="T465" s="1" t="str"/>
      <x:c r="U465" s="1" t="str"/>
      <x:c r="V465" s="1" t="str"/>
      <x:c r="W465" s="1" t="str"/>
      <x:c r="X465" s="1" t="str">
        <x:v>false</x:v>
      </x:c>
      <x:c r="Y465" s="1" t="str">
        <x:v>false</x:v>
      </x:c>
      <x:c r="Z465" s="1" t="str">
        <x:v>[]</x:v>
      </x:c>
    </x:row>
    <x:row r="466" ht="15" hidden="0" customHeight="1">
      <x:c r="A466" s="1" t="str">
        <x:v>ocpmf8tflk</x:v>
      </x:c>
      <x:c r="B466" s="5" t="str">
        <x:v>St. Albans Lofts in North Hills</x:v>
      </x:c>
      <x:c r="C466" s="1" t="str">
        <x:v>1</x:v>
      </x:c>
      <x:c r="D466" s="1" t="str">
        <x:v>q2j0gkx</x:v>
      </x:c>
      <x:c r="E466" s="1" t="str"/>
      <x:c r="F466" s="1" t="n">
        <x:v>0</x:v>
      </x:c>
      <x:c r="G466" s="1" t="n">
        <x:v>1</x:v>
      </x:c>
      <x:c r="H466" s="1" t="n">
        <x:v>1330</x:v>
      </x:c>
      <x:c r="I466" s="1" t="n">
        <x:v>1330</x:v>
      </x:c>
      <x:c r="J466" s="1" t="str">
        <x:v>$1,330</x:v>
      </x:c>
      <x:c r="K466" s="1" t="str">
        <x:v>$1,445</x:v>
      </x:c>
      <x:c r="L466" s="1" t="str">
        <x:v>false</x:v>
      </x:c>
      <x:c r="M466" s="1" t="str">
        <x:v>600 sq. ft.</x:v>
      </x:c>
      <x:c r="N466" s="1" t="n">
        <x:v>1</x:v>
      </x:c>
      <x:c r="O466" s="1" t="str">
        <x:v>AvailableNow</x:v>
      </x:c>
      <x:c r="P466" s="1" t="str">
        <x:v>Rentals Available</x:v>
      </x:c>
      <x:c r="Q466" s="1" t="n">
        <x:v>46218.99998842592</x:v>
      </x:c>
      <x:c r="R466" s="1" t="str"/>
      <x:c r="S466" s="1" t="str"/>
      <x:c r="T466" s="1" t="str">
        <x:v>N/A</x:v>
      </x:c>
      <x:c r="U466" s="1" t="str">
        <x:v>N/A</x:v>
      </x:c>
      <x:c r="V466" s="1" t="str">
        <x:v>1</x:v>
      </x:c>
      <x:c r="W466" s="1" t="str"/>
      <x:c r="X466" s="1" t="str">
        <x:v>false</x:v>
      </x:c>
      <x:c r="Y466" s="1" t="str">
        <x:v>false</x:v>
      </x:c>
      <x:c r="Z466" s="1" t="str">
        <x:v>[]</x:v>
      </x:c>
    </x:row>
    <x:row r="467" ht="15" hidden="0" customHeight="1">
      <x:c r="A467" s="1" t="str">
        <x:v>kf77vv8</x:v>
      </x:c>
      <x:c r="B467" s="5" t="str">
        <x:v>Room in Condo on Collegiate Cir</x:v>
      </x:c>
      <x:c r="C467" s="1" t="str">
        <x:v>35127315</x:v>
      </x:c>
      <x:c r="D467" s="1" t="str">
        <x:v>cl2yf4e</x:v>
      </x:c>
      <x:c r="E467" s="1" t="str"/>
      <x:c r="F467" s="1" t="n">
        <x:v>1</x:v>
      </x:c>
      <x:c r="G467" s="1" t="n">
        <x:v>1</x:v>
      </x:c>
      <x:c r="H467" s="1" t="n">
        <x:v>675</x:v>
      </x:c>
      <x:c r="I467" s="1" t="n">
        <x:v>675</x:v>
      </x:c>
      <x:c r="J467" s="1" t="str">
        <x:v>$675</x:v>
      </x:c>
      <x:c r="K467" s="1" t="str">
        <x:v>$675</x:v>
      </x:c>
      <x:c r="L467" s="1" t="str">
        <x:v>false</x:v>
      </x:c>
      <x:c r="M467" s="1" t="str">
        <x:v>1,219 sq. ft.</x:v>
      </x:c>
      <x:c r="N467" s="1" t="n">
        <x:v>1</x:v>
      </x:c>
      <x:c r="O467" s="1" t="str">
        <x:v>AvailableNow</x:v>
      </x:c>
      <x:c r="P467" s="1" t="str">
        <x:v>Rentals Available</x:v>
      </x:c>
      <x:c r="Q467" s="1" t="n">
        <x:v>46274.99998842592</x:v>
      </x:c>
      <x:c r="R467" s="1" t="str"/>
      <x:c r="S467" s="1" t="str"/>
      <x:c r="T467" s="1" t="str"/>
      <x:c r="U467" s="1" t="str"/>
      <x:c r="V467" s="1" t="str"/>
      <x:c r="W467" s="1" t="str"/>
      <x:c r="X467" s="1" t="str">
        <x:v>false</x:v>
      </x:c>
      <x:c r="Y467" s="1" t="str">
        <x:v>false</x:v>
      </x:c>
      <x:c r="Z467" s="1" t="str">
        <x:v>[]</x:v>
      </x:c>
    </x:row>
    <x:row r="468" ht="15" hidden="0" customHeight="1">
      <x:c r="A468" s="1" t="str">
        <x:v>ocphycq162</x:v>
      </x:c>
      <x:c r="B468" s="5" t="str">
        <x:v>Cozy house 10 min walk to campus</x:v>
      </x:c>
      <x:c r="C468" s="1" t="str">
        <x:v>1</x:v>
      </x:c>
      <x:c r="D468" s="1" t="str">
        <x:v>q2j0gkx</x:v>
      </x:c>
      <x:c r="E468" s="1" t="str"/>
      <x:c r="F468" s="1" t="n">
        <x:v>1</x:v>
      </x:c>
      <x:c r="G468" s="1" t="n">
        <x:v>1</x:v>
      </x:c>
      <x:c r="H468" s="1" t="n">
        <x:v>1500</x:v>
      </x:c>
      <x:c r="I468" s="1" t="n">
        <x:v>1500</x:v>
      </x:c>
      <x:c r="J468" s="1" t="str">
        <x:v>$1,500</x:v>
      </x:c>
      <x:c r="K468" s="1" t="str">
        <x:v>$1,500</x:v>
      </x:c>
      <x:c r="L468" s="1" t="str">
        <x:v>true</x:v>
      </x:c>
      <x:c r="M468" s="1" t="str">
        <x:v>850 sq. ft.</x:v>
      </x:c>
      <x:c r="N468" s="1" t="n">
        <x:v>1</x:v>
      </x:c>
      <x:c r="O468" s="1" t="str">
        <x:v>AvailableNow</x:v>
      </x:c>
      <x:c r="P468" s="1" t="str">
        <x:v>Rentals Available</x:v>
      </x:c>
      <x:c r="Q468" s="1" t="n">
        <x:v>46174.99998842592</x:v>
      </x:c>
      <x:c r="R468" s="1" t="str"/>
      <x:c r="S468" s="1" t="str"/>
      <x:c r="T468" s="1" t="str">
        <x:v>N/A</x:v>
      </x:c>
      <x:c r="U468" s="1" t="str">
        <x:v>N/A</x:v>
      </x:c>
      <x:c r="V468" s="1" t="str">
        <x:v>1</x:v>
      </x:c>
      <x:c r="W468" s="1" t="str"/>
      <x:c r="X468" s="1" t="str">
        <x:v>false</x:v>
      </x:c>
      <x:c r="Y468" s="1" t="str">
        <x:v>false</x:v>
      </x:c>
      <x:c r="Z468" s="1" t="str">
        <x:v>[]</x:v>
      </x:c>
    </x:row>
    <x:row r="469" ht="15" hidden="0" customHeight="1">
      <x:c r="A469" s="1" t="str">
        <x:v>hz5leg1</x:v>
      </x:c>
      <x:c r="B469" s="5" t="str">
        <x:v>Room in Townhome on Ivory Run Way</x:v>
      </x:c>
      <x:c r="C469" s="1" t="str">
        <x:v>1</x:v>
      </x:c>
      <x:c r="D469" s="1" t="str">
        <x:v>q2j0gkx</x:v>
      </x:c>
      <x:c r="E469" s="1" t="str"/>
      <x:c r="F469" s="1" t="n">
        <x:v>1</x:v>
      </x:c>
      <x:c r="G469" s="1" t="n">
        <x:v>1</x:v>
      </x:c>
      <x:c r="H469" s="1" t="n">
        <x:v>690</x:v>
      </x:c>
      <x:c r="I469" s="1" t="n">
        <x:v>690</x:v>
      </x:c>
      <x:c r="J469" s="1" t="str">
        <x:v>$690</x:v>
      </x:c>
      <x:c r="K469" s="1" t="str">
        <x:v>$690</x:v>
      </x:c>
      <x:c r="L469" s="1" t="str">
        <x:v>false</x:v>
      </x:c>
      <x:c r="M469" s="1" t="str">
        <x:v>1,691 sq. ft.</x:v>
      </x:c>
      <x:c r="N469" s="1" t="n">
        <x:v>1</x:v>
      </x:c>
      <x:c r="O469" s="1" t="str">
        <x:v>AvailableNow</x:v>
      </x:c>
      <x:c r="P469" s="1" t="str">
        <x:v>Rentals Available</x:v>
      </x:c>
      <x:c r="Q469" s="1" t="n">
        <x:v>46274.99998842592</x:v>
      </x:c>
      <x:c r="R469" s="1" t="str"/>
      <x:c r="S469" s="1" t="str"/>
      <x:c r="T469" s="1" t="str"/>
      <x:c r="U469" s="1" t="str"/>
      <x:c r="V469" s="1" t="str"/>
      <x:c r="W469" s="1" t="str"/>
      <x:c r="X469" s="1" t="str">
        <x:v>false</x:v>
      </x:c>
      <x:c r="Y469" s="1" t="str">
        <x:v>false</x:v>
      </x:c>
      <x:c r="Z469" s="1" t="str">
        <x:v>[]</x:v>
      </x:c>
    </x:row>
    <x:row r="470" ht="15" hidden="0" customHeight="1">
      <x:c r="A470" s="1" t="str">
        <x:v>ocpszqbd35</x:v>
      </x:c>
      <x:c r="B470" s="5" t="str">
        <x:v>Signature 1505 4X4 Apartment</x:v>
      </x:c>
      <x:c r="C470" s="1" t="str">
        <x:v>1</x:v>
      </x:c>
      <x:c r="D470" s="1" t="str">
        <x:v>q2j0gkx</x:v>
      </x:c>
      <x:c r="E470" s="1" t="str"/>
      <x:c r="F470" s="1" t="n">
        <x:v>1</x:v>
      </x:c>
      <x:c r="G470" s="1" t="n">
        <x:v>1</x:v>
      </x:c>
      <x:c r="H470" s="1" t="n">
        <x:v>1230</x:v>
      </x:c>
      <x:c r="I470" s="1" t="n">
        <x:v>1230</x:v>
      </x:c>
      <x:c r="J470" s="1" t="str">
        <x:v>$1,230</x:v>
      </x:c>
      <x:c r="K470" s="1" t="str">
        <x:v>$1,255</x:v>
      </x:c>
      <x:c r="L470" s="1" t="str">
        <x:v>true</x:v>
      </x:c>
      <x:c r="M470" s="1" t="str"/>
      <x:c r="N470" s="1" t="n">
        <x:v>1</x:v>
      </x:c>
      <x:c r="O470" s="1" t="str">
        <x:v>FutureDate</x:v>
      </x:c>
      <x:c r="P470" s="1" t="str">
        <x:v>Available Soon</x:v>
      </x:c>
      <x:c r="Q470" s="1" t="n">
        <x:v>46388.99998842592</x:v>
      </x:c>
      <x:c r="R470" s="1" t="str"/>
      <x:c r="S470" s="1" t="str"/>
      <x:c r="T470" s="1" t="str">
        <x:v>N/A</x:v>
      </x:c>
      <x:c r="U470" s="1" t="str">
        <x:v>N/A</x:v>
      </x:c>
      <x:c r="V470" s="1" t="str">
        <x:v>4</x:v>
      </x:c>
      <x:c r="W470" s="1" t="str"/>
      <x:c r="X470" s="1" t="str">
        <x:v>false</x:v>
      </x:c>
      <x:c r="Y470" s="1" t="str">
        <x:v>false</x:v>
      </x:c>
      <x:c r="Z470" s="1" t="str">
        <x:v>[]</x:v>
      </x:c>
    </x:row>
    <x:row r="471" ht="24" hidden="0" customHeight="1">
      <x:c r="A471" s="1" t="str">
        <x:v>ocpsq5c5s4</x:v>
      </x:c>
      <x:c r="B471" s="5" t="str">
        <x:v>Lupton Flats- 2 Bedroom 1 Bathroom Flat Available Now! Pre Leasing for August 2026!</x:v>
      </x:c>
      <x:c r="C471" s="1" t="str">
        <x:v>120036</x:v>
      </x:c>
      <x:c r="D471" s="1" t="str">
        <x:v>x16mxtm</x:v>
      </x:c>
      <x:c r="E471" s="1" t="str">
        <x:v>2 Story</x:v>
      </x:c>
      <x:c r="F471" s="1" t="n">
        <x:v>2</x:v>
      </x:c>
      <x:c r="G471" s="1" t="n">
        <x:v>1</x:v>
      </x:c>
      <x:c r="H471" s="1" t="n">
        <x:v>1295</x:v>
      </x:c>
      <x:c r="I471" s="1" t="n">
        <x:v>1295</x:v>
      </x:c>
      <x:c r="J471" s="1" t="str">
        <x:v>$1,295</x:v>
      </x:c>
      <x:c r="K471" s="1" t="str">
        <x:v>$1,295</x:v>
      </x:c>
      <x:c r="L471" s="1" t="str">
        <x:v>false</x:v>
      </x:c>
      <x:c r="M471" s="1" t="str">
        <x:v>900 sq. ft.</x:v>
      </x:c>
      <x:c r="N471" s="1" t="n">
        <x:v>1</x:v>
      </x:c>
      <x:c r="O471" s="1" t="str">
        <x:v>AvailableNow</x:v>
      </x:c>
      <x:c r="P471" s="1" t="str">
        <x:v>Rentals Available</x:v>
      </x:c>
      <x:c r="Q471" s="1" t="n">
        <x:v>46244.99998842592</x:v>
      </x:c>
      <x:c r="R471" s="1" t="str">
        <x:v>647</x:v>
      </x:c>
      <x:c r="S471" s="1" t="str">
        <x:v>$647</x:v>
      </x:c>
      <x:c r="T471" s="1" t="str">
        <x:v>N/A</x:v>
      </x:c>
      <x:c r="U471" s="1" t="str">
        <x:v>N/A</x:v>
      </x:c>
      <x:c r="V471" s="1" t="str">
        <x:v>4</x:v>
      </x:c>
      <x:c r="W471" s="1" t="str"/>
      <x:c r="X471" s="1" t="str">
        <x:v>false</x:v>
      </x:c>
      <x:c r="Y471" s="1" t="str">
        <x:v>false</x:v>
      </x:c>
      <x:c r="Z471" s="1" t="str">
        <x:v>[]</x:v>
      </x:c>
    </x:row>
    <x:row r="472" ht="24" hidden="0" customHeight="1">
      <x:c r="A472" s="1" t="str">
        <x:v>ocpsq5c5s4</x:v>
      </x:c>
      <x:c r="B472" s="5" t="str">
        <x:v>Lupton Flats- 2 Bedroom 1 Bathroom Flat Available Now! Pre Leasing for August 2026!</x:v>
      </x:c>
      <x:c r="C472" s="1" t="str">
        <x:v>120037</x:v>
      </x:c>
      <x:c r="D472" s="1" t="str">
        <x:v>jlgrzg5</x:v>
      </x:c>
      <x:c r="E472" s="1" t="str">
        <x:v>One Level</x:v>
      </x:c>
      <x:c r="F472" s="1" t="n">
        <x:v>2</x:v>
      </x:c>
      <x:c r="G472" s="1" t="n">
        <x:v>1</x:v>
      </x:c>
      <x:c r="H472" s="1" t="n">
        <x:v>1295</x:v>
      </x:c>
      <x:c r="I472" s="1" t="n">
        <x:v>1295</x:v>
      </x:c>
      <x:c r="J472" s="1" t="str">
        <x:v>$1,295</x:v>
      </x:c>
      <x:c r="K472" s="1" t="str">
        <x:v>$1,295</x:v>
      </x:c>
      <x:c r="L472" s="1" t="str">
        <x:v>false</x:v>
      </x:c>
      <x:c r="M472" s="1" t="str">
        <x:v>900 sq. ft.</x:v>
      </x:c>
      <x:c r="N472" s="1" t="n">
        <x:v>1</x:v>
      </x:c>
      <x:c r="O472" s="1" t="str">
        <x:v>AvailableNow</x:v>
      </x:c>
      <x:c r="P472" s="1" t="str">
        <x:v>Rentals Available</x:v>
      </x:c>
      <x:c r="Q472" s="1" t="n">
        <x:v>46188.99998842592</x:v>
      </x:c>
      <x:c r="R472" s="1" t="str">
        <x:v>647</x:v>
      </x:c>
      <x:c r="S472" s="1" t="str">
        <x:v>$647</x:v>
      </x:c>
      <x:c r="T472" s="1" t="str">
        <x:v>N/A</x:v>
      </x:c>
      <x:c r="U472" s="1" t="str">
        <x:v>N/A</x:v>
      </x:c>
      <x:c r="V472" s="1" t="str">
        <x:v>4</x:v>
      </x:c>
      <x:c r="W472" s="1" t="str"/>
      <x:c r="X472" s="1" t="str">
        <x:v>false</x:v>
      </x:c>
      <x:c r="Y472" s="1" t="str">
        <x:v>false</x:v>
      </x:c>
      <x:c r="Z472" s="1" t="str">
        <x:v>[]</x:v>
      </x:c>
    </x:row>
    <x:row r="473" ht="15" hidden="0" customHeight="1">
      <x:c r="A473" s="1" t="str">
        <x:v>ocpbnn75s8</x:v>
      </x:c>
      <x:c r="B473" s="5" t="str">
        <x:v>912 Chaney Rd. #100</x:v>
      </x:c>
      <x:c r="C473" s="1" t="str">
        <x:v>1</x:v>
      </x:c>
      <x:c r="D473" s="1" t="str">
        <x:v>q2j0gkx</x:v>
      </x:c>
      <x:c r="E473" s="1" t="str"/>
      <x:c r="F473" s="1" t="n">
        <x:v>4</x:v>
      </x:c>
      <x:c r="G473" s="1" t="n">
        <x:v>3</x:v>
      </x:c>
      <x:c r="H473" s="1" t="n">
        <x:v>2600</x:v>
      </x:c>
      <x:c r="I473" s="1" t="n">
        <x:v>2600</x:v>
      </x:c>
      <x:c r="J473" s="1" t="str">
        <x:v>$2,600</x:v>
      </x:c>
      <x:c r="K473" s="1" t="str">
        <x:v>$2,650</x:v>
      </x:c>
      <x:c r="L473" s="1" t="str">
        <x:v>false</x:v>
      </x:c>
      <x:c r="M473" s="1" t="str">
        <x:v>1,530 sq. ft.</x:v>
      </x:c>
      <x:c r="N473" s="1" t="n">
        <x:v>1</x:v>
      </x:c>
      <x:c r="O473" s="1" t="str">
        <x:v>AvailableNow</x:v>
      </x:c>
      <x:c r="P473" s="1" t="str">
        <x:v>Rentals Available</x:v>
      </x:c>
      <x:c r="Q473" s="1" t="n">
        <x:v>25569.999988425927</x:v>
      </x:c>
      <x:c r="R473" s="1" t="str"/>
      <x:c r="S473" s="1" t="str"/>
      <x:c r="T473" s="1" t="str">
        <x:v>N/A</x:v>
      </x:c>
      <x:c r="U473" s="1" t="str">
        <x:v>N/A</x:v>
      </x:c>
      <x:c r="V473" s="1" t="str">
        <x:v>4</x:v>
      </x:c>
      <x:c r="W473" s="1" t="str"/>
      <x:c r="X473" s="1" t="str">
        <x:v>false</x:v>
      </x:c>
      <x:c r="Y473" s="1" t="str">
        <x:v>false</x:v>
      </x:c>
      <x:c r="Z473" s="1" t="str">
        <x:v>[]</x:v>
      </x:c>
    </x:row>
    <x:row r="474" ht="15" hidden="0" customHeight="1">
      <x:c r="A474" s="1" t="str">
        <x:v>jkg82q6</x:v>
      </x:c>
      <x:c r="B474" s="5" t="str">
        <x:v>Room in House on Joyner Pl</x:v>
      </x:c>
      <x:c r="C474" s="1" t="str">
        <x:v>1</x:v>
      </x:c>
      <x:c r="D474" s="1" t="str">
        <x:v>q2j0gkx</x:v>
      </x:c>
      <x:c r="E474" s="1" t="str"/>
      <x:c r="F474" s="1" t="n">
        <x:v>1</x:v>
      </x:c>
      <x:c r="G474" s="1" t="n">
        <x:v>1</x:v>
      </x:c>
      <x:c r="H474" s="1" t="n">
        <x:v>700</x:v>
      </x:c>
      <x:c r="I474" s="1" t="n">
        <x:v>700</x:v>
      </x:c>
      <x:c r="J474" s="1" t="str">
        <x:v>$700</x:v>
      </x:c>
      <x:c r="K474" s="1" t="str">
        <x:v>$700</x:v>
      </x:c>
      <x:c r="L474" s="1" t="str">
        <x:v>false</x:v>
      </x:c>
      <x:c r="M474" s="1" t="str">
        <x:v>2,800 sq. ft.</x:v>
      </x:c>
      <x:c r="N474" s="1" t="n">
        <x:v>1</x:v>
      </x:c>
      <x:c r="O474" s="1" t="str">
        <x:v>AvailableNow</x:v>
      </x:c>
      <x:c r="P474" s="1" t="str">
        <x:v>Rentals Available</x:v>
      </x:c>
      <x:c r="Q474" s="1" t="n">
        <x:v>46274.99998842592</x:v>
      </x:c>
      <x:c r="R474" s="1" t="str"/>
      <x:c r="S474" s="1" t="str"/>
      <x:c r="T474" s="1" t="str"/>
      <x:c r="U474" s="1" t="str"/>
      <x:c r="V474" s="1" t="str"/>
      <x:c r="W474" s="1" t="str"/>
      <x:c r="X474" s="1" t="str">
        <x:v>false</x:v>
      </x:c>
      <x:c r="Y474" s="1" t="str">
        <x:v>false</x:v>
      </x:c>
      <x:c r="Z474" s="1" t="str">
        <x:v>[]</x:v>
      </x:c>
    </x:row>
    <x:row r="475" ht="24" hidden="0" customHeight="1">
      <x:c r="A475" s="1" t="str">
        <x:v>ocp2bnnl9c</x:v>
      </x:c>
      <x:c r="B475" s="5" t="str">
        <x:v>Townhome at Hampton Place, Morrisville, 20 to 25 minutes from NCSU.</x:v>
      </x:c>
      <x:c r="C475" s="1" t="str">
        <x:v>1</x:v>
      </x:c>
      <x:c r="D475" s="1" t="str">
        <x:v>q2j0gkx</x:v>
      </x:c>
      <x:c r="E475" s="1" t="str"/>
      <x:c r="F475" s="1" t="n">
        <x:v>1</x:v>
      </x:c>
      <x:c r="G475" s="1" t="n">
        <x:v>3.5</x:v>
      </x:c>
      <x:c r="H475" s="1" t="n">
        <x:v>733</x:v>
      </x:c>
      <x:c r="I475" s="1" t="n">
        <x:v>733</x:v>
      </x:c>
      <x:c r="J475" s="1" t="str">
        <x:v>$733</x:v>
      </x:c>
      <x:c r="K475" s="1" t="str">
        <x:v>$833 - $853</x:v>
      </x:c>
      <x:c r="L475" s="1" t="str">
        <x:v>true</x:v>
      </x:c>
      <x:c r="M475" s="1" t="str">
        <x:v>2,310 sq. ft.</x:v>
      </x:c>
      <x:c r="N475" s="1" t="n">
        <x:v>1</x:v>
      </x:c>
      <x:c r="O475" s="1" t="str">
        <x:v>AvailableNow</x:v>
      </x:c>
      <x:c r="P475" s="1" t="str">
        <x:v>Rentals Available</x:v>
      </x:c>
      <x:c r="Q475" s="1" t="n">
        <x:v>25569.999988425927</x:v>
      </x:c>
      <x:c r="R475" s="1" t="str"/>
      <x:c r="S475" s="1" t="str"/>
      <x:c r="T475" s="1" t="str">
        <x:v>N/A</x:v>
      </x:c>
      <x:c r="U475" s="1" t="str">
        <x:v>N/A</x:v>
      </x:c>
      <x:c r="V475" s="1" t="str">
        <x:v>3</x:v>
      </x:c>
      <x:c r="W475" s="1" t="str"/>
      <x:c r="X475" s="1" t="str">
        <x:v>false</x:v>
      </x:c>
      <x:c r="Y475" s="1" t="str">
        <x:v>false</x:v>
      </x:c>
      <x:c r="Z475" s="1" t="str">
        <x:v>[]</x:v>
      </x:c>
    </x:row>
    <x:row r="476" ht="15" hidden="0" customHeight="1">
      <x:c r="A476" s="1" t="str">
        <x:v>gc0phpz</x:v>
      </x:c>
      <x:c r="B476" s="5" t="str">
        <x:v>591 E Cabarrus St (Raleigh, NC)</x:v>
      </x:c>
      <x:c r="C476" s="1" t="str">
        <x:v>1</x:v>
      </x:c>
      <x:c r="D476" s="1" t="str">
        <x:v>q2j0gkx</x:v>
      </x:c>
      <x:c r="E476" s="1" t="str"/>
      <x:c r="F476" s="1" t="n">
        <x:v>3</x:v>
      </x:c>
      <x:c r="G476" s="1" t="n">
        <x:v>2</x:v>
      </x:c>
      <x:c r="H476" s="1" t="n">
        <x:v>2600</x:v>
      </x:c>
      <x:c r="I476" s="1" t="n">
        <x:v>2600</x:v>
      </x:c>
      <x:c r="J476" s="1" t="str">
        <x:v>$2,600</x:v>
      </x:c>
      <x:c r="K476" s="1" t="str">
        <x:v>$2,600</x:v>
      </x:c>
      <x:c r="L476" s="1" t="str">
        <x:v>false</x:v>
      </x:c>
      <x:c r="M476" s="1" t="str">
        <x:v>1,020 sq. ft.</x:v>
      </x:c>
      <x:c r="N476" s="1" t="n">
        <x:v>1</x:v>
      </x:c>
      <x:c r="O476" s="1" t="str">
        <x:v>FutureDate</x:v>
      </x:c>
      <x:c r="P476" s="1" t="str">
        <x:v>Available Soon</x:v>
      </x:c>
      <x:c r="Q476" s="1" t="n">
        <x:v>46296.99998842592</x:v>
      </x:c>
      <x:c r="R476" s="1" t="str">
        <x:v>2600</x:v>
      </x:c>
      <x:c r="S476" s="1" t="str"/>
      <x:c r="T476" s="1" t="str"/>
      <x:c r="U476" s="1" t="str"/>
      <x:c r="V476" s="1" t="str"/>
      <x:c r="W476" s="1" t="str"/>
      <x:c r="X476" s="1" t="str">
        <x:v>false</x:v>
      </x:c>
      <x:c r="Y476" s="1" t="str">
        <x:v>false</x:v>
      </x:c>
      <x:c r="Z476" s="1" t="str">
        <x:v>[]</x:v>
      </x:c>
    </x:row>
    <x:row r="477" ht="15" hidden="0" customHeight="1">
      <x:c r="A477" s="1" t="str">
        <x:v>ocp0gblz91</x:v>
      </x:c>
      <x:c r="B477" s="5" t="str">
        <x:v>Great value in beautiful SW Raleigh</x:v>
      </x:c>
      <x:c r="C477" s="1" t="str">
        <x:v>1</x:v>
      </x:c>
      <x:c r="D477" s="1" t="str">
        <x:v>q2j0gkx</x:v>
      </x:c>
      <x:c r="E477" s="1" t="str"/>
      <x:c r="F477" s="1" t="n">
        <x:v>1</x:v>
      </x:c>
      <x:c r="G477" s="1" t="n">
        <x:v>1</x:v>
      </x:c>
      <x:c r="H477" s="1" t="n">
        <x:v>850</x:v>
      </x:c>
      <x:c r="I477" s="1" t="n">
        <x:v>850</x:v>
      </x:c>
      <x:c r="J477" s="1" t="str">
        <x:v>$850</x:v>
      </x:c>
      <x:c r="K477" s="1" t="str">
        <x:v>$850</x:v>
      </x:c>
      <x:c r="L477" s="1" t="str">
        <x:v>true</x:v>
      </x:c>
      <x:c r="M477" s="1" t="str"/>
      <x:c r="N477" s="1" t="n">
        <x:v>1</x:v>
      </x:c>
      <x:c r="O477" s="1" t="str">
        <x:v>AvailableNow</x:v>
      </x:c>
      <x:c r="P477" s="1" t="str">
        <x:v>Rentals Available</x:v>
      </x:c>
      <x:c r="Q477" s="1" t="n">
        <x:v>25569.999988425927</x:v>
      </x:c>
      <x:c r="R477" s="1" t="str"/>
      <x:c r="S477" s="1" t="str"/>
      <x:c r="T477" s="1" t="str">
        <x:v>N/A</x:v>
      </x:c>
      <x:c r="U477" s="1" t="str">
        <x:v>N/A</x:v>
      </x:c>
      <x:c r="V477" s="1" t="str">
        <x:v>1</x:v>
      </x:c>
      <x:c r="W477" s="1" t="str"/>
      <x:c r="X477" s="1" t="str">
        <x:v>false</x:v>
      </x:c>
      <x:c r="Y477" s="1" t="str">
        <x:v>false</x:v>
      </x:c>
      <x:c r="Z477" s="1" t="str">
        <x:v>[]</x:v>
      </x:c>
    </x:row>
    <x:row r="478" ht="15" hidden="0" customHeight="1">
      <x:c r="A478" s="1" t="str">
        <x:v>ocplp7c98d</x:v>
      </x:c>
      <x:c r="B478" s="5" t="str">
        <x:v>Collegeview Apartments</x:v>
      </x:c>
      <x:c r="C478" s="1" t="str">
        <x:v>141544</x:v>
      </x:c>
      <x:c r="D478" s="1" t="str">
        <x:v>84jn0s0</x:v>
      </x:c>
      <x:c r="E478" s="1" t="str">
        <x:v>2 Bed 2 Bath</x:v>
      </x:c>
      <x:c r="F478" s="1" t="n">
        <x:v>2</x:v>
      </x:c>
      <x:c r="G478" s="1" t="n">
        <x:v>2</x:v>
      </x:c>
      <x:c r="H478" s="1" t="n">
        <x:v>1445</x:v>
      </x:c>
      <x:c r="I478" s="1" t="n">
        <x:v>1445</x:v>
      </x:c>
      <x:c r="J478" s="1" t="str">
        <x:v>$1,445</x:v>
      </x:c>
      <x:c r="K478" s="1" t="str">
        <x:v>$1,445</x:v>
      </x:c>
      <x:c r="L478" s="1" t="str">
        <x:v>false</x:v>
      </x:c>
      <x:c r="M478" s="1" t="str">
        <x:v>1,122 sq. ft.</x:v>
      </x:c>
      <x:c r="N478" s="1" t="n">
        <x:v>1</x:v>
      </x:c>
      <x:c r="O478" s="1" t="str">
        <x:v>AvailableNow</x:v>
      </x:c>
      <x:c r="P478" s="1" t="str">
        <x:v>Rentals Available</x:v>
      </x:c>
      <x:c r="Q478" s="1" t="n">
        <x:v>25569.999988425927</x:v>
      </x:c>
      <x:c r="R478" s="1" t="str">
        <x:v>1445</x:v>
      </x:c>
      <x:c r="S478" s="1" t="str">
        <x:v>$1,445 - $2,890</x:v>
      </x:c>
      <x:c r="T478" s="1" t="str">
        <x:v>N/A</x:v>
      </x:c>
      <x:c r="U478" s="1" t="str">
        <x:v>N/A</x:v>
      </x:c>
      <x:c r="V478" s="1" t="str">
        <x:v>4</x:v>
      </x:c>
      <x:c r="W478" s="1" t="str"/>
      <x:c r="X478" s="1" t="str">
        <x:v>false</x:v>
      </x:c>
      <x:c r="Y478" s="1" t="str">
        <x:v>false</x:v>
      </x:c>
      <x:c r="Z478" s="1" t="str">
        <x:v>[]</x:v>
      </x:c>
    </x:row>
    <x:row r="479" ht="15" hidden="0" customHeight="1">
      <x:c r="A479" s="1" t="str">
        <x:v>ocplp7c98d</x:v>
      </x:c>
      <x:c r="B479" s="5" t="str">
        <x:v>Collegeview Apartments</x:v>
      </x:c>
      <x:c r="C479" s="1" t="str">
        <x:v>211157</x:v>
      </x:c>
      <x:c r="D479" s="1" t="str">
        <x:v>ge4mhdx</x:v>
      </x:c>
      <x:c r="E479" s="1" t="str">
        <x:v>2 Bed 2 Bath With Utilities</x:v>
      </x:c>
      <x:c r="F479" s="1" t="n">
        <x:v>2</x:v>
      </x:c>
      <x:c r="G479" s="1" t="n">
        <x:v>2</x:v>
      </x:c>
      <x:c r="H479" s="1" t="n">
        <x:v>1545</x:v>
      </x:c>
      <x:c r="I479" s="1" t="n">
        <x:v>1545</x:v>
      </x:c>
      <x:c r="J479" s="1" t="str">
        <x:v>$1,545</x:v>
      </x:c>
      <x:c r="K479" s="1" t="str">
        <x:v>$1,545</x:v>
      </x:c>
      <x:c r="L479" s="1" t="str">
        <x:v>false</x:v>
      </x:c>
      <x:c r="M479" s="1" t="str">
        <x:v>1,122 sq. ft.</x:v>
      </x:c>
      <x:c r="N479" s="1" t="n">
        <x:v>1</x:v>
      </x:c>
      <x:c r="O479" s="1" t="str">
        <x:v>AvailableNow</x:v>
      </x:c>
      <x:c r="P479" s="1" t="str">
        <x:v>Rentals Available</x:v>
      </x:c>
      <x:c r="Q479" s="1" t="n">
        <x:v>25569.999988425927</x:v>
      </x:c>
      <x:c r="R479" s="1" t="str">
        <x:v>1545</x:v>
      </x:c>
      <x:c r="S479" s="1" t="str">
        <x:v>$1,545 - $3,090</x:v>
      </x:c>
      <x:c r="T479" s="1" t="str">
        <x:v>N/A</x:v>
      </x:c>
      <x:c r="U479" s="1" t="str">
        <x:v>N/A</x:v>
      </x:c>
      <x:c r="V479" s="1" t="str">
        <x:v>4</x:v>
      </x:c>
      <x:c r="W479" s="1" t="str"/>
      <x:c r="X479" s="1" t="str">
        <x:v>false</x:v>
      </x:c>
      <x:c r="Y479" s="1" t="str">
        <x:v>false</x:v>
      </x:c>
      <x:c r="Z479" s="1" t="str">
        <x:v>[]</x:v>
      </x:c>
    </x:row>
    <x:row r="480" ht="24" hidden="0" customHeight="1">
      <x:c r="A480" s="1" t="str">
        <x:v>ocpteqgjg8</x:v>
      </x:c>
      <x:c r="B480" s="5" t="str">
        <x:v>Huge modern studio suite- private entrance and beth- near NCSU</x:v>
      </x:c>
      <x:c r="C480" s="1" t="str">
        <x:v>1</x:v>
      </x:c>
      <x:c r="D480" s="1" t="str">
        <x:v>q2j0gkx</x:v>
      </x:c>
      <x:c r="E480" s="1" t="str"/>
      <x:c r="F480" s="1" t="n">
        <x:v>1</x:v>
      </x:c>
      <x:c r="G480" s="1" t="n">
        <x:v>1</x:v>
      </x:c>
      <x:c r="H480" s="1" t="n">
        <x:v>1150</x:v>
      </x:c>
      <x:c r="I480" s="1" t="n">
        <x:v>1150</x:v>
      </x:c>
      <x:c r="J480" s="1" t="str">
        <x:v>$1,150</x:v>
      </x:c>
      <x:c r="K480" s="1" t="str">
        <x:v>$1,150</x:v>
      </x:c>
      <x:c r="L480" s="1" t="str">
        <x:v>false</x:v>
      </x:c>
      <x:c r="M480" s="1" t="str">
        <x:v>1,000 sq. ft.</x:v>
      </x:c>
      <x:c r="N480" s="1" t="n">
        <x:v>1</x:v>
      </x:c>
      <x:c r="O480" s="1" t="str">
        <x:v>AvailableNow</x:v>
      </x:c>
      <x:c r="P480" s="1" t="str">
        <x:v>Rentals Available</x:v>
      </x:c>
      <x:c r="Q480" s="1" t="n">
        <x:v>25569.999988425927</x:v>
      </x:c>
      <x:c r="R480" s="1" t="str"/>
      <x:c r="S480" s="1" t="str"/>
      <x:c r="T480" s="1" t="str">
        <x:v>N/A</x:v>
      </x:c>
      <x:c r="U480" s="1" t="str">
        <x:v>N/A</x:v>
      </x:c>
      <x:c r="V480" s="1" t="str">
        <x:v>1</x:v>
      </x:c>
      <x:c r="W480" s="1" t="str"/>
      <x:c r="X480" s="1" t="str">
        <x:v>false</x:v>
      </x:c>
      <x:c r="Y480" s="1" t="str">
        <x:v>false</x:v>
      </x:c>
      <x:c r="Z480" s="1" t="str">
        <x:v>[]</x:v>
      </x:c>
    </x:row>
    <x:row r="481" ht="15" hidden="0" customHeight="1">
      <x:c r="A481" s="1" t="str">
        <x:v>33f756e</x:v>
      </x:c>
      <x:c r="B481" s="5" t="str">
        <x:v>University Village at 2505</x:v>
      </x:c>
      <x:c r="C481" s="1" t="str">
        <x:v>2714357</x:v>
      </x:c>
      <x:c r="D481" s="1" t="str">
        <x:v>jl3ftj4</x:v>
      </x:c>
      <x:c r="E481" s="1" t="str">
        <x:v>4x4</x:v>
      </x:c>
      <x:c r="F481" s="1" t="n">
        <x:v>4</x:v>
      </x:c>
      <x:c r="G481" s="1" t="n">
        <x:v>4</x:v>
      </x:c>
      <x:c r="H481" s="1" t="n">
        <x:v>799</x:v>
      </x:c>
      <x:c r="I481" s="1" t="n">
        <x:v>799</x:v>
      </x:c>
      <x:c r="J481" s="1" t="str">
        <x:v>$799</x:v>
      </x:c>
      <x:c r="K481" s="1" t="str">
        <x:v>$842</x:v>
      </x:c>
      <x:c r="L481" s="1" t="str">
        <x:v>true</x:v>
      </x:c>
      <x:c r="M481" s="1" t="str">
        <x:v>1,453 sq. ft.</x:v>
      </x:c>
      <x:c r="N481" s="1" t="n">
        <x:v>1</x:v>
      </x:c>
      <x:c r="O481" s="1" t="str">
        <x:v>AvailableNow</x:v>
      </x:c>
      <x:c r="P481" s="1" t="str">
        <x:v>Rentals Available</x:v>
      </x:c>
      <x:c r="Q481" s="1" t="n">
        <x:v>46246.99998842592</x:v>
      </x:c>
      <x:c r="R481" s="1" t="str"/>
      <x:c r="S481" s="1" t="str"/>
      <x:c r="T481" s="1" t="str"/>
      <x:c r="U481" s="1" t="str"/>
      <x:c r="V481" s="1" t="str"/>
      <x:c r="W481" s="1" t="str"/>
      <x:c r="X481" s="1" t="str">
        <x:v>false</x:v>
      </x:c>
      <x:c r="Y481" s="1" t="str">
        <x:v>false</x:v>
      </x:c>
      <x:c r="Z481" s="1" t="str">
        <x:v>[]</x:v>
      </x:c>
    </x:row>
    <x:row r="482" ht="15" hidden="0" customHeight="1">
      <x:c r="A482" s="1" t="str">
        <x:v>ocphe602k0</x:v>
      </x:c>
      <x:c r="B482" s="5" t="str">
        <x:v>Apartment close to campus</x:v>
      </x:c>
      <x:c r="C482" s="1" t="str">
        <x:v>1</x:v>
      </x:c>
      <x:c r="D482" s="1" t="str">
        <x:v>q2j0gkx</x:v>
      </x:c>
      <x:c r="E482" s="1" t="str"/>
      <x:c r="F482" s="1" t="n">
        <x:v>3</x:v>
      </x:c>
      <x:c r="G482" s="1" t="n">
        <x:v>3</x:v>
      </x:c>
      <x:c r="H482" s="1" t="n">
        <x:v>1800</x:v>
      </x:c>
      <x:c r="I482" s="1" t="n">
        <x:v>1800</x:v>
      </x:c>
      <x:c r="J482" s="1" t="str">
        <x:v>$1,800</x:v>
      </x:c>
      <x:c r="K482" s="1" t="str">
        <x:v>$1,800</x:v>
      </x:c>
      <x:c r="L482" s="1" t="str">
        <x:v>false</x:v>
      </x:c>
      <x:c r="M482" s="1" t="str">
        <x:v>1,257 sq. ft.</x:v>
      </x:c>
      <x:c r="N482" s="1" t="n">
        <x:v>1</x:v>
      </x:c>
      <x:c r="O482" s="1" t="str">
        <x:v>AvailableNow</x:v>
      </x:c>
      <x:c r="P482" s="1" t="str">
        <x:v>Rentals Available</x:v>
      </x:c>
      <x:c r="Q482" s="1" t="n">
        <x:v>46223.99998842592</x:v>
      </x:c>
      <x:c r="R482" s="1" t="str"/>
      <x:c r="S482" s="1" t="str"/>
      <x:c r="T482" s="1" t="str">
        <x:v>N/A</x:v>
      </x:c>
      <x:c r="U482" s="1" t="str">
        <x:v>N/A</x:v>
      </x:c>
      <x:c r="V482" s="1" t="str">
        <x:v>3</x:v>
      </x:c>
      <x:c r="W482" s="1" t="str"/>
      <x:c r="X482" s="1" t="str">
        <x:v>false</x:v>
      </x:c>
      <x:c r="Y482" s="1" t="str">
        <x:v>false</x:v>
      </x:c>
      <x:c r="Z482" s="1" t="str">
        <x:v>[]</x:v>
      </x:c>
    </x:row>
    <x:row r="483" ht="15" hidden="0" customHeight="1">
      <x:c r="A483" s="1" t="str">
        <x:v>zfenc9w</x:v>
      </x:c>
      <x:c r="B483" s="5" t="str">
        <x:v>Room in Condo on Wolfmill Dr</x:v>
      </x:c>
      <x:c r="C483" s="1" t="str">
        <x:v>35127329</x:v>
      </x:c>
      <x:c r="D483" s="1" t="str">
        <x:v>bt557tc</x:v>
      </x:c>
      <x:c r="E483" s="1" t="str"/>
      <x:c r="F483" s="1" t="n">
        <x:v>1</x:v>
      </x:c>
      <x:c r="G483" s="1" t="n">
        <x:v>1</x:v>
      </x:c>
      <x:c r="H483" s="1" t="n">
        <x:v>720</x:v>
      </x:c>
      <x:c r="I483" s="1" t="n">
        <x:v>720</x:v>
      </x:c>
      <x:c r="J483" s="1" t="str">
        <x:v>$720</x:v>
      </x:c>
      <x:c r="K483" s="1" t="str">
        <x:v>$720</x:v>
      </x:c>
      <x:c r="L483" s="1" t="str">
        <x:v>false</x:v>
      </x:c>
      <x:c r="M483" s="1" t="str">
        <x:v>1,257 sq. ft.</x:v>
      </x:c>
      <x:c r="N483" s="1" t="n">
        <x:v>1</x:v>
      </x:c>
      <x:c r="O483" s="1" t="str">
        <x:v>AvailableNow</x:v>
      </x:c>
      <x:c r="P483" s="1" t="str">
        <x:v>Rentals Available</x:v>
      </x:c>
      <x:c r="Q483" s="1" t="n">
        <x:v>46274.99998842592</x:v>
      </x:c>
      <x:c r="R483" s="1" t="str"/>
      <x:c r="S483" s="1" t="str"/>
      <x:c r="T483" s="1" t="str"/>
      <x:c r="U483" s="1" t="str"/>
      <x:c r="V483" s="1" t="str"/>
      <x:c r="W483" s="1" t="str"/>
      <x:c r="X483" s="1" t="str">
        <x:v>false</x:v>
      </x:c>
      <x:c r="Y483" s="1" t="str">
        <x:v>false</x:v>
      </x:c>
      <x:c r="Z483" s="1" t="str">
        <x:v>[]</x:v>
      </x:c>
    </x:row>
    <x:row r="484" ht="15" hidden="0" customHeight="1">
      <x:c r="A484" s="1" t="str">
        <x:v>ocpvv9069d</x:v>
      </x:c>
      <x:c r="B484" s="5" t="str">
        <x:v>912 Chaney Rd. #102</x:v>
      </x:c>
      <x:c r="C484" s="1" t="str">
        <x:v>1</x:v>
      </x:c>
      <x:c r="D484" s="1" t="str">
        <x:v>q2j0gkx</x:v>
      </x:c>
      <x:c r="E484" s="1" t="str"/>
      <x:c r="F484" s="1" t="n">
        <x:v>4</x:v>
      </x:c>
      <x:c r="G484" s="1" t="n">
        <x:v>3</x:v>
      </x:c>
      <x:c r="H484" s="1" t="n">
        <x:v>2600</x:v>
      </x:c>
      <x:c r="I484" s="1" t="n">
        <x:v>2600</x:v>
      </x:c>
      <x:c r="J484" s="1" t="str">
        <x:v>$2,600</x:v>
      </x:c>
      <x:c r="K484" s="1" t="str">
        <x:v>$2,650</x:v>
      </x:c>
      <x:c r="L484" s="1" t="str">
        <x:v>false</x:v>
      </x:c>
      <x:c r="M484" s="1" t="str">
        <x:v>1,530 sq. ft.</x:v>
      </x:c>
      <x:c r="N484" s="1" t="n">
        <x:v>1</x:v>
      </x:c>
      <x:c r="O484" s="1" t="str">
        <x:v>AvailableNow</x:v>
      </x:c>
      <x:c r="P484" s="1" t="str">
        <x:v>Rentals Available</x:v>
      </x:c>
      <x:c r="Q484" s="1" t="n">
        <x:v>25569.999988425927</x:v>
      </x:c>
      <x:c r="R484" s="1" t="str"/>
      <x:c r="S484" s="1" t="str"/>
      <x:c r="T484" s="1" t="str">
        <x:v>N/A</x:v>
      </x:c>
      <x:c r="U484" s="1" t="str">
        <x:v>N/A</x:v>
      </x:c>
      <x:c r="V484" s="1" t="str">
        <x:v>4</x:v>
      </x:c>
      <x:c r="W484" s="1" t="str"/>
      <x:c r="X484" s="1" t="str">
        <x:v>false</x:v>
      </x:c>
      <x:c r="Y484" s="1" t="str">
        <x:v>false</x:v>
      </x:c>
      <x:c r="Z484" s="1" t="str">
        <x:v>[]</x:v>
      </x:c>
    </x:row>
    <x:row r="485" ht="15" hidden="0" customHeight="1">
      <x:c r="A485" s="1" t="str">
        <x:v>49jmmdh</x:v>
      </x:c>
      <x:c r="B485" s="5" t="str">
        <x:v>Room in Townhome on Haskell Dr</x:v>
      </x:c>
      <x:c r="C485" s="1" t="str">
        <x:v>1</x:v>
      </x:c>
      <x:c r="D485" s="1" t="str">
        <x:v>q2j0gkx</x:v>
      </x:c>
      <x:c r="E485" s="1" t="str"/>
      <x:c r="F485" s="1" t="n">
        <x:v>1</x:v>
      </x:c>
      <x:c r="G485" s="1" t="n">
        <x:v>1</x:v>
      </x:c>
      <x:c r="H485" s="1" t="n">
        <x:v>563</x:v>
      </x:c>
      <x:c r="I485" s="1" t="n">
        <x:v>563</x:v>
      </x:c>
      <x:c r="J485" s="1" t="str">
        <x:v>$563</x:v>
      </x:c>
      <x:c r="K485" s="1" t="str">
        <x:v>$563</x:v>
      </x:c>
      <x:c r="L485" s="1" t="str">
        <x:v>false</x:v>
      </x:c>
      <x:c r="M485" s="1" t="str">
        <x:v>1,500 sq. ft.</x:v>
      </x:c>
      <x:c r="N485" s="1" t="n">
        <x:v>1</x:v>
      </x:c>
      <x:c r="O485" s="1" t="str">
        <x:v>AvailableNow</x:v>
      </x:c>
      <x:c r="P485" s="1" t="str">
        <x:v>Rentals Available</x:v>
      </x:c>
      <x:c r="Q485" s="1" t="n">
        <x:v>46274.99998842592</x:v>
      </x:c>
      <x:c r="R485" s="1" t="str"/>
      <x:c r="S485" s="1" t="str"/>
      <x:c r="T485" s="1" t="str"/>
      <x:c r="U485" s="1" t="str"/>
      <x:c r="V485" s="1" t="str"/>
      <x:c r="W485" s="1" t="str"/>
      <x:c r="X485" s="1" t="str">
        <x:v>false</x:v>
      </x:c>
      <x:c r="Y485" s="1" t="str">
        <x:v>false</x:v>
      </x:c>
      <x:c r="Z485" s="1" t="str">
        <x:v>[]</x:v>
      </x:c>
    </x:row>
    <x:row r="486" ht="24" hidden="0" customHeight="1">
      <x:c r="A486" s="1" t="str">
        <x:v>ocpn54lxfn</x:v>
      </x:c>
      <x:c r="B486" s="5" t="str">
        <x:v>3 bedroom home close to campus and downtown Raleigh(Utilities included)</x:v>
      </x:c>
      <x:c r="C486" s="1" t="str">
        <x:v>1</x:v>
      </x:c>
      <x:c r="D486" s="1" t="str">
        <x:v>q2j0gkx</x:v>
      </x:c>
      <x:c r="E486" s="1" t="str"/>
      <x:c r="F486" s="1" t="n">
        <x:v>3</x:v>
      </x:c>
      <x:c r="G486" s="1" t="n">
        <x:v>1.5</x:v>
      </x:c>
      <x:c r="H486" s="1" t="n">
        <x:v>2000</x:v>
      </x:c>
      <x:c r="I486" s="1" t="n">
        <x:v>2000</x:v>
      </x:c>
      <x:c r="J486" s="1" t="str">
        <x:v>$2,000</x:v>
      </x:c>
      <x:c r="K486" s="1" t="str">
        <x:v>$2,000</x:v>
      </x:c>
      <x:c r="L486" s="1" t="str">
        <x:v>false</x:v>
      </x:c>
      <x:c r="M486" s="1" t="str">
        <x:v>1,100 sq. ft.</x:v>
      </x:c>
      <x:c r="N486" s="1" t="n">
        <x:v>1</x:v>
      </x:c>
      <x:c r="O486" s="1" t="str">
        <x:v>AvailableNow</x:v>
      </x:c>
      <x:c r="P486" s="1" t="str">
        <x:v>Rentals Available</x:v>
      </x:c>
      <x:c r="Q486" s="1" t="n">
        <x:v>25569.999988425927</x:v>
      </x:c>
      <x:c r="R486" s="1" t="str"/>
      <x:c r="S486" s="1" t="str"/>
      <x:c r="T486" s="1" t="str">
        <x:v>N/A</x:v>
      </x:c>
      <x:c r="U486" s="1" t="str">
        <x:v>N/A</x:v>
      </x:c>
      <x:c r="V486" s="1" t="str">
        <x:v>6</x:v>
      </x:c>
      <x:c r="W486" s="1" t="str"/>
      <x:c r="X486" s="1" t="str">
        <x:v>false</x:v>
      </x:c>
      <x:c r="Y486" s="1" t="str">
        <x:v>false</x:v>
      </x:c>
      <x:c r="Z486" s="1" t="str">
        <x:v>[]</x:v>
      </x:c>
    </x:row>
    <x:row r="487" ht="15" hidden="0" customHeight="1">
      <x:c r="A487" s="1" t="str">
        <x:v>wjt9dqk</x:v>
      </x:c>
      <x:c r="B487" s="5" t="str">
        <x:v>Room in Condo on University Ct</x:v>
      </x:c>
      <x:c r="C487" s="1" t="str">
        <x:v>35127311</x:v>
      </x:c>
      <x:c r="D487" s="1" t="str">
        <x:v>5b7hzrn</x:v>
      </x:c>
      <x:c r="E487" s="1" t="str"/>
      <x:c r="F487" s="1" t="n">
        <x:v>1</x:v>
      </x:c>
      <x:c r="G487" s="1" t="n">
        <x:v>1</x:v>
      </x:c>
      <x:c r="H487" s="1" t="n">
        <x:v>625</x:v>
      </x:c>
      <x:c r="I487" s="1" t="n">
        <x:v>625</x:v>
      </x:c>
      <x:c r="J487" s="1" t="str">
        <x:v>$625</x:v>
      </x:c>
      <x:c r="K487" s="1" t="str">
        <x:v>$625</x:v>
      </x:c>
      <x:c r="L487" s="1" t="str">
        <x:v>false</x:v>
      </x:c>
      <x:c r="M487" s="1" t="str">
        <x:v>1,176 sq. ft.</x:v>
      </x:c>
      <x:c r="N487" s="1" t="n">
        <x:v>1</x:v>
      </x:c>
      <x:c r="O487" s="1" t="str">
        <x:v>AvailableNow</x:v>
      </x:c>
      <x:c r="P487" s="1" t="str">
        <x:v>Rentals Available</x:v>
      </x:c>
      <x:c r="Q487" s="1" t="n">
        <x:v>46274.99998842592</x:v>
      </x:c>
      <x:c r="R487" s="1" t="str"/>
      <x:c r="S487" s="1" t="str"/>
      <x:c r="T487" s="1" t="str"/>
      <x:c r="U487" s="1" t="str"/>
      <x:c r="V487" s="1" t="str"/>
      <x:c r="W487" s="1" t="str"/>
      <x:c r="X487" s="1" t="str">
        <x:v>false</x:v>
      </x:c>
      <x:c r="Y487" s="1" t="str">
        <x:v>false</x:v>
      </x:c>
      <x:c r="Z487" s="1" t="str">
        <x:v>[]</x:v>
      </x:c>
    </x:row>
    <x:row r="488" ht="24" hidden="0" customHeight="1">
      <x:c r="A488" s="1" t="str">
        <x:v>ocpg8zsjmz</x:v>
      </x:c>
      <x:c r="B488" s="5" t="str">
        <x:v>Flex Stay | Lux Furnished | 3 Bed |  Pets OK | Utilities Incl. | International OK</x:v>
      </x:c>
      <x:c r="C488" s="1" t="str">
        <x:v>1</x:v>
      </x:c>
      <x:c r="D488" s="1" t="str">
        <x:v>q2j0gkx</x:v>
      </x:c>
      <x:c r="E488" s="1" t="str"/>
      <x:c r="F488" s="1" t="n">
        <x:v>3</x:v>
      </x:c>
      <x:c r="G488" s="1" t="n">
        <x:v>2.5</x:v>
      </x:c>
      <x:c r="H488" s="1" t="n">
        <x:v>2800</x:v>
      </x:c>
      <x:c r="I488" s="1" t="n">
        <x:v>2800</x:v>
      </x:c>
      <x:c r="J488" s="1" t="str">
        <x:v>$2,800</x:v>
      </x:c>
      <x:c r="K488" s="1" t="str">
        <x:v>$2,800</x:v>
      </x:c>
      <x:c r="L488" s="1" t="str">
        <x:v>false</x:v>
      </x:c>
      <x:c r="M488" s="1" t="str">
        <x:v>1,478 sq. ft.</x:v>
      </x:c>
      <x:c r="N488" s="1" t="n">
        <x:v>1</x:v>
      </x:c>
      <x:c r="O488" s="1" t="str">
        <x:v>AvailableNow</x:v>
      </x:c>
      <x:c r="P488" s="1" t="str">
        <x:v>Rentals Available</x:v>
      </x:c>
      <x:c r="Q488" s="1" t="n">
        <x:v>46249.99998842592</x:v>
      </x:c>
      <x:c r="R488" s="1" t="str"/>
      <x:c r="S488" s="1" t="str"/>
      <x:c r="T488" s="1" t="str">
        <x:v>N/A</x:v>
      </x:c>
      <x:c r="U488" s="1" t="str">
        <x:v>N/A</x:v>
      </x:c>
      <x:c r="V488" s="1" t="str">
        <x:v>5</x:v>
      </x:c>
      <x:c r="W488" s="1" t="str"/>
      <x:c r="X488" s="1" t="str">
        <x:v>false</x:v>
      </x:c>
      <x:c r="Y488" s="1" t="str">
        <x:v>false</x:v>
      </x:c>
      <x:c r="Z488" s="1" t="str">
        <x:v>[]</x:v>
      </x:c>
    </x:row>
    <x:row r="489" ht="15" hidden="0" customHeight="1">
      <x:c r="A489" s="1" t="str">
        <x:v>bq6wzsb</x:v>
      </x:c>
      <x:c r="B489" s="5" t="str">
        <x:v>Room in House on Quartz Ct</x:v>
      </x:c>
      <x:c r="C489" s="1" t="str">
        <x:v>1</x:v>
      </x:c>
      <x:c r="D489" s="1" t="str">
        <x:v>q2j0gkx</x:v>
      </x:c>
      <x:c r="E489" s="1" t="str"/>
      <x:c r="F489" s="1" t="n">
        <x:v>1</x:v>
      </x:c>
      <x:c r="G489" s="1" t="n">
        <x:v>1</x:v>
      </x:c>
      <x:c r="H489" s="1" t="n">
        <x:v>685</x:v>
      </x:c>
      <x:c r="I489" s="1" t="n">
        <x:v>685</x:v>
      </x:c>
      <x:c r="J489" s="1" t="str">
        <x:v>$685</x:v>
      </x:c>
      <x:c r="K489" s="1" t="str">
        <x:v>$685</x:v>
      </x:c>
      <x:c r="L489" s="1" t="str">
        <x:v>false</x:v>
      </x:c>
      <x:c r="M489" s="1" t="str">
        <x:v>1,057 sq. ft.</x:v>
      </x:c>
      <x:c r="N489" s="1" t="n">
        <x:v>1</x:v>
      </x:c>
      <x:c r="O489" s="1" t="str">
        <x:v>AvailableNow</x:v>
      </x:c>
      <x:c r="P489" s="1" t="str">
        <x:v>Rentals Available</x:v>
      </x:c>
      <x:c r="Q489" s="1" t="n">
        <x:v>46274.99998842592</x:v>
      </x:c>
      <x:c r="R489" s="1" t="str"/>
      <x:c r="S489" s="1" t="str"/>
      <x:c r="T489" s="1" t="str"/>
      <x:c r="U489" s="1" t="str"/>
      <x:c r="V489" s="1" t="str"/>
      <x:c r="W489" s="1" t="str"/>
      <x:c r="X489" s="1" t="str">
        <x:v>false</x:v>
      </x:c>
      <x:c r="Y489" s="1" t="str">
        <x:v>true</x:v>
      </x:c>
      <x:c r="Z489" s="1" t="str">
        <x:v>[]</x:v>
      </x:c>
    </x:row>
    <x:row r="490" ht="15" hidden="0" customHeight="1">
      <x:c r="A490" s="1" t="str">
        <x:v>ocp4t7wmxk</x:v>
      </x:c>
      <x:c r="B490" s="5" t="str">
        <x:v>University Oaks</x:v>
      </x:c>
      <x:c r="C490" s="1" t="str">
        <x:v>1</x:v>
      </x:c>
      <x:c r="D490" s="1" t="str">
        <x:v>q2j0gkx</x:v>
      </x:c>
      <x:c r="E490" s="1" t="str"/>
      <x:c r="F490" s="1" t="n">
        <x:v>3</x:v>
      </x:c>
      <x:c r="G490" s="1" t="n">
        <x:v>4</x:v>
      </x:c>
      <x:c r="H490" s="1" t="n">
        <x:v>725</x:v>
      </x:c>
      <x:c r="I490" s="1" t="n">
        <x:v>725</x:v>
      </x:c>
      <x:c r="J490" s="1" t="str">
        <x:v>$725</x:v>
      </x:c>
      <x:c r="K490" s="1" t="str">
        <x:v>$725</x:v>
      </x:c>
      <x:c r="L490" s="1" t="str">
        <x:v>true</x:v>
      </x:c>
      <x:c r="M490" s="1" t="str"/>
      <x:c r="N490" s="1" t="n">
        <x:v>1</x:v>
      </x:c>
      <x:c r="O490" s="1" t="str">
        <x:v>AvailableNow</x:v>
      </x:c>
      <x:c r="P490" s="1" t="str">
        <x:v>Rentals Available</x:v>
      </x:c>
      <x:c r="Q490" s="1" t="n">
        <x:v>25569.999988425927</x:v>
      </x:c>
      <x:c r="R490" s="1" t="str"/>
      <x:c r="S490" s="1" t="str"/>
      <x:c r="T490" s="1" t="str">
        <x:v>N/A</x:v>
      </x:c>
      <x:c r="U490" s="1" t="str">
        <x:v>N/A</x:v>
      </x:c>
      <x:c r="V490" s="1" t="str">
        <x:v>4</x:v>
      </x:c>
      <x:c r="W490" s="1" t="str"/>
      <x:c r="X490" s="1" t="str">
        <x:v>false</x:v>
      </x:c>
      <x:c r="Y490" s="1" t="str">
        <x:v>false</x:v>
      </x:c>
      <x:c r="Z490" s="1" t="str">
        <x:v>[]</x:v>
      </x:c>
    </x:row>
    <x:row r="491" ht="15" hidden="0" customHeight="1">
      <x:c r="A491" s="1" t="str">
        <x:v>z44390w</x:v>
      </x:c>
      <x:c r="B491" s="5" t="str">
        <x:v>Lofts at Lineberry</x:v>
      </x:c>
      <x:c r="C491" s="1" t="str">
        <x:v>2028025</x:v>
      </x:c>
      <x:c r="D491" s="1" t="str">
        <x:v>zhgy0py</x:v>
      </x:c>
      <x:c r="E491" s="1" t="str">
        <x:v>Two-Bedroom</x:v>
      </x:c>
      <x:c r="F491" s="1" t="n">
        <x:v>1</x:v>
      </x:c>
      <x:c r="G491" s="1" t="n">
        <x:v>1</x:v>
      </x:c>
      <x:c r="H491" s="1" t="str"/>
      <x:c r="I491" s="1" t="str"/>
      <x:c r="J491" s="1" t="str"/>
      <x:c r="K491" s="1" t="str"/>
      <x:c r="L491" s="1" t="str">
        <x:v>false</x:v>
      </x:c>
      <x:c r="M491" s="1" t="str">
        <x:v>782 sq. ft.</x:v>
      </x:c>
      <x:c r="N491" s="1" t="n">
        <x:v>0</x:v>
      </x:c>
      <x:c r="O491" s="1" t="str">
        <x:v>CallForAvailability</x:v>
      </x:c>
      <x:c r="P491" s="1" t="str">
        <x:v>Available Soon</x:v>
      </x:c>
      <x:c r="Q491" s="1" t="str"/>
      <x:c r="R491" s="1" t="str"/>
      <x:c r="S491" s="1" t="str"/>
      <x:c r="T491" s="1" t="str"/>
      <x:c r="U491" s="1" t="str"/>
      <x:c r="V491" s="1" t="str"/>
      <x:c r="W491" s="1" t="str"/>
      <x:c r="X491" s="1" t="str">
        <x:v>false</x:v>
      </x:c>
      <x:c r="Y491" s="1" t="str">
        <x:v>false</x:v>
      </x:c>
      <x:c r="Z491" s="1" t="str">
        <x:v>[]</x:v>
      </x:c>
    </x:row>
    <x:row r="492" ht="15" hidden="0" customHeight="1">
      <x:c r="A492" s="1" t="str">
        <x:v>z44390w</x:v>
      </x:c>
      <x:c r="B492" s="5" t="str">
        <x:v>Lofts at Lineberry</x:v>
      </x:c>
      <x:c r="C492" s="1" t="str">
        <x:v>2028026</x:v>
      </x:c>
      <x:c r="D492" s="1" t="str">
        <x:v>b9bj978</x:v>
      </x:c>
      <x:c r="E492" s="1" t="str">
        <x:v>Four-Bedroom</x:v>
      </x:c>
      <x:c r="F492" s="1" t="n">
        <x:v>4</x:v>
      </x:c>
      <x:c r="G492" s="1" t="n">
        <x:v>3</x:v>
      </x:c>
      <x:c r="H492" s="1" t="str"/>
      <x:c r="I492" s="1" t="str"/>
      <x:c r="J492" s="1" t="str"/>
      <x:c r="K492" s="1" t="str"/>
      <x:c r="L492" s="1" t="str">
        <x:v>false</x:v>
      </x:c>
      <x:c r="M492" s="1" t="str">
        <x:v>1,404 sq. ft.</x:v>
      </x:c>
      <x:c r="N492" s="1" t="n">
        <x:v>0</x:v>
      </x:c>
      <x:c r="O492" s="1" t="str">
        <x:v>CallForAvailability</x:v>
      </x:c>
      <x:c r="P492" s="1" t="str">
        <x:v>Available Soon</x:v>
      </x:c>
      <x:c r="Q492" s="1" t="str"/>
      <x:c r="R492" s="1" t="str"/>
      <x:c r="S492" s="1" t="str"/>
      <x:c r="T492" s="1" t="str"/>
      <x:c r="U492" s="1" t="str"/>
      <x:c r="V492" s="1" t="str"/>
      <x:c r="W492" s="1" t="str"/>
      <x:c r="X492" s="1" t="str">
        <x:v>false</x:v>
      </x:c>
      <x:c r="Y492" s="1" t="str">
        <x:v>false</x:v>
      </x:c>
      <x:c r="Z492" s="1" t="str">
        <x:v>[]</x:v>
      </x:c>
    </x:row>
    <x:row r="493" ht="15" hidden="0" customHeight="1">
      <x:c r="A493" s="1" t="str">
        <x:v>ocp90bdzb4</x:v>
      </x:c>
      <x:c r="B493" s="5" t="str">
        <x:v>Brick Bungalow close to Campus</x:v>
      </x:c>
      <x:c r="C493" s="1" t="str">
        <x:v>1</x:v>
      </x:c>
      <x:c r="D493" s="1" t="str">
        <x:v>q2j0gkx</x:v>
      </x:c>
      <x:c r="E493" s="1" t="str"/>
      <x:c r="F493" s="1" t="n">
        <x:v>1</x:v>
      </x:c>
      <x:c r="G493" s="1" t="n">
        <x:v>1</x:v>
      </x:c>
      <x:c r="H493" s="1" t="n">
        <x:v>1050</x:v>
      </x:c>
      <x:c r="I493" s="1" t="n">
        <x:v>1050</x:v>
      </x:c>
      <x:c r="J493" s="1" t="str">
        <x:v>$1,050</x:v>
      </x:c>
      <x:c r="K493" s="1" t="str">
        <x:v>$1,050</x:v>
      </x:c>
      <x:c r="L493" s="1" t="str">
        <x:v>true</x:v>
      </x:c>
      <x:c r="M493" s="1" t="str">
        <x:v>460 sq. ft.</x:v>
      </x:c>
      <x:c r="N493" s="1" t="n">
        <x:v>1</x:v>
      </x:c>
      <x:c r="O493" s="1" t="str">
        <x:v>AvailableNow</x:v>
      </x:c>
      <x:c r="P493" s="1" t="str">
        <x:v>Rentals Available</x:v>
      </x:c>
      <x:c r="Q493" s="1" t="n">
        <x:v>46273.99998842592</x:v>
      </x:c>
      <x:c r="R493" s="1" t="str"/>
      <x:c r="S493" s="1" t="str"/>
      <x:c r="T493" s="1" t="str">
        <x:v>N/A</x:v>
      </x:c>
      <x:c r="U493" s="1" t="str">
        <x:v>N/A</x:v>
      </x:c>
      <x:c r="V493" s="1" t="str">
        <x:v>1</x:v>
      </x:c>
      <x:c r="W493" s="1" t="str"/>
      <x:c r="X493" s="1" t="str">
        <x:v>false</x:v>
      </x:c>
      <x:c r="Y493" s="1" t="str">
        <x:v>false</x:v>
      </x:c>
      <x:c r="Z493" s="1" t="str">
        <x:v>[]</x:v>
      </x:c>
    </x:row>
    <x:row r="494" ht="15" hidden="0" customHeight="1">
      <x:c r="A494" s="1" t="str">
        <x:v>ocp9blcpd7</x:v>
      </x:c>
      <x:c r="B494" s="5" t="str">
        <x:v>Studio, One and Two Bedrooms at Westgrove Towers</x:v>
      </x:c>
      <x:c r="C494" s="1" t="str">
        <x:v>120210</x:v>
      </x:c>
      <x:c r="D494" s="1" t="str">
        <x:v>lj2cnmf</x:v>
      </x:c>
      <x:c r="E494" s="1" t="str">
        <x:v>Studio</x:v>
      </x:c>
      <x:c r="F494" s="1" t="n">
        <x:v>1</x:v>
      </x:c>
      <x:c r="G494" s="1" t="n">
        <x:v>1</x:v>
      </x:c>
      <x:c r="H494" s="1" t="n">
        <x:v>805</x:v>
      </x:c>
      <x:c r="I494" s="1" t="n">
        <x:v>805</x:v>
      </x:c>
      <x:c r="J494" s="1" t="str">
        <x:v>$805</x:v>
      </x:c>
      <x:c r="K494" s="1" t="str">
        <x:v>$805</x:v>
      </x:c>
      <x:c r="L494" s="1" t="str">
        <x:v>false</x:v>
      </x:c>
      <x:c r="M494" s="1" t="str">
        <x:v>350 sq. ft.</x:v>
      </x:c>
      <x:c r="N494" s="1" t="n">
        <x:v>1</x:v>
      </x:c>
      <x:c r="O494" s="1" t="str">
        <x:v>AvailableNow</x:v>
      </x:c>
      <x:c r="P494" s="1" t="str">
        <x:v>Rentals Available</x:v>
      </x:c>
      <x:c r="Q494" s="1" t="n">
        <x:v>25569.999988425927</x:v>
      </x:c>
      <x:c r="R494" s="1" t="str">
        <x:v>200</x:v>
      </x:c>
      <x:c r="S494" s="1" t="str">
        <x:v>$200 - $400</x:v>
      </x:c>
      <x:c r="T494" s="1" t="str">
        <x:v>N/A</x:v>
      </x:c>
      <x:c r="U494" s="1" t="str">
        <x:v>N/A</x:v>
      </x:c>
      <x:c r="V494" s="1" t="str">
        <x:v>2</x:v>
      </x:c>
      <x:c r="W494" s="1" t="str"/>
      <x:c r="X494" s="1" t="str">
        <x:v>false</x:v>
      </x:c>
      <x:c r="Y494" s="1" t="str">
        <x:v>false</x:v>
      </x:c>
      <x:c r="Z494" s="1" t="str">
        <x:v>[]</x:v>
      </x:c>
    </x:row>
    <x:row r="495" ht="15" hidden="0" customHeight="1">
      <x:c r="A495" s="1" t="str">
        <x:v>ocp9blcpd7</x:v>
      </x:c>
      <x:c r="B495" s="5" t="str">
        <x:v>Studio, One and Two Bedrooms at Westgrove Towers</x:v>
      </x:c>
      <x:c r="C495" s="1" t="str">
        <x:v>120860</x:v>
      </x:c>
      <x:c r="D495" s="1" t="str">
        <x:v>g0pnl3z</x:v>
      </x:c>
      <x:c r="E495" s="1" t="str">
        <x:v>Small 1 Bedroom</x:v>
      </x:c>
      <x:c r="F495" s="1" t="n">
        <x:v>1</x:v>
      </x:c>
      <x:c r="G495" s="1" t="n">
        <x:v>1</x:v>
      </x:c>
      <x:c r="H495" s="1" t="n">
        <x:v>870</x:v>
      </x:c>
      <x:c r="I495" s="1" t="n">
        <x:v>870</x:v>
      </x:c>
      <x:c r="J495" s="1" t="str">
        <x:v>$870</x:v>
      </x:c>
      <x:c r="K495" s="1" t="str">
        <x:v>$870</x:v>
      </x:c>
      <x:c r="L495" s="1" t="str">
        <x:v>false</x:v>
      </x:c>
      <x:c r="M495" s="1" t="str">
        <x:v>535 sq. ft.</x:v>
      </x:c>
      <x:c r="N495" s="1" t="n">
        <x:v>1</x:v>
      </x:c>
      <x:c r="O495" s="1" t="str">
        <x:v>AvailableNow</x:v>
      </x:c>
      <x:c r="P495" s="1" t="str">
        <x:v>Rentals Available</x:v>
      </x:c>
      <x:c r="Q495" s="1" t="n">
        <x:v>25569.999988425927</x:v>
      </x:c>
      <x:c r="R495" s="1" t="str">
        <x:v>200</x:v>
      </x:c>
      <x:c r="S495" s="1" t="str">
        <x:v>$200 - $400</x:v>
      </x:c>
      <x:c r="T495" s="1" t="str">
        <x:v>N/A</x:v>
      </x:c>
      <x:c r="U495" s="1" t="str">
        <x:v>N/A</x:v>
      </x:c>
      <x:c r="V495" s="1" t="str">
        <x:v>2</x:v>
      </x:c>
      <x:c r="W495" s="1" t="str"/>
      <x:c r="X495" s="1" t="str">
        <x:v>false</x:v>
      </x:c>
      <x:c r="Y495" s="1" t="str">
        <x:v>false</x:v>
      </x:c>
      <x:c r="Z495" s="1" t="str">
        <x:v>[]</x:v>
      </x:c>
    </x:row>
    <x:row r="496" ht="15" hidden="0" customHeight="1">
      <x:c r="A496" s="1" t="str">
        <x:v>ocp9blcpd7</x:v>
      </x:c>
      <x:c r="B496" s="5" t="str">
        <x:v>Studio, One and Two Bedrooms at Westgrove Towers</x:v>
      </x:c>
      <x:c r="C496" s="1" t="str">
        <x:v>120209</x:v>
      </x:c>
      <x:c r="D496" s="1" t="str">
        <x:v>kzshv2b</x:v>
      </x:c>
      <x:c r="E496" s="1" t="str">
        <x:v>Large 1 Bedroom</x:v>
      </x:c>
      <x:c r="F496" s="1" t="n">
        <x:v>1</x:v>
      </x:c>
      <x:c r="G496" s="1" t="n">
        <x:v>1</x:v>
      </x:c>
      <x:c r="H496" s="1" t="n">
        <x:v>917</x:v>
      </x:c>
      <x:c r="I496" s="1" t="n">
        <x:v>1050</x:v>
      </x:c>
      <x:c r="J496" s="1" t="str">
        <x:v>$917 - $1,050</x:v>
      </x:c>
      <x:c r="K496" s="1" t="str">
        <x:v>$917 - $1,050</x:v>
      </x:c>
      <x:c r="L496" s="1" t="str">
        <x:v>false</x:v>
      </x:c>
      <x:c r="M496" s="1" t="str">
        <x:v>580 sq. ft.</x:v>
      </x:c>
      <x:c r="N496" s="1" t="n">
        <x:v>1</x:v>
      </x:c>
      <x:c r="O496" s="1" t="str">
        <x:v>AvailableNow</x:v>
      </x:c>
      <x:c r="P496" s="1" t="str">
        <x:v>Rentals Available</x:v>
      </x:c>
      <x:c r="Q496" s="1" t="n">
        <x:v>25569.999988425927</x:v>
      </x:c>
      <x:c r="R496" s="1" t="str">
        <x:v>200</x:v>
      </x:c>
      <x:c r="S496" s="1" t="str">
        <x:v>$200 - $400</x:v>
      </x:c>
      <x:c r="T496" s="1" t="str">
        <x:v>N/A</x:v>
      </x:c>
      <x:c r="U496" s="1" t="str">
        <x:v>N/A</x:v>
      </x:c>
      <x:c r="V496" s="1" t="str">
        <x:v>2</x:v>
      </x:c>
      <x:c r="W496" s="1" t="str"/>
      <x:c r="X496" s="1" t="str">
        <x:v>false</x:v>
      </x:c>
      <x:c r="Y496" s="1" t="str">
        <x:v>false</x:v>
      </x:c>
      <x:c r="Z496" s="1" t="str">
        <x:v>[]</x:v>
      </x:c>
    </x:row>
    <x:row r="497" ht="15" hidden="0" customHeight="1">
      <x:c r="A497" s="1" t="str">
        <x:v>ocpq99qjpx</x:v>
      </x:c>
      <x:c r="B497" s="5" t="str">
        <x:v>Apartment close to NCSU</x:v>
      </x:c>
      <x:c r="C497" s="1" t="str">
        <x:v>1</x:v>
      </x:c>
      <x:c r="D497" s="1" t="str">
        <x:v>q2j0gkx</x:v>
      </x:c>
      <x:c r="E497" s="1" t="str"/>
      <x:c r="F497" s="1" t="n">
        <x:v>1</x:v>
      </x:c>
      <x:c r="G497" s="1" t="n">
        <x:v>1</x:v>
      </x:c>
      <x:c r="H497" s="1" t="n">
        <x:v>645</x:v>
      </x:c>
      <x:c r="I497" s="1" t="n">
        <x:v>645</x:v>
      </x:c>
      <x:c r="J497" s="1" t="str">
        <x:v>$645</x:v>
      </x:c>
      <x:c r="K497" s="1" t="str">
        <x:v>$645</x:v>
      </x:c>
      <x:c r="L497" s="1" t="str">
        <x:v>true</x:v>
      </x:c>
      <x:c r="M497" s="1" t="str">
        <x:v>768 sq. ft.</x:v>
      </x:c>
      <x:c r="N497" s="1" t="n">
        <x:v>1</x:v>
      </x:c>
      <x:c r="O497" s="1" t="str">
        <x:v>AvailableNow</x:v>
      </x:c>
      <x:c r="P497" s="1" t="str">
        <x:v>Rentals Available</x:v>
      </x:c>
      <x:c r="Q497" s="1" t="n">
        <x:v>25569.999988425927</x:v>
      </x:c>
      <x:c r="R497" s="1" t="str"/>
      <x:c r="S497" s="1" t="str"/>
      <x:c r="T497" s="1" t="str">
        <x:v>N/A</x:v>
      </x:c>
      <x:c r="U497" s="1" t="str">
        <x:v>N/A</x:v>
      </x:c>
      <x:c r="V497" s="1" t="str">
        <x:v>1</x:v>
      </x:c>
      <x:c r="W497" s="1" t="str"/>
      <x:c r="X497" s="1" t="str">
        <x:v>false</x:v>
      </x:c>
      <x:c r="Y497" s="1" t="str">
        <x:v>false</x:v>
      </x:c>
      <x:c r="Z497" s="1" t="str">
        <x:v>[]</x:v>
      </x:c>
    </x:row>
    <x:row r="498" ht="15" hidden="0" customHeight="1">
      <x:c r="A498" s="1" t="str">
        <x:v>gdtz0ww</x:v>
      </x:c>
      <x:c r="B498" s="5" t="str">
        <x:v>3111 Kentish Town Ln (Raleigh, NC)</x:v>
      </x:c>
      <x:c r="C498" s="1" t="str">
        <x:v>1</x:v>
      </x:c>
      <x:c r="D498" s="1" t="str">
        <x:v>q2j0gkx</x:v>
      </x:c>
      <x:c r="E498" s="1" t="str"/>
      <x:c r="F498" s="1" t="n">
        <x:v>3</x:v>
      </x:c>
      <x:c r="G498" s="1" t="n">
        <x:v>3</x:v>
      </x:c>
      <x:c r="H498" s="1" t="n">
        <x:v>2675</x:v>
      </x:c>
      <x:c r="I498" s="1" t="n">
        <x:v>2675</x:v>
      </x:c>
      <x:c r="J498" s="1" t="str">
        <x:v>$2,675</x:v>
      </x:c>
      <x:c r="K498" s="1" t="str">
        <x:v>$2,675</x:v>
      </x:c>
      <x:c r="L498" s="1" t="str">
        <x:v>false</x:v>
      </x:c>
      <x:c r="M498" s="1" t="str">
        <x:v>2,281 sq. ft.</x:v>
      </x:c>
      <x:c r="N498" s="1" t="n">
        <x:v>1</x:v>
      </x:c>
      <x:c r="O498" s="1" t="str">
        <x:v>FutureDate</x:v>
      </x:c>
      <x:c r="P498" s="1" t="str">
        <x:v>Available Soon</x:v>
      </x:c>
      <x:c r="Q498" s="1" t="n">
        <x:v>46277.99998842592</x:v>
      </x:c>
      <x:c r="R498" s="1" t="str">
        <x:v>2675</x:v>
      </x:c>
      <x:c r="S498" s="1" t="str"/>
      <x:c r="T498" s="1" t="str"/>
      <x:c r="U498" s="1" t="str"/>
      <x:c r="V498" s="1" t="str"/>
      <x:c r="W498" s="1" t="str"/>
      <x:c r="X498" s="1" t="str">
        <x:v>false</x:v>
      </x:c>
      <x:c r="Y498" s="1" t="str">
        <x:v>false</x:v>
      </x:c>
      <x:c r="Z498" s="1" t="str">
        <x:v>[]</x:v>
      </x:c>
    </x:row>
    <x:row r="499" ht="15" hidden="0" customHeight="1">
      <x:c r="A499" s="1" t="str">
        <x:v>ocps6ymwl7</x:v>
      </x:c>
      <x:c r="B499" s="5" t="str">
        <x:v>University Woods</x:v>
      </x:c>
      <x:c r="C499" s="1" t="str">
        <x:v>97149</x:v>
      </x:c>
      <x:c r="D499" s="1" t="str">
        <x:v>p89zsjt</x:v>
      </x:c>
      <x:c r="E499" s="1" t="str">
        <x:v>4 Bedroom 4 Bathroom</x:v>
      </x:c>
      <x:c r="F499" s="1" t="n">
        <x:v>1</x:v>
      </x:c>
      <x:c r="G499" s="1" t="n">
        <x:v>1</x:v>
      </x:c>
      <x:c r="H499" s="1" t="n">
        <x:v>600</x:v>
      </x:c>
      <x:c r="I499" s="1" t="n">
        <x:v>600</x:v>
      </x:c>
      <x:c r="J499" s="1" t="str">
        <x:v>$600</x:v>
      </x:c>
      <x:c r="K499" s="1" t="str">
        <x:v>$600</x:v>
      </x:c>
      <x:c r="L499" s="1" t="str">
        <x:v>true</x:v>
      </x:c>
      <x:c r="M499" s="1" t="str"/>
      <x:c r="N499" s="1" t="n">
        <x:v>1</x:v>
      </x:c>
      <x:c r="O499" s="1" t="str">
        <x:v>AvailableNow</x:v>
      </x:c>
      <x:c r="P499" s="1" t="str">
        <x:v>Rentals Available</x:v>
      </x:c>
      <x:c r="Q499" s="1" t="n">
        <x:v>25569.999988425927</x:v>
      </x:c>
      <x:c r="R499" s="1" t="str">
        <x:v>600</x:v>
      </x:c>
      <x:c r="S499" s="1" t="str">
        <x:v>$600</x:v>
      </x:c>
      <x:c r="T499" s="1" t="str">
        <x:v>N/A</x:v>
      </x:c>
      <x:c r="U499" s="1" t="str">
        <x:v>N/A</x:v>
      </x:c>
      <x:c r="V499" s="1" t="str">
        <x:v>1</x:v>
      </x:c>
      <x:c r="W499" s="1" t="str"/>
      <x:c r="X499" s="1" t="str">
        <x:v>false</x:v>
      </x:c>
      <x:c r="Y499" s="1" t="str">
        <x:v>false</x:v>
      </x:c>
      <x:c r="Z499" s="1" t="str">
        <x:v>[]</x:v>
      </x:c>
    </x:row>
    <x:row r="500" ht="15" hidden="0" customHeight="1">
      <x:c r="A500" s="1" t="str">
        <x:v>9m73sq5</x:v>
      </x:c>
      <x:c r="B500" s="5" t="str">
        <x:v>Room in Townhome on Macedonia Lake Dr</x:v>
      </x:c>
      <x:c r="C500" s="1" t="str">
        <x:v>1</x:v>
      </x:c>
      <x:c r="D500" s="1" t="str">
        <x:v>q2j0gkx</x:v>
      </x:c>
      <x:c r="E500" s="1" t="str"/>
      <x:c r="F500" s="1" t="n">
        <x:v>1</x:v>
      </x:c>
      <x:c r="G500" s="1" t="n">
        <x:v>1</x:v>
      </x:c>
      <x:c r="H500" s="1" t="n">
        <x:v>800</x:v>
      </x:c>
      <x:c r="I500" s="1" t="n">
        <x:v>800</x:v>
      </x:c>
      <x:c r="J500" s="1" t="str">
        <x:v>$800</x:v>
      </x:c>
      <x:c r="K500" s="1" t="str">
        <x:v>$800</x:v>
      </x:c>
      <x:c r="L500" s="1" t="str">
        <x:v>false</x:v>
      </x:c>
      <x:c r="M500" s="1" t="str">
        <x:v>2,317 sq. ft.</x:v>
      </x:c>
      <x:c r="N500" s="1" t="n">
        <x:v>1</x:v>
      </x:c>
      <x:c r="O500" s="1" t="str">
        <x:v>CallForAvailability</x:v>
      </x:c>
      <x:c r="P500" s="1" t="str">
        <x:v>Rentals Available</x:v>
      </x:c>
      <x:c r="Q500" s="1" t="n">
        <x:v>46274.99998842592</x:v>
      </x:c>
      <x:c r="R500" s="1" t="str"/>
      <x:c r="S500" s="1" t="str"/>
      <x:c r="T500" s="1" t="str"/>
      <x:c r="U500" s="1" t="str"/>
      <x:c r="V500" s="1" t="str"/>
      <x:c r="W500" s="1" t="str"/>
      <x:c r="X500" s="1" t="str">
        <x:v>false</x:v>
      </x:c>
      <x:c r="Y500" s="1" t="str">
        <x:v>false</x:v>
      </x:c>
      <x:c r="Z500" s="1" t="str">
        <x:v>[]</x:v>
      </x:c>
    </x:row>
    <x:row r="501" ht="15" hidden="0" customHeight="1">
      <x:c r="A501" s="1" t="str">
        <x:v>ocpvgtpebg</x:v>
      </x:c>
      <x:c r="B501" s="5" t="str">
        <x:v>Lake Park Condos- Room Rental with Utilities</x:v>
      </x:c>
      <x:c r="C501" s="1" t="str">
        <x:v>1</x:v>
      </x:c>
      <x:c r="D501" s="1" t="str">
        <x:v>q2j0gkx</x:v>
      </x:c>
      <x:c r="E501" s="1" t="str"/>
      <x:c r="F501" s="1" t="n">
        <x:v>1</x:v>
      </x:c>
      <x:c r="G501" s="1" t="n">
        <x:v>1</x:v>
      </x:c>
      <x:c r="H501" s="1" t="n">
        <x:v>500</x:v>
      </x:c>
      <x:c r="I501" s="1" t="n">
        <x:v>600</x:v>
      </x:c>
      <x:c r="J501" s="1" t="str">
        <x:v>$500 - $600</x:v>
      </x:c>
      <x:c r="K501" s="1" t="str">
        <x:v>$500 - $600</x:v>
      </x:c>
      <x:c r="L501" s="1" t="str">
        <x:v>true</x:v>
      </x:c>
      <x:c r="M501" s="1" t="str"/>
      <x:c r="N501" s="1" t="n">
        <x:v>1</x:v>
      </x:c>
      <x:c r="O501" s="1" t="str">
        <x:v>AvailableNow</x:v>
      </x:c>
      <x:c r="P501" s="1" t="str">
        <x:v>Rentals Available</x:v>
      </x:c>
      <x:c r="Q501" s="1" t="n">
        <x:v>25569.999988425927</x:v>
      </x:c>
      <x:c r="R501" s="1" t="str"/>
      <x:c r="S501" s="1" t="str"/>
      <x:c r="T501" s="1" t="str">
        <x:v>N/A</x:v>
      </x:c>
      <x:c r="U501" s="1" t="str">
        <x:v>N/A</x:v>
      </x:c>
      <x:c r="V501" s="1" t="str">
        <x:v>1</x:v>
      </x:c>
      <x:c r="W501" s="1" t="str"/>
      <x:c r="X501" s="1" t="str">
        <x:v>false</x:v>
      </x:c>
      <x:c r="Y501" s="1" t="str">
        <x:v>false</x:v>
      </x:c>
      <x:c r="Z501" s="1" t="str">
        <x:v>[]</x:v>
      </x:c>
    </x:row>
    <x:row r="502" ht="15" hidden="0" customHeight="1">
      <x:c r="A502" s="1" t="str">
        <x:v>5hme2mn</x:v>
      </x:c>
      <x:c r="B502" s="5" t="str">
        <x:v>The Station Raleigh</x:v>
      </x:c>
      <x:c r="C502" s="1" t="str">
        <x:v>2396735</x:v>
      </x:c>
      <x:c r="D502" s="1" t="str">
        <x:v>dhq5gsh</x:v>
      </x:c>
      <x:c r="E502" s="1" t="str">
        <x:v>1x1 - Oak</x:v>
      </x:c>
      <x:c r="F502" s="1" t="n">
        <x:v>1</x:v>
      </x:c>
      <x:c r="G502" s="1" t="n">
        <x:v>1</x:v>
      </x:c>
      <x:c r="H502" s="1" t="n">
        <x:v>1930</x:v>
      </x:c>
      <x:c r="I502" s="1" t="n">
        <x:v>1930</x:v>
      </x:c>
      <x:c r="J502" s="1" t="str">
        <x:v>$1,930</x:v>
      </x:c>
      <x:c r="K502" s="1" t="str">
        <x:v>$1,956</x:v>
      </x:c>
      <x:c r="L502" s="1" t="str">
        <x:v>true</x:v>
      </x:c>
      <x:c r="M502" s="1" t="str">
        <x:v>564 sq. ft.</x:v>
      </x:c>
      <x:c r="N502" s="1" t="n">
        <x:v>1</x:v>
      </x:c>
      <x:c r="O502" s="1" t="str">
        <x:v>AvailableNow</x:v>
      </x:c>
      <x:c r="P502" s="1" t="str">
        <x:v>Rentals Available</x:v>
      </x:c>
      <x:c r="Q502" s="1" t="n">
        <x:v>46242.99998842592</x:v>
      </x:c>
      <x:c r="R502" s="1" t="str"/>
      <x:c r="S502" s="1" t="str"/>
      <x:c r="T502" s="1" t="str"/>
      <x:c r="U502" s="1" t="str"/>
      <x:c r="V502" s="1" t="str"/>
      <x:c r="W502" s="1" t="str"/>
      <x:c r="X502" s="1" t="str">
        <x:v>false</x:v>
      </x:c>
      <x:c r="Y502" s="1" t="str">
        <x:v>false</x:v>
      </x:c>
      <x:c r="Z502" s="1" t="str">
        <x:v>[]</x:v>
      </x:c>
    </x:row>
    <x:row r="503" ht="15" hidden="0" customHeight="1">
      <x:c r="A503" s="1" t="str">
        <x:v>5hme2mn</x:v>
      </x:c>
      <x:c r="B503" s="5" t="str">
        <x:v>The Station Raleigh</x:v>
      </x:c>
      <x:c r="C503" s="1" t="str">
        <x:v>2396739</x:v>
      </x:c>
      <x:c r="D503" s="1" t="str">
        <x:v>r0njgp0</x:v>
      </x:c>
      <x:c r="E503" s="1" t="str">
        <x:v>4x4 - Carter Flat</x:v>
      </x:c>
      <x:c r="F503" s="1" t="n">
        <x:v>4</x:v>
      </x:c>
      <x:c r="G503" s="1" t="n">
        <x:v>4</x:v>
      </x:c>
      <x:c r="H503" s="1" t="n">
        <x:v>749</x:v>
      </x:c>
      <x:c r="I503" s="1" t="n">
        <x:v>749</x:v>
      </x:c>
      <x:c r="J503" s="1" t="str">
        <x:v>$749</x:v>
      </x:c>
      <x:c r="K503" s="1" t="str">
        <x:v>$775</x:v>
      </x:c>
      <x:c r="L503" s="1" t="str">
        <x:v>true</x:v>
      </x:c>
      <x:c r="M503" s="1" t="str">
        <x:v>1,695 sq. ft.</x:v>
      </x:c>
      <x:c r="N503" s="1" t="n">
        <x:v>1</x:v>
      </x:c>
      <x:c r="O503" s="1" t="str">
        <x:v>AvailableNow</x:v>
      </x:c>
      <x:c r="P503" s="1" t="str">
        <x:v>Rentals Available</x:v>
      </x:c>
      <x:c r="Q503" s="1" t="n">
        <x:v>46242.99998842592</x:v>
      </x:c>
      <x:c r="R503" s="1" t="str"/>
      <x:c r="S503" s="1" t="str"/>
      <x:c r="T503" s="1" t="str"/>
      <x:c r="U503" s="1" t="str"/>
      <x:c r="V503" s="1" t="str"/>
      <x:c r="W503" s="1" t="str"/>
      <x:c r="X503" s="1" t="str">
        <x:v>false</x:v>
      </x:c>
      <x:c r="Y503" s="1" t="str">
        <x:v>false</x:v>
      </x:c>
      <x:c r="Z503" s="1" t="str">
        <x:v>[]</x:v>
      </x:c>
    </x:row>
    <x:row r="504" ht="15" hidden="0" customHeight="1">
      <x:c r="A504" s="1" t="str">
        <x:v>5hme2mn</x:v>
      </x:c>
      <x:c r="B504" s="5" t="str">
        <x:v>The Station Raleigh</x:v>
      </x:c>
      <x:c r="C504" s="1" t="str">
        <x:v>2396738</x:v>
      </x:c>
      <x:c r="D504" s="1" t="str">
        <x:v>pvrzwts</x:v>
      </x:c>
      <x:c r="E504" s="1" t="str">
        <x:v>4x4 - Carter Townhome</x:v>
      </x:c>
      <x:c r="F504" s="1" t="n">
        <x:v>4</x:v>
      </x:c>
      <x:c r="G504" s="1" t="n">
        <x:v>4</x:v>
      </x:c>
      <x:c r="H504" s="1" t="n">
        <x:v>799</x:v>
      </x:c>
      <x:c r="I504" s="1" t="n">
        <x:v>799</x:v>
      </x:c>
      <x:c r="J504" s="1" t="str">
        <x:v>$799</x:v>
      </x:c>
      <x:c r="K504" s="1" t="str">
        <x:v>$825</x:v>
      </x:c>
      <x:c r="L504" s="1" t="str">
        <x:v>true</x:v>
      </x:c>
      <x:c r="M504" s="1" t="str">
        <x:v>1,694 sq. ft.</x:v>
      </x:c>
      <x:c r="N504" s="1" t="n">
        <x:v>1</x:v>
      </x:c>
      <x:c r="O504" s="1" t="str">
        <x:v>AvailableNow</x:v>
      </x:c>
      <x:c r="P504" s="1" t="str">
        <x:v>Rentals Available</x:v>
      </x:c>
      <x:c r="Q504" s="1" t="n">
        <x:v>46242.99998842592</x:v>
      </x:c>
      <x:c r="R504" s="1" t="str"/>
      <x:c r="S504" s="1" t="str"/>
      <x:c r="T504" s="1" t="str"/>
      <x:c r="U504" s="1" t="str"/>
      <x:c r="V504" s="1" t="str"/>
      <x:c r="W504" s="1" t="str"/>
      <x:c r="X504" s="1" t="str">
        <x:v>false</x:v>
      </x:c>
      <x:c r="Y504" s="1" t="str">
        <x:v>false</x:v>
      </x:c>
      <x:c r="Z504" s="1" t="str">
        <x:v>[]</x:v>
      </x:c>
    </x:row>
    <x:row r="505" ht="15" hidden="0" customHeight="1">
      <x:c r="A505" s="1" t="str">
        <x:v>5hme2mn</x:v>
      </x:c>
      <x:c r="B505" s="5" t="str">
        <x:v>The Station Raleigh</x:v>
      </x:c>
      <x:c r="C505" s="1" t="str">
        <x:v>2396737</x:v>
      </x:c>
      <x:c r="D505" s="1" t="str">
        <x:v>pz8zrtt</x:v>
      </x:c>
      <x:c r="E505" s="1" t="str">
        <x:v>4x4 - Murphy A</x:v>
      </x:c>
      <x:c r="F505" s="1" t="n">
        <x:v>4</x:v>
      </x:c>
      <x:c r="G505" s="1" t="n">
        <x:v>4</x:v>
      </x:c>
      <x:c r="H505" s="1" t="n">
        <x:v>1129</x:v>
      </x:c>
      <x:c r="I505" s="1" t="n">
        <x:v>1129</x:v>
      </x:c>
      <x:c r="J505" s="1" t="str">
        <x:v>$1,129</x:v>
      </x:c>
      <x:c r="K505" s="1" t="str">
        <x:v>$1,155</x:v>
      </x:c>
      <x:c r="L505" s="1" t="str">
        <x:v>true</x:v>
      </x:c>
      <x:c r="M505" s="1" t="str">
        <x:v>1,640 sq. ft.</x:v>
      </x:c>
      <x:c r="N505" s="1" t="n">
        <x:v>1</x:v>
      </x:c>
      <x:c r="O505" s="1" t="str">
        <x:v>AvailableNow</x:v>
      </x:c>
      <x:c r="P505" s="1" t="str">
        <x:v>Rentals Available</x:v>
      </x:c>
      <x:c r="Q505" s="1" t="n">
        <x:v>46242.99998842592</x:v>
      </x:c>
      <x:c r="R505" s="1" t="str"/>
      <x:c r="S505" s="1" t="str"/>
      <x:c r="T505" s="1" t="str"/>
      <x:c r="U505" s="1" t="str"/>
      <x:c r="V505" s="1" t="str"/>
      <x:c r="W505" s="1" t="str"/>
      <x:c r="X505" s="1" t="str">
        <x:v>false</x:v>
      </x:c>
      <x:c r="Y505" s="1" t="str">
        <x:v>true</x:v>
      </x:c>
      <x:c r="Z505" s="1" t="str">
        <x:v>[]</x:v>
      </x:c>
    </x:row>
    <x:row r="506" ht="15" hidden="0" customHeight="1">
      <x:c r="A506" s="1" t="str">
        <x:v>5hme2mn</x:v>
      </x:c>
      <x:c r="B506" s="5" t="str">
        <x:v>The Station Raleigh</x:v>
      </x:c>
      <x:c r="C506" s="1" t="str">
        <x:v>2396740</x:v>
      </x:c>
      <x:c r="D506" s="1" t="str">
        <x:v>7pemj8w</x:v>
      </x:c>
      <x:c r="E506" s="1" t="str">
        <x:v>4x4.5 - Finley</x:v>
      </x:c>
      <x:c r="F506" s="1" t="n">
        <x:v>4</x:v>
      </x:c>
      <x:c r="G506" s="1" t="n">
        <x:v>4.5</x:v>
      </x:c>
      <x:c r="H506" s="1" t="n">
        <x:v>1079</x:v>
      </x:c>
      <x:c r="I506" s="1" t="n">
        <x:v>1079</x:v>
      </x:c>
      <x:c r="J506" s="1" t="str">
        <x:v>$1,079</x:v>
      </x:c>
      <x:c r="K506" s="1" t="str">
        <x:v>$1,105</x:v>
      </x:c>
      <x:c r="L506" s="1" t="str">
        <x:v>true</x:v>
      </x:c>
      <x:c r="M506" s="1" t="str">
        <x:v>1,875 sq. ft.</x:v>
      </x:c>
      <x:c r="N506" s="1" t="n">
        <x:v>1</x:v>
      </x:c>
      <x:c r="O506" s="1" t="str">
        <x:v>AvailableNow</x:v>
      </x:c>
      <x:c r="P506" s="1" t="str">
        <x:v>Rentals Available</x:v>
      </x:c>
      <x:c r="Q506" s="1" t="n">
        <x:v>46242.99998842592</x:v>
      </x:c>
      <x:c r="R506" s="1" t="str"/>
      <x:c r="S506" s="1" t="str"/>
      <x:c r="T506" s="1" t="str"/>
      <x:c r="U506" s="1" t="str"/>
      <x:c r="V506" s="1" t="str"/>
      <x:c r="W506" s="1" t="str"/>
      <x:c r="X506" s="1" t="str">
        <x:v>false</x:v>
      </x:c>
      <x:c r="Y506" s="1" t="str">
        <x:v>false</x:v>
      </x:c>
      <x:c r="Z506" s="1" t="str">
        <x:v>[]</x:v>
      </x:c>
    </x:row>
    <x:row r="507" ht="15" hidden="0" customHeight="1">
      <x:c r="A507" s="1" t="str">
        <x:v>5hme2mn</x:v>
      </x:c>
      <x:c r="B507" s="5" t="str">
        <x:v>The Station Raleigh</x:v>
      </x:c>
      <x:c r="C507" s="1" t="str">
        <x:v>2351600</x:v>
      </x:c>
      <x:c r="D507" s="1" t="str">
        <x:v>swhc9g4</x:v>
      </x:c>
      <x:c r="E507" s="1" t="str">
        <x:v>4x4.5 - Murphy B</x:v>
      </x:c>
      <x:c r="F507" s="1" t="n">
        <x:v>4</x:v>
      </x:c>
      <x:c r="G507" s="1" t="n">
        <x:v>4.5</x:v>
      </x:c>
      <x:c r="H507" s="1" t="n">
        <x:v>1230</x:v>
      </x:c>
      <x:c r="I507" s="1" t="n">
        <x:v>1230</x:v>
      </x:c>
      <x:c r="J507" s="1" t="str">
        <x:v>$1,230</x:v>
      </x:c>
      <x:c r="K507" s="1" t="str">
        <x:v>$1,256</x:v>
      </x:c>
      <x:c r="L507" s="1" t="str">
        <x:v>true</x:v>
      </x:c>
      <x:c r="M507" s="1" t="str">
        <x:v>2,034 sq. ft.</x:v>
      </x:c>
      <x:c r="N507" s="1" t="n">
        <x:v>1</x:v>
      </x:c>
      <x:c r="O507" s="1" t="str">
        <x:v>AvailableNow</x:v>
      </x:c>
      <x:c r="P507" s="1" t="str">
        <x:v>Rentals Available</x:v>
      </x:c>
      <x:c r="Q507" s="1" t="n">
        <x:v>46242.99998842592</x:v>
      </x:c>
      <x:c r="R507" s="1" t="str"/>
      <x:c r="S507" s="1" t="str"/>
      <x:c r="T507" s="1" t="str"/>
      <x:c r="U507" s="1" t="str"/>
      <x:c r="V507" s="1" t="str"/>
      <x:c r="W507" s="1" t="str"/>
      <x:c r="X507" s="1" t="str">
        <x:v>false</x:v>
      </x:c>
      <x:c r="Y507" s="1" t="str">
        <x:v>false</x:v>
      </x:c>
      <x:c r="Z507" s="1" t="str">
        <x:v>[]</x:v>
      </x:c>
    </x:row>
    <x:row r="508" ht="15" hidden="0" customHeight="1">
      <x:c r="A508" s="1" t="str">
        <x:v>5hme2mn</x:v>
      </x:c>
      <x:c r="B508" s="5" t="str">
        <x:v>The Station Raleigh</x:v>
      </x:c>
      <x:c r="C508" s="1" t="str">
        <x:v>2351602</x:v>
      </x:c>
      <x:c r="D508" s="1" t="str">
        <x:v>d2947ph</x:v>
      </x:c>
      <x:c r="E508" s="1" t="str">
        <x:v>4x4 - Hillsborough B</x:v>
      </x:c>
      <x:c r="F508" s="1" t="n">
        <x:v>4</x:v>
      </x:c>
      <x:c r="G508" s="1" t="n">
        <x:v>4.5</x:v>
      </x:c>
      <x:c r="H508" s="1" t="n">
        <x:v>1230</x:v>
      </x:c>
      <x:c r="I508" s="1" t="n">
        <x:v>1230</x:v>
      </x:c>
      <x:c r="J508" s="1" t="str">
        <x:v>$1,230</x:v>
      </x:c>
      <x:c r="K508" s="1" t="str">
        <x:v>$1,256</x:v>
      </x:c>
      <x:c r="L508" s="1" t="str">
        <x:v>true</x:v>
      </x:c>
      <x:c r="M508" s="1" t="str">
        <x:v>2,034 sq. ft.</x:v>
      </x:c>
      <x:c r="N508" s="1" t="n">
        <x:v>1</x:v>
      </x:c>
      <x:c r="O508" s="1" t="str">
        <x:v>AvailableNow</x:v>
      </x:c>
      <x:c r="P508" s="1" t="str">
        <x:v>Rentals Available</x:v>
      </x:c>
      <x:c r="Q508" s="1" t="n">
        <x:v>46242.99998842592</x:v>
      </x:c>
      <x:c r="R508" s="1" t="str"/>
      <x:c r="S508" s="1" t="str"/>
      <x:c r="T508" s="1" t="str"/>
      <x:c r="U508" s="1" t="str"/>
      <x:c r="V508" s="1" t="str"/>
      <x:c r="W508" s="1" t="str"/>
      <x:c r="X508" s="1" t="str">
        <x:v>false</x:v>
      </x:c>
      <x:c r="Y508" s="1" t="str">
        <x:v>false</x:v>
      </x:c>
      <x:c r="Z508" s="1" t="str">
        <x:v>[]</x:v>
      </x:c>
    </x:row>
    <x:row r="509" ht="24" hidden="0" customHeight="1">
      <x:c r="A509" s="1" t="str">
        <x:v>ocp1kxjde4</x:v>
      </x:c>
      <x:c r="B509" s="5" t="str">
        <x:v>Rent a WHOLE unit with water, electric, washer and dryer! 4 Bed 4 Bath! Lake Park Condos!</x:v>
      </x:c>
      <x:c r="C509" s="1" t="str">
        <x:v>1</x:v>
      </x:c>
      <x:c r="D509" s="1" t="str">
        <x:v>q2j0gkx</x:v>
      </x:c>
      <x:c r="E509" s="1" t="str"/>
      <x:c r="F509" s="1" t="n">
        <x:v>4</x:v>
      </x:c>
      <x:c r="G509" s="1" t="n">
        <x:v>4</x:v>
      </x:c>
      <x:c r="H509" s="1" t="n">
        <x:v>2000</x:v>
      </x:c>
      <x:c r="I509" s="1" t="n">
        <x:v>2000</x:v>
      </x:c>
      <x:c r="J509" s="1" t="str">
        <x:v>$2,000</x:v>
      </x:c>
      <x:c r="K509" s="1" t="str">
        <x:v>$2,000</x:v>
      </x:c>
      <x:c r="L509" s="1" t="str">
        <x:v>false</x:v>
      </x:c>
      <x:c r="M509" s="1" t="str">
        <x:v>1,224 sq. ft.</x:v>
      </x:c>
      <x:c r="N509" s="1" t="n">
        <x:v>1</x:v>
      </x:c>
      <x:c r="O509" s="1" t="str">
        <x:v>AvailableNow</x:v>
      </x:c>
      <x:c r="P509" s="1" t="str">
        <x:v>Rentals Available</x:v>
      </x:c>
      <x:c r="Q509" s="1" t="n">
        <x:v>25569.999988425927</x:v>
      </x:c>
      <x:c r="R509" s="1" t="str"/>
      <x:c r="S509" s="1" t="str"/>
      <x:c r="T509" s="1" t="str">
        <x:v>N/A</x:v>
      </x:c>
      <x:c r="U509" s="1" t="str">
        <x:v>N/A</x:v>
      </x:c>
      <x:c r="V509" s="1" t="str">
        <x:v>4</x:v>
      </x:c>
      <x:c r="W509" s="1" t="str"/>
      <x:c r="X509" s="1" t="str">
        <x:v>false</x:v>
      </x:c>
      <x:c r="Y509" s="1" t="str">
        <x:v>false</x:v>
      </x:c>
      <x:c r="Z509" s="1" t="str">
        <x:v>[]</x:v>
      </x:c>
    </x:row>
    <x:row r="510" ht="15" hidden="0" customHeight="1">
      <x:c r="A510" s="1" t="str">
        <x:v>lpl9fce</x:v>
      </x:c>
      <x:c r="B510" s="5" t="str">
        <x:v>2850 Sanderford Rd (Raleigh, NC)</x:v>
      </x:c>
      <x:c r="C510" s="1" t="str">
        <x:v>1</x:v>
      </x:c>
      <x:c r="D510" s="1" t="str">
        <x:v>q2j0gkx</x:v>
      </x:c>
      <x:c r="E510" s="1" t="str"/>
      <x:c r="F510" s="1" t="n">
        <x:v>1</x:v>
      </x:c>
      <x:c r="G510" s="1" t="n">
        <x:v>1</x:v>
      </x:c>
      <x:c r="H510" s="1" t="n">
        <x:v>650</x:v>
      </x:c>
      <x:c r="I510" s="1" t="n">
        <x:v>650</x:v>
      </x:c>
      <x:c r="J510" s="1" t="str">
        <x:v>$650</x:v>
      </x:c>
      <x:c r="K510" s="1" t="str">
        <x:v>$650</x:v>
      </x:c>
      <x:c r="L510" s="1" t="str">
        <x:v>false</x:v>
      </x:c>
      <x:c r="M510" s="1" t="str"/>
      <x:c r="N510" s="1" t="n">
        <x:v>1</x:v>
      </x:c>
      <x:c r="O510" s="1" t="str">
        <x:v>AvailableNow</x:v>
      </x:c>
      <x:c r="P510" s="1" t="str">
        <x:v>Rentals Available</x:v>
      </x:c>
      <x:c r="Q510" s="1" t="n">
        <x:v>46259.99998842592</x:v>
      </x:c>
      <x:c r="R510" s="1" t="str">
        <x:v>650</x:v>
      </x:c>
      <x:c r="S510" s="1" t="str"/>
      <x:c r="T510" s="1" t="str"/>
      <x:c r="U510" s="1" t="str"/>
      <x:c r="V510" s="1" t="str"/>
      <x:c r="W510" s="1" t="str"/>
      <x:c r="X510" s="1" t="str">
        <x:v>false</x:v>
      </x:c>
      <x:c r="Y510" s="1" t="str">
        <x:v>false</x:v>
      </x:c>
      <x:c r="Z510" s="1" t="str">
        <x:v>[]</x:v>
      </x:c>
    </x:row>
    <x:row r="511" ht="15" hidden="0" customHeight="1">
      <x:c r="A511" s="1" t="str">
        <x:v>ocp706k96x</x:v>
      </x:c>
      <x:c r="B511" s="5" t="str">
        <x:v>Six Forks townhome</x:v>
      </x:c>
      <x:c r="C511" s="1" t="str">
        <x:v>1</x:v>
      </x:c>
      <x:c r="D511" s="1" t="str">
        <x:v>q2j0gkx</x:v>
      </x:c>
      <x:c r="E511" s="1" t="str"/>
      <x:c r="F511" s="1" t="n">
        <x:v>1</x:v>
      </x:c>
      <x:c r="G511" s="1" t="n">
        <x:v>2.5</x:v>
      </x:c>
      <x:c r="H511" s="1" t="n">
        <x:v>900</x:v>
      </x:c>
      <x:c r="I511" s="1" t="n">
        <x:v>900</x:v>
      </x:c>
      <x:c r="J511" s="1" t="str">
        <x:v>$900</x:v>
      </x:c>
      <x:c r="K511" s="1" t="str">
        <x:v>$900</x:v>
      </x:c>
      <x:c r="L511" s="1" t="str">
        <x:v>true</x:v>
      </x:c>
      <x:c r="M511" s="1" t="str">
        <x:v>1,232 sq. ft.</x:v>
      </x:c>
      <x:c r="N511" s="1" t="n">
        <x:v>1</x:v>
      </x:c>
      <x:c r="O511" s="1" t="str">
        <x:v>AvailableNow</x:v>
      </x:c>
      <x:c r="P511" s="1" t="str">
        <x:v>Rentals Available</x:v>
      </x:c>
      <x:c r="Q511" s="1" t="n">
        <x:v>46259.99998842592</x:v>
      </x:c>
      <x:c r="R511" s="1" t="str"/>
      <x:c r="S511" s="1" t="str"/>
      <x:c r="T511" s="1" t="str">
        <x:v>N/A</x:v>
      </x:c>
      <x:c r="U511" s="1" t="str">
        <x:v>N/A</x:v>
      </x:c>
      <x:c r="V511" s="1" t="str">
        <x:v>2</x:v>
      </x:c>
      <x:c r="W511" s="1" t="str"/>
      <x:c r="X511" s="1" t="str">
        <x:v>false</x:v>
      </x:c>
      <x:c r="Y511" s="1" t="str">
        <x:v>false</x:v>
      </x:c>
      <x:c r="Z511" s="1" t="str">
        <x:v>[]</x:v>
      </x:c>
    </x:row>
    <x:row r="512" ht="15" hidden="0" customHeight="1">
      <x:c r="A512" s="1" t="str">
        <x:v>k8k3t7b</x:v>
      </x:c>
      <x:c r="B512" s="5" t="str">
        <x:v>Room in House on Old Farm Rd</x:v>
      </x:c>
      <x:c r="C512" s="1" t="str">
        <x:v>1</x:v>
      </x:c>
      <x:c r="D512" s="1" t="str">
        <x:v>q2j0gkx</x:v>
      </x:c>
      <x:c r="E512" s="1" t="str"/>
      <x:c r="F512" s="1" t="n">
        <x:v>1</x:v>
      </x:c>
      <x:c r="G512" s="1" t="n">
        <x:v>1</x:v>
      </x:c>
      <x:c r="H512" s="1" t="n">
        <x:v>630</x:v>
      </x:c>
      <x:c r="I512" s="1" t="n">
        <x:v>630</x:v>
      </x:c>
      <x:c r="J512" s="1" t="str">
        <x:v>$630</x:v>
      </x:c>
      <x:c r="K512" s="1" t="str">
        <x:v>$630</x:v>
      </x:c>
      <x:c r="L512" s="1" t="str">
        <x:v>false</x:v>
      </x:c>
      <x:c r="M512" s="1" t="str">
        <x:v>1,671 sq. ft.</x:v>
      </x:c>
      <x:c r="N512" s="1" t="n">
        <x:v>1</x:v>
      </x:c>
      <x:c r="O512" s="1" t="str">
        <x:v>AvailableNow</x:v>
      </x:c>
      <x:c r="P512" s="1" t="str">
        <x:v>Rentals Available</x:v>
      </x:c>
      <x:c r="Q512" s="1" t="n">
        <x:v>46274.99998842592</x:v>
      </x:c>
      <x:c r="R512" s="1" t="str"/>
      <x:c r="S512" s="1" t="str"/>
      <x:c r="T512" s="1" t="str"/>
      <x:c r="U512" s="1" t="str"/>
      <x:c r="V512" s="1" t="str"/>
      <x:c r="W512" s="1" t="str"/>
      <x:c r="X512" s="1" t="str">
        <x:v>false</x:v>
      </x:c>
      <x:c r="Y512" s="1" t="str">
        <x:v>false</x:v>
      </x:c>
      <x:c r="Z512" s="1" t="str">
        <x:v>[]</x:v>
      </x:c>
    </x:row>
    <x:row r="513" ht="15" hidden="0" customHeight="1">
      <x:c r="A513" s="1" t="str">
        <x:v>ocpssgbbl7</x:v>
      </x:c>
      <x:c r="B513" s="5" t="str">
        <x:v>Inona Place</x:v>
      </x:c>
      <x:c r="C513" s="1" t="str">
        <x:v>1</x:v>
      </x:c>
      <x:c r="D513" s="1" t="str">
        <x:v>q2j0gkx</x:v>
      </x:c>
      <x:c r="E513" s="1" t="str"/>
      <x:c r="F513" s="1" t="n">
        <x:v>3</x:v>
      </x:c>
      <x:c r="G513" s="1" t="n">
        <x:v>2.5</x:v>
      </x:c>
      <x:c r="H513" s="1" t="n">
        <x:v>1800</x:v>
      </x:c>
      <x:c r="I513" s="1" t="n">
        <x:v>1800</x:v>
      </x:c>
      <x:c r="J513" s="1" t="str">
        <x:v>$1,800</x:v>
      </x:c>
      <x:c r="K513" s="1" t="str">
        <x:v>$1,800</x:v>
      </x:c>
      <x:c r="L513" s="1" t="str">
        <x:v>false</x:v>
      </x:c>
      <x:c r="M513" s="1" t="str">
        <x:v>1,300 sq. ft.</x:v>
      </x:c>
      <x:c r="N513" s="1" t="n">
        <x:v>1</x:v>
      </x:c>
      <x:c r="O513" s="1" t="str">
        <x:v>AvailableNow</x:v>
      </x:c>
      <x:c r="P513" s="1" t="str">
        <x:v>Rentals Available</x:v>
      </x:c>
      <x:c r="Q513" s="1" t="n">
        <x:v>25569.999988425927</x:v>
      </x:c>
      <x:c r="R513" s="1" t="str"/>
      <x:c r="S513" s="1" t="str"/>
      <x:c r="T513" s="1" t="str">
        <x:v>N/A</x:v>
      </x:c>
      <x:c r="U513" s="1" t="str">
        <x:v>N/A</x:v>
      </x:c>
      <x:c r="V513" s="1" t="str">
        <x:v>4</x:v>
      </x:c>
      <x:c r="W513" s="1" t="str"/>
      <x:c r="X513" s="1" t="str">
        <x:v>false</x:v>
      </x:c>
      <x:c r="Y513" s="1" t="str">
        <x:v>false</x:v>
      </x:c>
      <x:c r="Z513" s="1" t="str">
        <x:v>[]</x:v>
      </x:c>
    </x:row>
    <x:row r="514" ht="15" hidden="0" customHeight="1">
      <x:c r="A514" s="1" t="str">
        <x:v>3zb9brd</x:v>
      </x:c>
      <x:c r="B514" s="5" t="str">
        <x:v>Room in House on Slippery Elm Dr</x:v>
      </x:c>
      <x:c r="C514" s="1" t="str">
        <x:v>1</x:v>
      </x:c>
      <x:c r="D514" s="1" t="str">
        <x:v>q2j0gkx</x:v>
      </x:c>
      <x:c r="E514" s="1" t="str"/>
      <x:c r="F514" s="1" t="n">
        <x:v>1</x:v>
      </x:c>
      <x:c r="G514" s="1" t="n">
        <x:v>1</x:v>
      </x:c>
      <x:c r="H514" s="1" t="n">
        <x:v>720</x:v>
      </x:c>
      <x:c r="I514" s="1" t="n">
        <x:v>720</x:v>
      </x:c>
      <x:c r="J514" s="1" t="str">
        <x:v>$720</x:v>
      </x:c>
      <x:c r="K514" s="1" t="str">
        <x:v>$720</x:v>
      </x:c>
      <x:c r="L514" s="1" t="str">
        <x:v>false</x:v>
      </x:c>
      <x:c r="M514" s="1" t="str">
        <x:v>2,125 sq. ft.</x:v>
      </x:c>
      <x:c r="N514" s="1" t="n">
        <x:v>1</x:v>
      </x:c>
      <x:c r="O514" s="1" t="str">
        <x:v>AvailableNow</x:v>
      </x:c>
      <x:c r="P514" s="1" t="str">
        <x:v>Rentals Available</x:v>
      </x:c>
      <x:c r="Q514" s="1" t="n">
        <x:v>46274.99998842592</x:v>
      </x:c>
      <x:c r="R514" s="1" t="str"/>
      <x:c r="S514" s="1" t="str"/>
      <x:c r="T514" s="1" t="str"/>
      <x:c r="U514" s="1" t="str"/>
      <x:c r="V514" s="1" t="str"/>
      <x:c r="W514" s="1" t="str"/>
      <x:c r="X514" s="1" t="str">
        <x:v>false</x:v>
      </x:c>
      <x:c r="Y514" s="1" t="str">
        <x:v>false</x:v>
      </x:c>
      <x:c r="Z514" s="1" t="str">
        <x:v>[]</x:v>
      </x:c>
    </x:row>
    <x:row r="515" ht="24" hidden="0" customHeight="1">
      <x:c r="A515" s="1" t="str">
        <x:v>ocpd9wnxdk</x:v>
      </x:c>
      <x:c r="B515" s="5" t="str">
        <x:v>$3600 saving on 2*2 Sublet at Stanhope Apartment for NC STATE</x:v>
      </x:c>
      <x:c r="C515" s="1" t="str">
        <x:v>1</x:v>
      </x:c>
      <x:c r="D515" s="1" t="str">
        <x:v>q2j0gkx</x:v>
      </x:c>
      <x:c r="E515" s="1" t="str"/>
      <x:c r="F515" s="1" t="n">
        <x:v>1</x:v>
      </x:c>
      <x:c r="G515" s="1" t="n">
        <x:v>1</x:v>
      </x:c>
      <x:c r="H515" s="1" t="n">
        <x:v>550</x:v>
      </x:c>
      <x:c r="I515" s="1" t="n">
        <x:v>550</x:v>
      </x:c>
      <x:c r="J515" s="1" t="str">
        <x:v>$550</x:v>
      </x:c>
      <x:c r="K515" s="1" t="str">
        <x:v>$550</x:v>
      </x:c>
      <x:c r="L515" s="1" t="str">
        <x:v>true</x:v>
      </x:c>
      <x:c r="M515" s="1" t="str">
        <x:v>1,394 sq. ft.</x:v>
      </x:c>
      <x:c r="N515" s="1" t="n">
        <x:v>1</x:v>
      </x:c>
      <x:c r="O515" s="1" t="str">
        <x:v>AvailableNow</x:v>
      </x:c>
      <x:c r="P515" s="1" t="str">
        <x:v>Rentals Available</x:v>
      </x:c>
      <x:c r="Q515" s="1" t="n">
        <x:v>25569.999988425927</x:v>
      </x:c>
      <x:c r="R515" s="1" t="str"/>
      <x:c r="S515" s="1" t="str"/>
      <x:c r="T515" s="1" t="str">
        <x:v>N/A</x:v>
      </x:c>
      <x:c r="U515" s="1" t="str">
        <x:v>N/A</x:v>
      </x:c>
      <x:c r="V515" s="1" t="str">
        <x:v>1</x:v>
      </x:c>
      <x:c r="W515" s="1" t="str"/>
      <x:c r="X515" s="1" t="str">
        <x:v>false</x:v>
      </x:c>
      <x:c r="Y515" s="1" t="str">
        <x:v>false</x:v>
      </x:c>
      <x:c r="Z515" s="1" t="str">
        <x:v>[]</x:v>
      </x:c>
    </x:row>
    <x:row r="516" ht="15" hidden="0" customHeight="1">
      <x:c r="A516" s="1" t="str">
        <x:v>0nhgh82</x:v>
      </x:c>
      <x:c r="B516" s="5" t="str">
        <x:v>Room in Condo on Carlton Ave</x:v>
      </x:c>
      <x:c r="C516" s="1" t="str">
        <x:v>40611579</x:v>
      </x:c>
      <x:c r="D516" s="1" t="str">
        <x:v>v57vqcg</x:v>
      </x:c>
      <x:c r="E516" s="1" t="str"/>
      <x:c r="F516" s="1" t="n">
        <x:v>1</x:v>
      </x:c>
      <x:c r="G516" s="1" t="n">
        <x:v>1</x:v>
      </x:c>
      <x:c r="H516" s="1" t="n">
        <x:v>600</x:v>
      </x:c>
      <x:c r="I516" s="1" t="n">
        <x:v>600</x:v>
      </x:c>
      <x:c r="J516" s="1" t="str">
        <x:v>$600</x:v>
      </x:c>
      <x:c r="K516" s="1" t="str">
        <x:v>$600</x:v>
      </x:c>
      <x:c r="L516" s="1" t="str">
        <x:v>false</x:v>
      </x:c>
      <x:c r="M516" s="1" t="str">
        <x:v>1,250 sq. ft.</x:v>
      </x:c>
      <x:c r="N516" s="1" t="n">
        <x:v>1</x:v>
      </x:c>
      <x:c r="O516" s="1" t="str">
        <x:v>AvailableNow</x:v>
      </x:c>
      <x:c r="P516" s="1" t="str">
        <x:v>Rentals Available</x:v>
      </x:c>
      <x:c r="Q516" s="1" t="n">
        <x:v>46274.99998842592</x:v>
      </x:c>
      <x:c r="R516" s="1" t="str"/>
      <x:c r="S516" s="1" t="str"/>
      <x:c r="T516" s="1" t="str"/>
      <x:c r="U516" s="1" t="str"/>
      <x:c r="V516" s="1" t="str"/>
      <x:c r="W516" s="1" t="str"/>
      <x:c r="X516" s="1" t="str">
        <x:v>false</x:v>
      </x:c>
      <x:c r="Y516" s="1" t="str">
        <x:v>false</x:v>
      </x:c>
      <x:c r="Z516" s="1" t="str">
        <x:v>[]</x:v>
      </x:c>
    </x:row>
    <x:row r="517" ht="15" hidden="0" customHeight="1">
      <x:c r="A517" s="1" t="str">
        <x:v>ocp67ldb5s</x:v>
      </x:c>
      <x:c r="B517" s="5" t="str">
        <x:v>The Wilde</x:v>
      </x:c>
      <x:c r="C517" s="1" t="str">
        <x:v>1</x:v>
      </x:c>
      <x:c r="D517" s="1" t="str">
        <x:v>q2j0gkx</x:v>
      </x:c>
      <x:c r="E517" s="1" t="str"/>
      <x:c r="F517" s="1" t="n">
        <x:v>1</x:v>
      </x:c>
      <x:c r="G517" s="1" t="n">
        <x:v>1</x:v>
      </x:c>
      <x:c r="H517" s="1" t="n">
        <x:v>860</x:v>
      </x:c>
      <x:c r="I517" s="1" t="n">
        <x:v>860</x:v>
      </x:c>
      <x:c r="J517" s="1" t="str">
        <x:v>$860</x:v>
      </x:c>
      <x:c r="K517" s="1" t="str">
        <x:v>$860</x:v>
      </x:c>
      <x:c r="L517" s="1" t="str">
        <x:v>true</x:v>
      </x:c>
      <x:c r="M517" s="1" t="str">
        <x:v>1,620 sq. ft.</x:v>
      </x:c>
      <x:c r="N517" s="1" t="n">
        <x:v>1</x:v>
      </x:c>
      <x:c r="O517" s="1" t="str">
        <x:v>FutureDate</x:v>
      </x:c>
      <x:c r="P517" s="1" t="str">
        <x:v>Available Soon</x:v>
      </x:c>
      <x:c r="Q517" s="1" t="n">
        <x:v>46388.99998842592</x:v>
      </x:c>
      <x:c r="R517" s="1" t="str"/>
      <x:c r="S517" s="1" t="str"/>
      <x:c r="T517" s="1" t="str">
        <x:v>N/A</x:v>
      </x:c>
      <x:c r="U517" s="1" t="str">
        <x:v>N/A</x:v>
      </x:c>
      <x:c r="V517" s="1" t="str">
        <x:v>1</x:v>
      </x:c>
      <x:c r="W517" s="1" t="str"/>
      <x:c r="X517" s="1" t="str">
        <x:v>false</x:v>
      </x:c>
      <x:c r="Y517" s="1" t="str">
        <x:v>false</x:v>
      </x:c>
      <x:c r="Z517" s="1" t="str">
        <x:v>[]</x:v>
      </x:c>
    </x:row>
    <x:row r="518" ht="15" hidden="0" customHeight="1">
      <x:c r="A518" s="1" t="str">
        <x:v>w6v7z0h</x:v>
      </x:c>
      <x:c r="B518" s="5" t="str">
        <x:v>Room in Condo on University Ct</x:v>
      </x:c>
      <x:c r="C518" s="1" t="str">
        <x:v>36189306</x:v>
      </x:c>
      <x:c r="D518" s="1" t="str">
        <x:v>mcerp4j</x:v>
      </x:c>
      <x:c r="E518" s="1" t="str"/>
      <x:c r="F518" s="1" t="n">
        <x:v>1</x:v>
      </x:c>
      <x:c r="G518" s="1" t="n">
        <x:v>1</x:v>
      </x:c>
      <x:c r="H518" s="1" t="n">
        <x:v>575</x:v>
      </x:c>
      <x:c r="I518" s="1" t="n">
        <x:v>575</x:v>
      </x:c>
      <x:c r="J518" s="1" t="str">
        <x:v>$575</x:v>
      </x:c>
      <x:c r="K518" s="1" t="str">
        <x:v>$575</x:v>
      </x:c>
      <x:c r="L518" s="1" t="str">
        <x:v>false</x:v>
      </x:c>
      <x:c r="M518" s="1" t="str">
        <x:v>1,200 sq. ft.</x:v>
      </x:c>
      <x:c r="N518" s="1" t="n">
        <x:v>1</x:v>
      </x:c>
      <x:c r="O518" s="1" t="str">
        <x:v>AvailableNow</x:v>
      </x:c>
      <x:c r="P518" s="1" t="str">
        <x:v>Rentals Available</x:v>
      </x:c>
      <x:c r="Q518" s="1" t="n">
        <x:v>46274.99998842592</x:v>
      </x:c>
      <x:c r="R518" s="1" t="str"/>
      <x:c r="S518" s="1" t="str"/>
      <x:c r="T518" s="1" t="str"/>
      <x:c r="U518" s="1" t="str"/>
      <x:c r="V518" s="1" t="str"/>
      <x:c r="W518" s="1" t="str"/>
      <x:c r="X518" s="1" t="str">
        <x:v>false</x:v>
      </x:c>
      <x:c r="Y518" s="1" t="str">
        <x:v>false</x:v>
      </x:c>
      <x:c r="Z518" s="1" t="str">
        <x:v>[]</x:v>
      </x:c>
    </x:row>
    <x:row r="519" ht="24" hidden="0" customHeight="1">
      <x:c r="A519" s="1" t="str">
        <x:v>ocp0psn632</x:v>
      </x:c>
      <x:c r="B519" s="5" t="str">
        <x:v>An apartments with 3 bed and 3 bath for NC State Students www.ncstudentsliving.com</x:v>
      </x:c>
      <x:c r="C519" s="1" t="str">
        <x:v>1</x:v>
      </x:c>
      <x:c r="D519" s="1" t="str">
        <x:v>q2j0gkx</x:v>
      </x:c>
      <x:c r="E519" s="1" t="str"/>
      <x:c r="F519" s="1" t="n">
        <x:v>3</x:v>
      </x:c>
      <x:c r="G519" s="1" t="n">
        <x:v>3</x:v>
      </x:c>
      <x:c r="H519" s="1" t="n">
        <x:v>650</x:v>
      </x:c>
      <x:c r="I519" s="1" t="n">
        <x:v>650</x:v>
      </x:c>
      <x:c r="J519" s="1" t="str">
        <x:v>$650</x:v>
      </x:c>
      <x:c r="K519" s="1" t="str">
        <x:v>$650</x:v>
      </x:c>
      <x:c r="L519" s="1" t="str">
        <x:v>true</x:v>
      </x:c>
      <x:c r="M519" s="1" t="str">
        <x:v>1,250 sq. ft.</x:v>
      </x:c>
      <x:c r="N519" s="1" t="n">
        <x:v>1</x:v>
      </x:c>
      <x:c r="O519" s="1" t="str">
        <x:v>AvailableNow</x:v>
      </x:c>
      <x:c r="P519" s="1" t="str">
        <x:v>Rentals Available</x:v>
      </x:c>
      <x:c r="Q519" s="1" t="n">
        <x:v>46223.99998842592</x:v>
      </x:c>
      <x:c r="R519" s="1" t="str"/>
      <x:c r="S519" s="1" t="str"/>
      <x:c r="T519" s="1" t="str">
        <x:v>N/A</x:v>
      </x:c>
      <x:c r="U519" s="1" t="str">
        <x:v>N/A</x:v>
      </x:c>
      <x:c r="V519" s="1" t="str">
        <x:v>3</x:v>
      </x:c>
      <x:c r="W519" s="1" t="str"/>
      <x:c r="X519" s="1" t="str">
        <x:v>false</x:v>
      </x:c>
      <x:c r="Y519" s="1" t="str">
        <x:v>false</x:v>
      </x:c>
      <x:c r="Z519" s="1" t="str">
        <x:v>[]</x:v>
      </x:c>
    </x:row>
    <x:row r="520" ht="15" hidden="0" customHeight="1">
      <x:c r="A520" s="1" t="str">
        <x:v>l1e6hxd</x:v>
      </x:c>
      <x:c r="B520" s="5" t="str">
        <x:v>707 E Martin St (Raleigh, NC)</x:v>
      </x:c>
      <x:c r="C520" s="1" t="str">
        <x:v>1</x:v>
      </x:c>
      <x:c r="D520" s="1" t="str">
        <x:v>q2j0gkx</x:v>
      </x:c>
      <x:c r="E520" s="1" t="str"/>
      <x:c r="F520" s="1" t="n">
        <x:v>3</x:v>
      </x:c>
      <x:c r="G520" s="1" t="n">
        <x:v>2.5</x:v>
      </x:c>
      <x:c r="H520" s="1" t="n">
        <x:v>2650</x:v>
      </x:c>
      <x:c r="I520" s="1" t="n">
        <x:v>2650</x:v>
      </x:c>
      <x:c r="J520" s="1" t="str">
        <x:v>$2,650</x:v>
      </x:c>
      <x:c r="K520" s="1" t="str">
        <x:v>$2,650</x:v>
      </x:c>
      <x:c r="L520" s="1" t="str">
        <x:v>false</x:v>
      </x:c>
      <x:c r="M520" s="1" t="str">
        <x:v>1,238 sq. ft.</x:v>
      </x:c>
      <x:c r="N520" s="1" t="n">
        <x:v>1</x:v>
      </x:c>
      <x:c r="O520" s="1" t="str">
        <x:v>FutureDate</x:v>
      </x:c>
      <x:c r="P520" s="1" t="str">
        <x:v>Available Soon</x:v>
      </x:c>
      <x:c r="Q520" s="1" t="n">
        <x:v>46279.99998842592</x:v>
      </x:c>
      <x:c r="R520" s="1" t="str">
        <x:v>2650</x:v>
      </x:c>
      <x:c r="S520" s="1" t="str"/>
      <x:c r="T520" s="1" t="str"/>
      <x:c r="U520" s="1" t="str"/>
      <x:c r="V520" s="1" t="str"/>
      <x:c r="W520" s="1" t="str"/>
      <x:c r="X520" s="1" t="str">
        <x:v>false</x:v>
      </x:c>
      <x:c r="Y520" s="1" t="str">
        <x:v>false</x:v>
      </x:c>
      <x:c r="Z520" s="1" t="str">
        <x:v>[]</x:v>
      </x:c>
    </x:row>
    <x:row r="521" ht="15" hidden="0" customHeight="1">
      <x:c r="A521" s="1" t="str">
        <x:v>ocpsqjgls7</x:v>
      </x:c>
      <x:c r="B521" s="5" t="str">
        <x:v>Cozy private apt</x:v>
      </x:c>
      <x:c r="C521" s="1" t="str">
        <x:v>1</x:v>
      </x:c>
      <x:c r="D521" s="1" t="str">
        <x:v>q2j0gkx</x:v>
      </x:c>
      <x:c r="E521" s="1" t="str"/>
      <x:c r="F521" s="1" t="n">
        <x:v>1</x:v>
      </x:c>
      <x:c r="G521" s="1" t="n">
        <x:v>1</x:v>
      </x:c>
      <x:c r="H521" s="1" t="n">
        <x:v>1595</x:v>
      </x:c>
      <x:c r="I521" s="1" t="n">
        <x:v>1595</x:v>
      </x:c>
      <x:c r="J521" s="1" t="str">
        <x:v>$1,595</x:v>
      </x:c>
      <x:c r="K521" s="1" t="str">
        <x:v>$1,595</x:v>
      </x:c>
      <x:c r="L521" s="1" t="str">
        <x:v>false</x:v>
      </x:c>
      <x:c r="M521" s="1" t="str">
        <x:v>720 sq. ft.</x:v>
      </x:c>
      <x:c r="N521" s="1" t="n">
        <x:v>1</x:v>
      </x:c>
      <x:c r="O521" s="1" t="str">
        <x:v>AvailableNow</x:v>
      </x:c>
      <x:c r="P521" s="1" t="str">
        <x:v>Rentals Available</x:v>
      </x:c>
      <x:c r="Q521" s="1" t="n">
        <x:v>25569.999988425927</x:v>
      </x:c>
      <x:c r="R521" s="1" t="str"/>
      <x:c r="S521" s="1" t="str"/>
      <x:c r="T521" s="1" t="str">
        <x:v>N/A</x:v>
      </x:c>
      <x:c r="U521" s="1" t="str">
        <x:v>N/A</x:v>
      </x:c>
      <x:c r="V521" s="1" t="str">
        <x:v>2</x:v>
      </x:c>
      <x:c r="W521" s="1" t="str"/>
      <x:c r="X521" s="1" t="str">
        <x:v>false</x:v>
      </x:c>
      <x:c r="Y521" s="1" t="str">
        <x:v>false</x:v>
      </x:c>
      <x:c r="Z521" s="1" t="str">
        <x:v>[]</x:v>
      </x:c>
    </x:row>
    <x:row r="522" ht="15" hidden="0" customHeight="1">
      <x:c r="A522" s="1" t="str">
        <x:v>y6ff3gt</x:v>
      </x:c>
      <x:c r="B522" s="5" t="str">
        <x:v>Room in Condo on Trailwood Heights Ln</x:v>
      </x:c>
      <x:c r="C522" s="1" t="str">
        <x:v>35127323</x:v>
      </x:c>
      <x:c r="D522" s="1" t="str">
        <x:v>6fm93zr</x:v>
      </x:c>
      <x:c r="E522" s="1" t="str"/>
      <x:c r="F522" s="1" t="n">
        <x:v>1</x:v>
      </x:c>
      <x:c r="G522" s="1" t="n">
        <x:v>1</x:v>
      </x:c>
      <x:c r="H522" s="1" t="n">
        <x:v>850</x:v>
      </x:c>
      <x:c r="I522" s="1" t="n">
        <x:v>850</x:v>
      </x:c>
      <x:c r="J522" s="1" t="str">
        <x:v>$850</x:v>
      </x:c>
      <x:c r="K522" s="1" t="str">
        <x:v>$850</x:v>
      </x:c>
      <x:c r="L522" s="1" t="str">
        <x:v>false</x:v>
      </x:c>
      <x:c r="M522" s="1" t="str">
        <x:v>1,145 sq. ft.</x:v>
      </x:c>
      <x:c r="N522" s="1" t="n">
        <x:v>1</x:v>
      </x:c>
      <x:c r="O522" s="1" t="str">
        <x:v>AvailableNow</x:v>
      </x:c>
      <x:c r="P522" s="1" t="str">
        <x:v>Rentals Available</x:v>
      </x:c>
      <x:c r="Q522" s="1" t="n">
        <x:v>46274.99998842592</x:v>
      </x:c>
      <x:c r="R522" s="1" t="str"/>
      <x:c r="S522" s="1" t="str"/>
      <x:c r="T522" s="1" t="str"/>
      <x:c r="U522" s="1" t="str"/>
      <x:c r="V522" s="1" t="str"/>
      <x:c r="W522" s="1" t="str"/>
      <x:c r="X522" s="1" t="str">
        <x:v>false</x:v>
      </x:c>
      <x:c r="Y522" s="1" t="str">
        <x:v>false</x:v>
      </x:c>
      <x:c r="Z522" s="1" t="str">
        <x:v>[]</x:v>
      </x:c>
    </x:row>
    <x:row r="523" ht="15" hidden="0" customHeight="1">
      <x:c r="A523" s="1" t="str">
        <x:v>ocpk5yz73b</x:v>
      </x:c>
      <x:c r="B523" s="5" t="str">
        <x:v>Stanhope Student Apartments</x:v>
      </x:c>
      <x:c r="C523" s="1" t="str">
        <x:v>1</x:v>
      </x:c>
      <x:c r="D523" s="1" t="str">
        <x:v>q2j0gkx</x:v>
      </x:c>
      <x:c r="E523" s="1" t="str"/>
      <x:c r="F523" s="1" t="n">
        <x:v>1</x:v>
      </x:c>
      <x:c r="G523" s="1" t="n">
        <x:v>1</x:v>
      </x:c>
      <x:c r="H523" s="1" t="n">
        <x:v>1300</x:v>
      </x:c>
      <x:c r="I523" s="1" t="n">
        <x:v>1300</x:v>
      </x:c>
      <x:c r="J523" s="1" t="str">
        <x:v>$1,300</x:v>
      </x:c>
      <x:c r="K523" s="1" t="str">
        <x:v>$1,300</x:v>
      </x:c>
      <x:c r="L523" s="1" t="str">
        <x:v>true</x:v>
      </x:c>
      <x:c r="M523" s="1" t="str">
        <x:v>300 sq. ft.</x:v>
      </x:c>
      <x:c r="N523" s="1" t="n">
        <x:v>1</x:v>
      </x:c>
      <x:c r="O523" s="1" t="str">
        <x:v>AvailableNow</x:v>
      </x:c>
      <x:c r="P523" s="1" t="str">
        <x:v>Rentals Available</x:v>
      </x:c>
      <x:c r="Q523" s="1" t="n">
        <x:v>46001.99998842592</x:v>
      </x:c>
      <x:c r="R523" s="1" t="str"/>
      <x:c r="S523" s="1" t="str"/>
      <x:c r="T523" s="1" t="str">
        <x:v>N/A</x:v>
      </x:c>
      <x:c r="U523" s="1" t="str">
        <x:v>N/A</x:v>
      </x:c>
      <x:c r="V523" s="1" t="str">
        <x:v>1</x:v>
      </x:c>
      <x:c r="W523" s="1" t="str"/>
      <x:c r="X523" s="1" t="str">
        <x:v>false</x:v>
      </x:c>
      <x:c r="Y523" s="1" t="str">
        <x:v>false</x:v>
      </x:c>
      <x:c r="Z523" s="1" t="str">
        <x:v>[]</x:v>
      </x:c>
    </x:row>
    <x:row r="524" ht="15" hidden="0" customHeight="1">
      <x:c r="A524" s="1" t="str">
        <x:v>hp3tns3</x:v>
      </x:c>
      <x:c r="B524" s="5" t="str">
        <x:v>Room in House on Ravel St</x:v>
      </x:c>
      <x:c r="C524" s="1" t="str">
        <x:v>1</x:v>
      </x:c>
      <x:c r="D524" s="1" t="str">
        <x:v>q2j0gkx</x:v>
      </x:c>
      <x:c r="E524" s="1" t="str"/>
      <x:c r="F524" s="1" t="n">
        <x:v>1</x:v>
      </x:c>
      <x:c r="G524" s="1" t="n">
        <x:v>1</x:v>
      </x:c>
      <x:c r="H524" s="1" t="n">
        <x:v>550</x:v>
      </x:c>
      <x:c r="I524" s="1" t="n">
        <x:v>550</x:v>
      </x:c>
      <x:c r="J524" s="1" t="str">
        <x:v>$550</x:v>
      </x:c>
      <x:c r="K524" s="1" t="str">
        <x:v>$550</x:v>
      </x:c>
      <x:c r="L524" s="1" t="str">
        <x:v>false</x:v>
      </x:c>
      <x:c r="M524" s="1" t="str">
        <x:v>1,220 sq. ft.</x:v>
      </x:c>
      <x:c r="N524" s="1" t="n">
        <x:v>1</x:v>
      </x:c>
      <x:c r="O524" s="1" t="str">
        <x:v>AvailableNow</x:v>
      </x:c>
      <x:c r="P524" s="1" t="str">
        <x:v>Rentals Available</x:v>
      </x:c>
      <x:c r="Q524" s="1" t="n">
        <x:v>46274.99998842592</x:v>
      </x:c>
      <x:c r="R524" s="1" t="str"/>
      <x:c r="S524" s="1" t="str"/>
      <x:c r="T524" s="1" t="str"/>
      <x:c r="U524" s="1" t="str"/>
      <x:c r="V524" s="1" t="str"/>
      <x:c r="W524" s="1" t="str"/>
      <x:c r="X524" s="1" t="str">
        <x:v>false</x:v>
      </x:c>
      <x:c r="Y524" s="1" t="str">
        <x:v>false</x:v>
      </x:c>
      <x:c r="Z524" s="1" t="str">
        <x:v>[]</x:v>
      </x:c>
    </x:row>
    <x:row r="525" ht="24" hidden="0" customHeight="1">
      <x:c r="A525" s="1" t="str">
        <x:v>ocp5lwrmvq</x:v>
      </x:c>
      <x:c r="B525" s="5" t="str">
        <x:v>Convenient Kaplan Dr property near NCSU buses, park, grocery, with parking space &amp; private bathroom</x:v>
      </x:c>
      <x:c r="C525" s="1" t="str">
        <x:v>1</x:v>
      </x:c>
      <x:c r="D525" s="1" t="str">
        <x:v>q2j0gkx</x:v>
      </x:c>
      <x:c r="E525" s="1" t="str"/>
      <x:c r="F525" s="1" t="n">
        <x:v>1</x:v>
      </x:c>
      <x:c r="G525" s="1" t="n">
        <x:v>1.5</x:v>
      </x:c>
      <x:c r="H525" s="1" t="n">
        <x:v>675</x:v>
      </x:c>
      <x:c r="I525" s="1" t="n">
        <x:v>675</x:v>
      </x:c>
      <x:c r="J525" s="1" t="str">
        <x:v>$675</x:v>
      </x:c>
      <x:c r="K525" s="1" t="str">
        <x:v>$675</x:v>
      </x:c>
      <x:c r="L525" s="1" t="str">
        <x:v>true</x:v>
      </x:c>
      <x:c r="M525" s="1" t="str"/>
      <x:c r="N525" s="1" t="n">
        <x:v>1</x:v>
      </x:c>
      <x:c r="O525" s="1" t="str">
        <x:v>AvailableNow</x:v>
      </x:c>
      <x:c r="P525" s="1" t="str">
        <x:v>Rentals Available</x:v>
      </x:c>
      <x:c r="Q525" s="1" t="n">
        <x:v>46266.99998842592</x:v>
      </x:c>
      <x:c r="R525" s="1" t="str"/>
      <x:c r="S525" s="1" t="str"/>
      <x:c r="T525" s="1" t="str">
        <x:v>N/A</x:v>
      </x:c>
      <x:c r="U525" s="1" t="str">
        <x:v>N/A</x:v>
      </x:c>
      <x:c r="V525" s="1" t="str">
        <x:v>1</x:v>
      </x:c>
      <x:c r="W525" s="1" t="str"/>
      <x:c r="X525" s="1" t="str">
        <x:v>false</x:v>
      </x:c>
      <x:c r="Y525" s="1" t="str">
        <x:v>false</x:v>
      </x:c>
      <x:c r="Z525" s="1" t="str">
        <x:v>[]</x:v>
      </x:c>
    </x:row>
    <x:row r="526" ht="15" hidden="0" customHeight="1">
      <x:c r="A526" s="1" t="str">
        <x:v>ocpf3gzfct</x:v>
      </x:c>
      <x:c r="B526" s="5" t="str">
        <x:v>Champion Court Condo</x:v>
      </x:c>
      <x:c r="C526" s="1" t="str">
        <x:v>1</x:v>
      </x:c>
      <x:c r="D526" s="1" t="str">
        <x:v>q2j0gkx</x:v>
      </x:c>
      <x:c r="E526" s="1" t="str"/>
      <x:c r="F526" s="1" t="n">
        <x:v>2</x:v>
      </x:c>
      <x:c r="G526" s="1" t="n">
        <x:v>2.5</x:v>
      </x:c>
      <x:c r="H526" s="1" t="n">
        <x:v>1500</x:v>
      </x:c>
      <x:c r="I526" s="1" t="n">
        <x:v>1500</x:v>
      </x:c>
      <x:c r="J526" s="1" t="str">
        <x:v>$1,500</x:v>
      </x:c>
      <x:c r="K526" s="1" t="str">
        <x:v>$1,500</x:v>
      </x:c>
      <x:c r="L526" s="1" t="str">
        <x:v>false</x:v>
      </x:c>
      <x:c r="M526" s="1" t="str">
        <x:v>1,900 sq. ft.</x:v>
      </x:c>
      <x:c r="N526" s="1" t="n">
        <x:v>1</x:v>
      </x:c>
      <x:c r="O526" s="1" t="str">
        <x:v>AvailableNow</x:v>
      </x:c>
      <x:c r="P526" s="1" t="str">
        <x:v>Rentals Available</x:v>
      </x:c>
      <x:c r="Q526" s="1" t="n">
        <x:v>25569.999988425927</x:v>
      </x:c>
      <x:c r="R526" s="1" t="str"/>
      <x:c r="S526" s="1" t="str"/>
      <x:c r="T526" s="1" t="str">
        <x:v>N/A</x:v>
      </x:c>
      <x:c r="U526" s="1" t="str">
        <x:v>N/A</x:v>
      </x:c>
      <x:c r="V526" s="1" t="str">
        <x:v>2</x:v>
      </x:c>
      <x:c r="W526" s="1" t="str"/>
      <x:c r="X526" s="1" t="str">
        <x:v>false</x:v>
      </x:c>
      <x:c r="Y526" s="1" t="str">
        <x:v>false</x:v>
      </x:c>
      <x:c r="Z526" s="1" t="str">
        <x:v>[]</x:v>
      </x:c>
    </x:row>
    <x:row r="527" ht="24" hidden="0" customHeight="1">
      <x:c r="A527" s="1" t="str">
        <x:v>ocpvee4m9g</x:v>
      </x:c>
      <x:c r="B527" s="5" t="str">
        <x:v>Furnished 4 bed 3 baths Ranch House, walk to NCSU, free parking</x:v>
      </x:c>
      <x:c r="C527" s="1" t="str">
        <x:v>1</x:v>
      </x:c>
      <x:c r="D527" s="1" t="str">
        <x:v>q2j0gkx</x:v>
      </x:c>
      <x:c r="E527" s="1" t="str"/>
      <x:c r="F527" s="1" t="n">
        <x:v>4</x:v>
      </x:c>
      <x:c r="G527" s="1" t="n">
        <x:v>3</x:v>
      </x:c>
      <x:c r="H527" s="1" t="n">
        <x:v>2495</x:v>
      </x:c>
      <x:c r="I527" s="1" t="n">
        <x:v>2495</x:v>
      </x:c>
      <x:c r="J527" s="1" t="str">
        <x:v>$2,495</x:v>
      </x:c>
      <x:c r="K527" s="1" t="str">
        <x:v>$2,495</x:v>
      </x:c>
      <x:c r="L527" s="1" t="str">
        <x:v>false</x:v>
      </x:c>
      <x:c r="M527" s="1" t="str">
        <x:v>1,300 sq. ft.</x:v>
      </x:c>
      <x:c r="N527" s="1" t="n">
        <x:v>1</x:v>
      </x:c>
      <x:c r="O527" s="1" t="str">
        <x:v>AvailableNow</x:v>
      </x:c>
      <x:c r="P527" s="1" t="str">
        <x:v>Rentals Available</x:v>
      </x:c>
      <x:c r="Q527" s="1" t="n">
        <x:v>46174.99998842592</x:v>
      </x:c>
      <x:c r="R527" s="1" t="str"/>
      <x:c r="S527" s="1" t="str"/>
      <x:c r="T527" s="1" t="str">
        <x:v>N/A</x:v>
      </x:c>
      <x:c r="U527" s="1" t="str">
        <x:v>N/A</x:v>
      </x:c>
      <x:c r="V527" s="1" t="str">
        <x:v>4</x:v>
      </x:c>
      <x:c r="W527" s="1" t="str"/>
      <x:c r="X527" s="1" t="str">
        <x:v>false</x:v>
      </x:c>
      <x:c r="Y527" s="1" t="str">
        <x:v>false</x:v>
      </x:c>
      <x:c r="Z527" s="1" t="str">
        <x:v>[]</x:v>
      </x:c>
    </x:row>
    <x:row r="528" ht="15" hidden="0" customHeight="1">
      <x:c r="A528" s="1" t="str">
        <x:v>ocpkrnvkk8</x:v>
      </x:c>
      <x:c r="B528" s="5" t="str">
        <x:v>The Hub Raleigh</x:v>
      </x:c>
      <x:c r="C528" s="1" t="str">
        <x:v>1</x:v>
      </x:c>
      <x:c r="D528" s="1" t="str">
        <x:v>q2j0gkx</x:v>
      </x:c>
      <x:c r="E528" s="1" t="str"/>
      <x:c r="F528" s="1" t="n">
        <x:v>0</x:v>
      </x:c>
      <x:c r="G528" s="1" t="n">
        <x:v>1</x:v>
      </x:c>
      <x:c r="H528" s="1" t="n">
        <x:v>1500</x:v>
      </x:c>
      <x:c r="I528" s="1" t="n">
        <x:v>1500</x:v>
      </x:c>
      <x:c r="J528" s="1" t="str">
        <x:v>$1,500</x:v>
      </x:c>
      <x:c r="K528" s="1" t="str">
        <x:v>$1,500</x:v>
      </x:c>
      <x:c r="L528" s="1" t="str">
        <x:v>false</x:v>
      </x:c>
      <x:c r="M528" s="1" t="str">
        <x:v>370 sq. ft.</x:v>
      </x:c>
      <x:c r="N528" s="1" t="n">
        <x:v>1</x:v>
      </x:c>
      <x:c r="O528" s="1" t="str">
        <x:v>AvailableNow</x:v>
      </x:c>
      <x:c r="P528" s="1" t="str">
        <x:v>Rentals Available</x:v>
      </x:c>
      <x:c r="Q528" s="1" t="n">
        <x:v>25569.999988425927</x:v>
      </x:c>
      <x:c r="R528" s="1" t="str"/>
      <x:c r="S528" s="1" t="str"/>
      <x:c r="T528" s="1" t="str">
        <x:v>N/A</x:v>
      </x:c>
      <x:c r="U528" s="1" t="str">
        <x:v>N/A</x:v>
      </x:c>
      <x:c r="V528" s="1" t="str">
        <x:v>1</x:v>
      </x:c>
      <x:c r="W528" s="1" t="str"/>
      <x:c r="X528" s="1" t="str">
        <x:v>false</x:v>
      </x:c>
      <x:c r="Y528" s="1" t="str">
        <x:v>false</x:v>
      </x:c>
      <x:c r="Z528" s="1" t="str">
        <x:v>[]</x:v>
      </x:c>
    </x:row>
    <x:row r="529" ht="15" hidden="0" customHeight="1">
      <x:c r="A529" s="1" t="str">
        <x:v>ocpq292qyw</x:v>
      </x:c>
      <x:c r="B529" s="5" t="str">
        <x:v>1st Month FREE!</x:v>
      </x:c>
      <x:c r="C529" s="1" t="str">
        <x:v>1</x:v>
      </x:c>
      <x:c r="D529" s="1" t="str">
        <x:v>q2j0gkx</x:v>
      </x:c>
      <x:c r="E529" s="1" t="str"/>
      <x:c r="F529" s="1" t="n">
        <x:v>1</x:v>
      </x:c>
      <x:c r="G529" s="1" t="n">
        <x:v>1</x:v>
      </x:c>
      <x:c r="H529" s="1" t="n">
        <x:v>625</x:v>
      </x:c>
      <x:c r="I529" s="1" t="n">
        <x:v>625</x:v>
      </x:c>
      <x:c r="J529" s="1" t="str">
        <x:v>$625</x:v>
      </x:c>
      <x:c r="K529" s="1" t="str">
        <x:v>$625</x:v>
      </x:c>
      <x:c r="L529" s="1" t="str">
        <x:v>true</x:v>
      </x:c>
      <x:c r="M529" s="1" t="str"/>
      <x:c r="N529" s="1" t="n">
        <x:v>1</x:v>
      </x:c>
      <x:c r="O529" s="1" t="str">
        <x:v>AvailableNow</x:v>
      </x:c>
      <x:c r="P529" s="1" t="str">
        <x:v>Rentals Available</x:v>
      </x:c>
      <x:c r="Q529" s="1" t="n">
        <x:v>25569.999988425927</x:v>
      </x:c>
      <x:c r="R529" s="1" t="str"/>
      <x:c r="S529" s="1" t="str"/>
      <x:c r="T529" s="1" t="str">
        <x:v>N/A</x:v>
      </x:c>
      <x:c r="U529" s="1" t="str">
        <x:v>N/A</x:v>
      </x:c>
      <x:c r="V529" s="1" t="str">
        <x:v>4</x:v>
      </x:c>
      <x:c r="W529" s="1" t="str"/>
      <x:c r="X529" s="1" t="str">
        <x:v>false</x:v>
      </x:c>
      <x:c r="Y529" s="1" t="str">
        <x:v>false</x:v>
      </x:c>
      <x:c r="Z529" s="1" t="str">
        <x:v>[]</x:v>
      </x:c>
    </x:row>
    <x:row r="530" ht="15" hidden="0" customHeight="1">
      <x:c r="A530" s="1" t="str">
        <x:v>ocpqh8kxbz</x:v>
      </x:c>
      <x:c r="B530" s="5" t="str">
        <x:v>Falcon Ridge subdivision</x:v>
      </x:c>
      <x:c r="C530" s="1" t="str">
        <x:v>1</x:v>
      </x:c>
      <x:c r="D530" s="1" t="str">
        <x:v>q2j0gkx</x:v>
      </x:c>
      <x:c r="E530" s="1" t="str"/>
      <x:c r="F530" s="1" t="n">
        <x:v>1</x:v>
      </x:c>
      <x:c r="G530" s="1" t="n">
        <x:v>2</x:v>
      </x:c>
      <x:c r="H530" s="1" t="n">
        <x:v>650</x:v>
      </x:c>
      <x:c r="I530" s="1" t="n">
        <x:v>650</x:v>
      </x:c>
      <x:c r="J530" s="1" t="str">
        <x:v>$650</x:v>
      </x:c>
      <x:c r="K530" s="1" t="str">
        <x:v>$650</x:v>
      </x:c>
      <x:c r="L530" s="1" t="str">
        <x:v>true</x:v>
      </x:c>
      <x:c r="M530" s="1" t="str">
        <x:v>1,338 sq. ft.</x:v>
      </x:c>
      <x:c r="N530" s="1" t="n">
        <x:v>1</x:v>
      </x:c>
      <x:c r="O530" s="1" t="str">
        <x:v>AvailableNow</x:v>
      </x:c>
      <x:c r="P530" s="1" t="str">
        <x:v>Rentals Available</x:v>
      </x:c>
      <x:c r="Q530" s="1" t="n">
        <x:v>46266.99998842592</x:v>
      </x:c>
      <x:c r="R530" s="1" t="str"/>
      <x:c r="S530" s="1" t="str"/>
      <x:c r="T530" s="1" t="str">
        <x:v>N/A</x:v>
      </x:c>
      <x:c r="U530" s="1" t="str">
        <x:v>N/A</x:v>
      </x:c>
      <x:c r="V530" s="1" t="str">
        <x:v>3</x:v>
      </x:c>
      <x:c r="W530" s="1" t="str"/>
      <x:c r="X530" s="1" t="str">
        <x:v>false</x:v>
      </x:c>
      <x:c r="Y530" s="1" t="str">
        <x:v>false</x:v>
      </x:c>
      <x:c r="Z530" s="1" t="str">
        <x:v>[]</x:v>
      </x:c>
    </x:row>
    <x:row r="531" ht="15" hidden="0" customHeight="1">
      <x:c r="A531" s="1" t="str">
        <x:v>ocpqfg7r3z</x:v>
      </x:c>
      <x:c r="B531" s="5" t="str">
        <x:v>University Commons PRELEASING FOR 2026-2027</x:v>
      </x:c>
      <x:c r="C531" s="1" t="str">
        <x:v>1</x:v>
      </x:c>
      <x:c r="D531" s="1" t="str">
        <x:v>q2j0gkx</x:v>
      </x:c>
      <x:c r="E531" s="1" t="str"/>
      <x:c r="F531" s="1" t="n">
        <x:v>4</x:v>
      </x:c>
      <x:c r="G531" s="1" t="n">
        <x:v>4</x:v>
      </x:c>
      <x:c r="H531" s="1" t="n">
        <x:v>2200</x:v>
      </x:c>
      <x:c r="I531" s="1" t="n">
        <x:v>2700</x:v>
      </x:c>
      <x:c r="J531" s="1" t="str">
        <x:v>$2,200 - $2,700</x:v>
      </x:c>
      <x:c r="K531" s="1" t="str">
        <x:v>$2,200 - $2,700</x:v>
      </x:c>
      <x:c r="L531" s="1" t="str">
        <x:v>false</x:v>
      </x:c>
      <x:c r="M531" s="1" t="str">
        <x:v>1,224 sq. ft.</x:v>
      </x:c>
      <x:c r="N531" s="1" t="n">
        <x:v>1</x:v>
      </x:c>
      <x:c r="O531" s="1" t="str">
        <x:v>AvailableNow</x:v>
      </x:c>
      <x:c r="P531" s="1" t="str">
        <x:v>Rentals Available</x:v>
      </x:c>
      <x:c r="Q531" s="1" t="n">
        <x:v>46223.99998842592</x:v>
      </x:c>
      <x:c r="R531" s="1" t="str"/>
      <x:c r="S531" s="1" t="str"/>
      <x:c r="T531" s="1" t="str">
        <x:v>N/A</x:v>
      </x:c>
      <x:c r="U531" s="1" t="str">
        <x:v>N/A</x:v>
      </x:c>
      <x:c r="V531" s="1" t="str">
        <x:v>4</x:v>
      </x:c>
      <x:c r="W531" s="1" t="str"/>
      <x:c r="X531" s="1" t="str">
        <x:v>false</x:v>
      </x:c>
      <x:c r="Y531" s="1" t="str">
        <x:v>false</x:v>
      </x:c>
      <x:c r="Z531" s="1" t="str">
        <x:v>[]</x:v>
      </x:c>
    </x:row>
    <x:row r="532" ht="15" hidden="0" customHeight="1">
      <x:c r="A532" s="1" t="str">
        <x:v>ocpqsb7fkz</x:v>
      </x:c>
      <x:c r="B532" s="5" t="str">
        <x:v>TWO BEDROOM TOWNHOUSE IN EXCELLENT CONDITION</x:v>
      </x:c>
      <x:c r="C532" s="1" t="str">
        <x:v>1</x:v>
      </x:c>
      <x:c r="D532" s="1" t="str">
        <x:v>q2j0gkx</x:v>
      </x:c>
      <x:c r="E532" s="1" t="str"/>
      <x:c r="F532" s="1" t="n">
        <x:v>2</x:v>
      </x:c>
      <x:c r="G532" s="1" t="n">
        <x:v>2.5</x:v>
      </x:c>
      <x:c r="H532" s="1" t="n">
        <x:v>1550</x:v>
      </x:c>
      <x:c r="I532" s="1" t="n">
        <x:v>1550</x:v>
      </x:c>
      <x:c r="J532" s="1" t="str">
        <x:v>$1,550</x:v>
      </x:c>
      <x:c r="K532" s="1" t="str">
        <x:v>$1,550</x:v>
      </x:c>
      <x:c r="L532" s="1" t="str">
        <x:v>false</x:v>
      </x:c>
      <x:c r="M532" s="1" t="str">
        <x:v>1,134 sq. ft.</x:v>
      </x:c>
      <x:c r="N532" s="1" t="n">
        <x:v>1</x:v>
      </x:c>
      <x:c r="O532" s="1" t="str">
        <x:v>AvailableNow</x:v>
      </x:c>
      <x:c r="P532" s="1" t="str">
        <x:v>Rentals Available</x:v>
      </x:c>
      <x:c r="Q532" s="1" t="n">
        <x:v>46236.99998842592</x:v>
      </x:c>
      <x:c r="R532" s="1" t="str"/>
      <x:c r="S532" s="1" t="str"/>
      <x:c r="T532" s="1" t="str">
        <x:v>N/A</x:v>
      </x:c>
      <x:c r="U532" s="1" t="str">
        <x:v>N/A</x:v>
      </x:c>
      <x:c r="V532" s="1" t="str">
        <x:v>2</x:v>
      </x:c>
      <x:c r="W532" s="1" t="str"/>
      <x:c r="X532" s="1" t="str">
        <x:v>false</x:v>
      </x:c>
      <x:c r="Y532" s="1" t="str">
        <x:v>false</x:v>
      </x:c>
      <x:c r="Z532" s="1" t="str">
        <x:v>[]</x:v>
      </x:c>
    </x:row>
    <x:row r="533" ht="15" hidden="0" customHeight="1">
      <x:c r="A533" s="1" t="str">
        <x:v>ocp8d9cwv0</x:v>
      </x:c>
      <x:c r="B533" s="5" t="str">
        <x:v>Bright 2 BR, 2 BA unit in vibrant Person St district</x:v>
      </x:c>
      <x:c r="C533" s="1" t="str">
        <x:v>1</x:v>
      </x:c>
      <x:c r="D533" s="1" t="str">
        <x:v>q2j0gkx</x:v>
      </x:c>
      <x:c r="E533" s="1" t="str"/>
      <x:c r="F533" s="1" t="n">
        <x:v>2</x:v>
      </x:c>
      <x:c r="G533" s="1" t="n">
        <x:v>2</x:v>
      </x:c>
      <x:c r="H533" s="1" t="n">
        <x:v>1950</x:v>
      </x:c>
      <x:c r="I533" s="1" t="n">
        <x:v>1950</x:v>
      </x:c>
      <x:c r="J533" s="1" t="str">
        <x:v>$1,950</x:v>
      </x:c>
      <x:c r="K533" s="1" t="str">
        <x:v>$1,950</x:v>
      </x:c>
      <x:c r="L533" s="1" t="str">
        <x:v>false</x:v>
      </x:c>
      <x:c r="M533" s="1" t="str">
        <x:v>931 sq. ft.</x:v>
      </x:c>
      <x:c r="N533" s="1" t="n">
        <x:v>1</x:v>
      </x:c>
      <x:c r="O533" s="1" t="str">
        <x:v>AvailableNow</x:v>
      </x:c>
      <x:c r="P533" s="1" t="str">
        <x:v>Rentals Available</x:v>
      </x:c>
      <x:c r="Q533" s="1" t="n">
        <x:v>25569.999988425927</x:v>
      </x:c>
      <x:c r="R533" s="1" t="str"/>
      <x:c r="S533" s="1" t="str"/>
      <x:c r="T533" s="1" t="str">
        <x:v>N/A</x:v>
      </x:c>
      <x:c r="U533" s="1" t="str">
        <x:v>N/A</x:v>
      </x:c>
      <x:c r="V533" s="1" t="str">
        <x:v>2</x:v>
      </x:c>
      <x:c r="W533" s="1" t="str"/>
      <x:c r="X533" s="1" t="str">
        <x:v>false</x:v>
      </x:c>
      <x:c r="Y533" s="1" t="str">
        <x:v>false</x:v>
      </x:c>
      <x:c r="Z533" s="1" t="str">
        <x:v>[]</x:v>
      </x:c>
    </x:row>
    <x:row r="534" ht="15" hidden="0" customHeight="1">
      <x:c r="A534" s="1" t="str">
        <x:v>ocp9g1mkz6</x:v>
      </x:c>
      <x:c r="B534" s="5" t="str">
        <x:v>Stylish Studio Condo on NC State University Campus</x:v>
      </x:c>
      <x:c r="C534" s="1" t="str">
        <x:v>1</x:v>
      </x:c>
      <x:c r="D534" s="1" t="str">
        <x:v>q2j0gkx</x:v>
      </x:c>
      <x:c r="E534" s="1" t="str"/>
      <x:c r="F534" s="1" t="n">
        <x:v>2</x:v>
      </x:c>
      <x:c r="G534" s="1" t="n">
        <x:v>2.5</x:v>
      </x:c>
      <x:c r="H534" s="1" t="n">
        <x:v>1630</x:v>
      </x:c>
      <x:c r="I534" s="1" t="n">
        <x:v>1630</x:v>
      </x:c>
      <x:c r="J534" s="1" t="str">
        <x:v>$1,630</x:v>
      </x:c>
      <x:c r="K534" s="1" t="str">
        <x:v>$1,630</x:v>
      </x:c>
      <x:c r="L534" s="1" t="str">
        <x:v>false</x:v>
      </x:c>
      <x:c r="M534" s="1" t="str">
        <x:v>1,166 sq. ft.</x:v>
      </x:c>
      <x:c r="N534" s="1" t="n">
        <x:v>1</x:v>
      </x:c>
      <x:c r="O534" s="1" t="str">
        <x:v>AvailableNow</x:v>
      </x:c>
      <x:c r="P534" s="1" t="str">
        <x:v>Rentals Available</x:v>
      </x:c>
      <x:c r="Q534" s="1" t="n">
        <x:v>25569.999988425927</x:v>
      </x:c>
      <x:c r="R534" s="1" t="str"/>
      <x:c r="S534" s="1" t="str"/>
      <x:c r="T534" s="1" t="str">
        <x:v>N/A</x:v>
      </x:c>
      <x:c r="U534" s="1" t="str">
        <x:v>N/A</x:v>
      </x:c>
      <x:c r="V534" s="1" t="str">
        <x:v>2</x:v>
      </x:c>
      <x:c r="W534" s="1" t="str"/>
      <x:c r="X534" s="1" t="str">
        <x:v>false</x:v>
      </x:c>
      <x:c r="Y534" s="1" t="str">
        <x:v>false</x:v>
      </x:c>
      <x:c r="Z534" s="1" t="str">
        <x:v>[]</x:v>
      </x:c>
    </x:row>
    <x:row r="535" ht="15" hidden="0" customHeight="1">
      <x:c r="A535" s="1" t="str">
        <x:v>ocpeg5yhcm</x:v>
      </x:c>
      <x:c r="B535" s="5" t="str">
        <x:v>Avery Close</x:v>
      </x:c>
      <x:c r="C535" s="1" t="str">
        <x:v>141607</x:v>
      </x:c>
      <x:c r="D535" s="1" t="str">
        <x:v>q1glntz</x:v>
      </x:c>
      <x:c r="E535" s="1" t="str">
        <x:v>Garden</x:v>
      </x:c>
      <x:c r="F535" s="1" t="n">
        <x:v>2</x:v>
      </x:c>
      <x:c r="G535" s="1" t="n">
        <x:v>2</x:v>
      </x:c>
      <x:c r="H535" s="1" t="n">
        <x:v>1395</x:v>
      </x:c>
      <x:c r="I535" s="1" t="n">
        <x:v>1650</x:v>
      </x:c>
      <x:c r="J535" s="1" t="str">
        <x:v>$1,395 - $1,650</x:v>
      </x:c>
      <x:c r="K535" s="1" t="str">
        <x:v>$1,395 - $1,650</x:v>
      </x:c>
      <x:c r="L535" s="1" t="str">
        <x:v>false</x:v>
      </x:c>
      <x:c r="M535" s="1" t="str"/>
      <x:c r="N535" s="1" t="n">
        <x:v>1</x:v>
      </x:c>
      <x:c r="O535" s="1" t="str">
        <x:v>AvailableNow</x:v>
      </x:c>
      <x:c r="P535" s="1" t="str">
        <x:v>Rentals Available</x:v>
      </x:c>
      <x:c r="Q535" s="1" t="n">
        <x:v>25569.999988425927</x:v>
      </x:c>
      <x:c r="R535" s="1" t="str">
        <x:v>1395</x:v>
      </x:c>
      <x:c r="S535" s="1" t="str">
        <x:v>$1,395 - $2,790</x:v>
      </x:c>
      <x:c r="T535" s="1" t="str">
        <x:v>N/A</x:v>
      </x:c>
      <x:c r="U535" s="1" t="str">
        <x:v>N/A</x:v>
      </x:c>
      <x:c r="V535" s="1" t="str">
        <x:v>4</x:v>
      </x:c>
      <x:c r="W535" s="1" t="str"/>
      <x:c r="X535" s="1" t="str">
        <x:v>false</x:v>
      </x:c>
      <x:c r="Y535" s="1" t="str">
        <x:v>false</x:v>
      </x:c>
      <x:c r="Z535" s="1" t="str">
        <x:v>[]</x:v>
      </x:c>
    </x:row>
    <x:row r="536" ht="15" hidden="0" customHeight="1">
      <x:c r="A536" s="1" t="str">
        <x:v>ocpeg5yhcm</x:v>
      </x:c>
      <x:c r="B536" s="5" t="str">
        <x:v>Avery Close</x:v>
      </x:c>
      <x:c r="C536" s="1" t="str">
        <x:v>141608</x:v>
      </x:c>
      <x:c r="D536" s="1" t="str">
        <x:v>6eyrsht</x:v>
      </x:c>
      <x:c r="E536" s="1" t="str">
        <x:v>Townhouse</x:v>
      </x:c>
      <x:c r="F536" s="1" t="n">
        <x:v>2</x:v>
      </x:c>
      <x:c r="G536" s="1" t="n">
        <x:v>2.5</x:v>
      </x:c>
      <x:c r="H536" s="1" t="n">
        <x:v>1295</x:v>
      </x:c>
      <x:c r="I536" s="1" t="n">
        <x:v>1495</x:v>
      </x:c>
      <x:c r="J536" s="1" t="str">
        <x:v>$1,295 - $1,495</x:v>
      </x:c>
      <x:c r="K536" s="1" t="str">
        <x:v>$1,295 - $1,495</x:v>
      </x:c>
      <x:c r="L536" s="1" t="str">
        <x:v>false</x:v>
      </x:c>
      <x:c r="M536" s="1" t="str"/>
      <x:c r="N536" s="1" t="n">
        <x:v>1</x:v>
      </x:c>
      <x:c r="O536" s="1" t="str">
        <x:v>AvailableNow</x:v>
      </x:c>
      <x:c r="P536" s="1" t="str">
        <x:v>Rentals Available</x:v>
      </x:c>
      <x:c r="Q536" s="1" t="n">
        <x:v>25569.999988425927</x:v>
      </x:c>
      <x:c r="R536" s="1" t="str">
        <x:v>1295</x:v>
      </x:c>
      <x:c r="S536" s="1" t="str">
        <x:v>$1,295 - $2,590</x:v>
      </x:c>
      <x:c r="T536" s="1" t="str">
        <x:v>N/A</x:v>
      </x:c>
      <x:c r="U536" s="1" t="str">
        <x:v>N/A</x:v>
      </x:c>
      <x:c r="V536" s="1" t="str">
        <x:v>4</x:v>
      </x:c>
      <x:c r="W536" s="1" t="str"/>
      <x:c r="X536" s="1" t="str">
        <x:v>false</x:v>
      </x:c>
      <x:c r="Y536" s="1" t="str">
        <x:v>false</x:v>
      </x:c>
      <x:c r="Z536" s="1" t="str">
        <x:v>[]</x:v>
      </x:c>
    </x:row>
    <x:row r="537" ht="24" hidden="0" customHeight="1">
      <x:c r="A537" s="1" t="str">
        <x:v>ocpsnmx4w4</x:v>
      </x:c>
      <x:c r="B537" s="5" t="str">
        <x:v>"Avery Close " condos room available across from Centennial Campus NCSU NC State Raleigh</x:v>
      </x:c>
      <x:c r="C537" s="1" t="str">
        <x:v>1</x:v>
      </x:c>
      <x:c r="D537" s="1" t="str">
        <x:v>q2j0gkx</x:v>
      </x:c>
      <x:c r="E537" s="1" t="str"/>
      <x:c r="F537" s="1" t="n">
        <x:v>1</x:v>
      </x:c>
      <x:c r="G537" s="1" t="n">
        <x:v>1</x:v>
      </x:c>
      <x:c r="H537" s="1" t="n">
        <x:v>750</x:v>
      </x:c>
      <x:c r="I537" s="1" t="n">
        <x:v>750</x:v>
      </x:c>
      <x:c r="J537" s="1" t="str">
        <x:v>$750</x:v>
      </x:c>
      <x:c r="K537" s="1" t="str">
        <x:v>$750</x:v>
      </x:c>
      <x:c r="L537" s="1" t="str">
        <x:v>true</x:v>
      </x:c>
      <x:c r="M537" s="1" t="str">
        <x:v>1,200 sq. ft.</x:v>
      </x:c>
      <x:c r="N537" s="1" t="n">
        <x:v>1</x:v>
      </x:c>
      <x:c r="O537" s="1" t="str">
        <x:v>AvailableNow</x:v>
      </x:c>
      <x:c r="P537" s="1" t="str">
        <x:v>Rentals Available</x:v>
      </x:c>
      <x:c r="Q537" s="1" t="n">
        <x:v>46235.99998842592</x:v>
      </x:c>
      <x:c r="R537" s="1" t="str"/>
      <x:c r="S537" s="1" t="str"/>
      <x:c r="T537" s="1" t="str">
        <x:v>N/A</x:v>
      </x:c>
      <x:c r="U537" s="1" t="str">
        <x:v>N/A</x:v>
      </x:c>
      <x:c r="V537" s="1" t="str">
        <x:v>1</x:v>
      </x:c>
      <x:c r="W537" s="1" t="str"/>
      <x:c r="X537" s="1" t="str">
        <x:v>false</x:v>
      </x:c>
      <x:c r="Y537" s="1" t="str">
        <x:v>false</x:v>
      </x:c>
      <x:c r="Z537" s="1" t="str">
        <x:v>[]</x:v>
      </x:c>
    </x:row>
    <x:row r="538" ht="24" hidden="0" customHeight="1">
      <x:c r="A538" s="1" t="str">
        <x:v>ocp2k6k5g8</x:v>
      </x:c>
      <x:c r="B538" s="5" t="str">
        <x:v>Furnished Room for Rent (Between Central and Centennial Campus)</x:v>
      </x:c>
      <x:c r="C538" s="1" t="str">
        <x:v>1</x:v>
      </x:c>
      <x:c r="D538" s="1" t="str">
        <x:v>q2j0gkx</x:v>
      </x:c>
      <x:c r="E538" s="1" t="str"/>
      <x:c r="F538" s="1" t="n">
        <x:v>1</x:v>
      </x:c>
      <x:c r="G538" s="1" t="n">
        <x:v>1</x:v>
      </x:c>
      <x:c r="H538" s="1" t="n">
        <x:v>600</x:v>
      </x:c>
      <x:c r="I538" s="1" t="n">
        <x:v>600</x:v>
      </x:c>
      <x:c r="J538" s="1" t="str">
        <x:v>$600</x:v>
      </x:c>
      <x:c r="K538" s="1" t="str">
        <x:v>$600</x:v>
      </x:c>
      <x:c r="L538" s="1" t="str">
        <x:v>true</x:v>
      </x:c>
      <x:c r="M538" s="1" t="str">
        <x:v>1,200 sq. ft.</x:v>
      </x:c>
      <x:c r="N538" s="1" t="n">
        <x:v>1</x:v>
      </x:c>
      <x:c r="O538" s="1" t="str">
        <x:v>FutureDate</x:v>
      </x:c>
      <x:c r="P538" s="1" t="str">
        <x:v>Available Soon</x:v>
      </x:c>
      <x:c r="Q538" s="1" t="n">
        <x:v>46388.99998842592</x:v>
      </x:c>
      <x:c r="R538" s="1" t="str"/>
      <x:c r="S538" s="1" t="str"/>
      <x:c r="T538" s="1" t="str">
        <x:v>N/A</x:v>
      </x:c>
      <x:c r="U538" s="1" t="str">
        <x:v>N/A</x:v>
      </x:c>
      <x:c r="V538" s="1" t="str">
        <x:v>2</x:v>
      </x:c>
      <x:c r="W538" s="1" t="str"/>
      <x:c r="X538" s="1" t="str">
        <x:v>false</x:v>
      </x:c>
      <x:c r="Y538" s="1" t="str">
        <x:v>false</x:v>
      </x:c>
      <x:c r="Z538" s="1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d3a87fb128284ab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0" hidden="0" customWidth="1"/>
    <x:col min="3" max="3" width="22" hidden="0" customWidth="1"/>
    <x:col min="4" max="4" width="20" hidden="0" customWidth="1"/>
    <x:col min="5" max="5" width="20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90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</x:cols>
  <x:sheetData>
    <x:row r="1" ht="38" customHeight="1">
      <x:c r="A1" s="4" t="str">
        <x:v>Listing ID</x:v>
      </x:c>
      <x:c r="B1" s="4" t="str">
        <x:v>Listing name</x:v>
      </x:c>
      <x:c r="C1" s="4" t="str">
        <x:v>Source URL</x:v>
      </x:c>
      <x:c r="D1" s="4" t="str">
        <x:v>Original basis</x:v>
      </x:c>
      <x:c r="E1" s="4" t="str">
        <x:v>Reviewed basis</x:v>
      </x:c>
      <x:c r="F1" s="4" t="str">
        <x:v>Latitude</x:v>
      </x:c>
      <x:c r="G1" s="4" t="str">
        <x:v>Longitude</x:v>
      </x:c>
      <x:c r="H1" s="4" t="str">
        <x:v>Source low ($/mo)</x:v>
      </x:c>
      <x:c r="I1" s="4" t="str">
        <x:v>Source high ($/mo)</x:v>
      </x:c>
      <x:c r="J1" s="4" t="str">
        <x:v>Floor-plan low ($/mo)</x:v>
      </x:c>
      <x:c r="K1" s="4" t="str">
        <x:v>Floor-plan high ($/mo)</x:v>
      </x:c>
      <x:c r="L1" s="4" t="str">
        <x:v>Basis review flag</x:v>
      </x:c>
      <x:c r="M1" s="4" t="str">
        <x:v>Price mismatch flag</x:v>
      </x:c>
      <x:c r="N1" s="4" t="str">
        <x:v>Valid price pair</x:v>
      </x:c>
      <x:c r="O1" s="4" t="str">
        <x:v>Use price (1=yes)</x:v>
      </x:c>
      <x:c r="P1" s="4" t="str">
        <x:v>Main distance (mi)</x:v>
      </x:c>
      <x:c r="Q1" s="4" t="str">
        <x:v>Main band</x:v>
      </x:c>
      <x:c r="R1" s="4" t="str">
        <x:v>Centennial distance (mi)</x:v>
      </x:c>
      <x:c r="S1" s="4" t="str">
        <x:v>Centennial band</x:v>
      </x:c>
      <x:c r="T1" s="4" t="str">
        <x:v>Biomedical distance (mi)</x:v>
      </x:c>
      <x:c r="U1" s="4" t="str">
        <x:v>Biomedical band</x:v>
      </x:c>
      <x:c r="V1" s="4" t="str">
        <x:v>In combined 5 mi</x:v>
      </x:c>
      <x:c r="W1" s="4" t="str">
        <x:v>Included midpoint ($/mo)</x:v>
      </x:c>
      <x:c r="X1" s="4" t="str">
        <x:v>Use in combined mean</x:v>
      </x:c>
      <x:c r="Y1" s="4" t="str">
        <x:v>All plans 2027+</x:v>
      </x:c>
      <x:c r="Z1" s="4" t="str">
        <x:v>Waitlist mentioned</x:v>
      </x:c>
      <x:c r="AA1" s="4" t="str">
        <x:v>Endpoint review flag</x:v>
      </x:c>
      <x:c r="AB1" s="4" t="str">
        <x:v>All-in price differs</x:v>
      </x:c>
      <x:c r="AC1" s="4" t="str">
        <x:v>Source sublet flag</x:v>
      </x:c>
      <x:c r="AD1" s="4" t="str">
        <x:v>Source lease term</x:v>
      </x:c>
      <x:c r="AE1" s="4" t="str">
        <x:v>Earliest saved date</x:v>
      </x:c>
      <x:c r="AF1" s="4" t="str">
        <x:v>Price status</x:v>
      </x:c>
      <x:c r="AG1" s="4" t="str">
        <x:v>Review evidence / reason</x:v>
      </x:c>
      <x:c r="AH1" s="4" t="str">
        <x:v>Source rent display</x:v>
      </x:c>
      <x:c r="AI1" s="4" t="str">
        <x:v>Main edge (feet)</x:v>
      </x:c>
      <x:c r="AJ1" s="4" t="str">
        <x:v>Centennial edge (feet)</x:v>
      </x:c>
      <x:c r="AK1" s="4" t="str">
        <x:v>Biomedical edge (feet)</x:v>
      </x:c>
      <x:c r="AL1" s="4" t="str">
        <x:v>Within 100 feet of edge</x:v>
      </x:c>
    </x:row>
    <x:row r="2" ht="15" hidden="0" customHeight="1">
      <x:c r="A2" s="1" t="str">
        <x:f>IF('Raw properties'!A2="","",'Raw properties'!A2)</x:f>
        <x:v>kele8mc</x:v>
      </x:c>
      <x:c r="B2" s="1" t="str">
        <x:f>IF('Raw properties'!D2="","",'Raw properties'!D2)</x:f>
        <x:v>Lofts at Lakeview</x:v>
      </x:c>
      <x:c r="C2" s="1" t="str">
        <x:f>IF('Raw properties'!AG2="","",'Raw properties'!AG2)</x:f>
        <x:v>https://offcampus.dasa.ncsu.edu/housing/property/lofts-at-lakeview/kele8mc</x:v>
      </x:c>
      <x:c r="D2" s="1" t="str">
        <x:v>Whole unit</x:v>
      </x:c>
      <x:c r="E2" s="1" t="str">
        <x:v>Whole unit</x:v>
      </x:c>
      <x:c r="F2" s="7" t="n">
        <x:f>IF('Raw properties'!I2="","",'Raw properties'!I2)</x:f>
        <x:v>36.009311</x:v>
      </x:c>
      <x:c r="G2" s="7" t="n">
        <x:f>IF('Raw properties'!J2="","",'Raw properties'!J2)</x:f>
        <x:v>-78.94637</x:v>
      </x:c>
      <x:c r="H2" s="6" t="n">
        <x:f>IF('Raw properties'!M2="","",'Raw properties'!M2)</x:f>
        <x:v>1595</x:v>
      </x:c>
      <x:c r="I2" s="6" t="n">
        <x:f>IF('Raw properties'!N2="","",'Raw properties'!N2)</x:f>
        <x:v>2995</x:v>
      </x:c>
      <x:c r="J2" s="6" t="n">
        <x:f>IF((IF('Raw floorplans'!H2&gt;0,1,0)+IF('Raw floorplans'!H3&gt;0,1,0)+IF('Raw floorplans'!H4&gt;0,1,0)+IF('Raw floorplans'!H5&gt;0,1,0)+IF('Raw floorplans'!H6&gt;0,1,0)+IF('Raw floorplans'!H7&gt;0,1,0)+IF('Raw floorplans'!H8&gt;0,1,0)+IF('Raw floorplans'!H9&gt;0,1,0)+IF('Raw floorplans'!H10&gt;0,1,0)+IF('Raw floorplans'!H11&gt;0,1,0)+IF('Raw floorplans'!H12&gt;0,1,0)+IF('Raw floorplans'!H13&gt;0,1,0)+IF('Raw floorplans'!H14&gt;0,1,0)+IF('Raw floorplans'!H15&gt;0,1,0)+IF('Raw floorplans'!H16&gt;0,1,0)+IF('Raw floorplans'!H17&gt;0,1,0)+IF('Raw floorplans'!H18&gt;0,1,0)+IF('Raw floorplans'!H19&gt;0,1,0)+IF('Raw floorplans'!H20&gt;0,1,0)+IF('Raw floorplans'!H21&gt;0,1,0)+IF('Raw floorplans'!H22&gt;0,1,0)+IF('Raw floorplans'!H23&gt;0,1,0)+IF('Raw floorplans'!H24&gt;0,1,0))=0,"",MIN(IF('Raw floorplans'!H2&gt;0,'Raw floorplans'!H2,1E99),IF('Raw floorplans'!H3&gt;0,'Raw floorplans'!H3,1E99),IF('Raw floorplans'!H4&gt;0,'Raw floorplans'!H4,1E99),IF('Raw floorplans'!H5&gt;0,'Raw floorplans'!H5,1E99),IF('Raw floorplans'!H6&gt;0,'Raw floorplans'!H6,1E99),IF('Raw floorplans'!H7&gt;0,'Raw floorplans'!H7,1E99),IF('Raw floorplans'!H8&gt;0,'Raw floorplans'!H8,1E99),IF('Raw floorplans'!H9&gt;0,'Raw floorplans'!H9,1E99),IF('Raw floorplans'!H10&gt;0,'Raw floorplans'!H10,1E99),IF('Raw floorplans'!H11&gt;0,'Raw floorplans'!H11,1E99),IF('Raw floorplans'!H12&gt;0,'Raw floorplans'!H12,1E99),IF('Raw floorplans'!H13&gt;0,'Raw floorplans'!H13,1E99),IF('Raw floorplans'!H14&gt;0,'Raw floorplans'!H14,1E99),IF('Raw floorplans'!H15&gt;0,'Raw floorplans'!H15,1E99),IF('Raw floorplans'!H16&gt;0,'Raw floorplans'!H16,1E99),IF('Raw floorplans'!H17&gt;0,'Raw floorplans'!H17,1E99),IF('Raw floorplans'!H18&gt;0,'Raw floorplans'!H18,1E99),IF('Raw floorplans'!H19&gt;0,'Raw floorplans'!H19,1E99),IF('Raw floorplans'!H20&gt;0,'Raw floorplans'!H20,1E99),IF('Raw floorplans'!H21&gt;0,'Raw floorplans'!H21,1E99),IF('Raw floorplans'!H22&gt;0,'Raw floorplans'!H22,1E99),IF('Raw floorplans'!H23&gt;0,'Raw floorplans'!H23,1E99),IF('Raw floorplans'!H24&gt;0,'Raw floorplans'!H24,1E99)))</x:f>
        <x:v>1595</x:v>
      </x:c>
      <x:c r="K2" s="6" t="n">
        <x:f>IF((IF('Raw floorplans'!I2&gt;0,1,0)+IF('Raw floorplans'!I3&gt;0,1,0)+IF('Raw floorplans'!I4&gt;0,1,0)+IF('Raw floorplans'!I5&gt;0,1,0)+IF('Raw floorplans'!I6&gt;0,1,0)+IF('Raw floorplans'!I7&gt;0,1,0)+IF('Raw floorplans'!I8&gt;0,1,0)+IF('Raw floorplans'!I9&gt;0,1,0)+IF('Raw floorplans'!I10&gt;0,1,0)+IF('Raw floorplans'!I11&gt;0,1,0)+IF('Raw floorplans'!I12&gt;0,1,0)+IF('Raw floorplans'!I13&gt;0,1,0)+IF('Raw floorplans'!I14&gt;0,1,0)+IF('Raw floorplans'!I15&gt;0,1,0)+IF('Raw floorplans'!I16&gt;0,1,0)+IF('Raw floorplans'!I17&gt;0,1,0)+IF('Raw floorplans'!I18&gt;0,1,0)+IF('Raw floorplans'!I19&gt;0,1,0)+IF('Raw floorplans'!I20&gt;0,1,0)+IF('Raw floorplans'!I21&gt;0,1,0)+IF('Raw floorplans'!I22&gt;0,1,0)+IF('Raw floorplans'!I23&gt;0,1,0)+IF('Raw floorplans'!I24&gt;0,1,0))=0,"",MAX(IF('Raw floorplans'!I2&gt;0,'Raw floorplans'!I2,0),IF('Raw floorplans'!I3&gt;0,'Raw floorplans'!I3,0),IF('Raw floorplans'!I4&gt;0,'Raw floorplans'!I4,0),IF('Raw floorplans'!I5&gt;0,'Raw floorplans'!I5,0),IF('Raw floorplans'!I6&gt;0,'Raw floorplans'!I6,0),IF('Raw floorplans'!I7&gt;0,'Raw floorplans'!I7,0),IF('Raw floorplans'!I8&gt;0,'Raw floorplans'!I8,0),IF('Raw floorplans'!I9&gt;0,'Raw floorplans'!I9,0),IF('Raw floorplans'!I10&gt;0,'Raw floorplans'!I10,0),IF('Raw floorplans'!I11&gt;0,'Raw floorplans'!I11,0),IF('Raw floorplans'!I12&gt;0,'Raw floorplans'!I12,0),IF('Raw floorplans'!I13&gt;0,'Raw floorplans'!I13,0),IF('Raw floorplans'!I14&gt;0,'Raw floorplans'!I14,0),IF('Raw floorplans'!I15&gt;0,'Raw floorplans'!I15,0),IF('Raw floorplans'!I16&gt;0,'Raw floorplans'!I16,0),IF('Raw floorplans'!I17&gt;0,'Raw floorplans'!I17,0),IF('Raw floorplans'!I18&gt;0,'Raw floorplans'!I18,0),IF('Raw floorplans'!I19&gt;0,'Raw floorplans'!I19,0),IF('Raw floorplans'!I20&gt;0,'Raw floorplans'!I20,0),IF('Raw floorplans'!I21&gt;0,'Raw floorplans'!I21,0),IF('Raw floorplans'!I22&gt;0,'Raw floorplans'!I22,0),IF('Raw floorplans'!I23&gt;0,'Raw floorplans'!I23,0),IF('Raw floorplans'!I24&gt;0,'Raw floorplans'!I24,0)))</x:f>
        <x:v>2995</x:v>
      </x:c>
      <x:c r="L2" s="1" t="n">
        <x:v>0</x:v>
      </x:c>
      <x:c r="M2" s="1" t="n">
        <x:f>IF(AND(ISNUMBER(H2),ISNUMBER(I2),ISNUMBER(J2),ISNUMBER(K2),H2&gt;0,I2&gt;0),IF(OR(H2&lt;&gt;J2,I2&lt;&gt;K2),1,0),0)</x:f>
        <x:v>0</x:v>
      </x:c>
      <x:c r="N2" s="1" t="n">
        <x:f>IF(AND(ISNUMBER(H2),ISNUMBER(I2),H2&gt;0,I2&gt;=H2),1,0)</x:f>
        <x:v>1</x:v>
      </x:c>
      <x:c r="O2" s="1" t="n">
        <x:f>IF(AND(L2=0,M2=0,N2=1),1,0)</x:f>
        <x:v>1</x:v>
      </x:c>
      <x:c r="P2" s="7" t="n">
        <x:f>2*3958.7613*ASIN(SQRT(SIN(RADIANS(F2-35.77951)/2)^2+COS(RADIANS(35.77951))*COS(RADIANS(F2))*SIN(RADIANS(G2-(-78.68168))/2)^2))</x:f>
        <x:v>21.716273750140523</x:v>
      </x:c>
      <x:c r="Q2" s="1" t="str">
        <x:f>IF(P2&lt;=1,"0–1 mi",IF(P2&lt;=3,"&gt;1–3 mi",IF(P2&lt;=5,"&gt;3–5 mi","Outside 5 mi")))</x:f>
        <x:v>Outside 5 mi</x:v>
      </x:c>
      <x:c r="R2" s="7" t="n">
        <x:f>2*3958.7613*ASIN(SQRT(SIN(RADIANS(F2-35.7687)/2)^2+COS(RADIANS(35.7687))*COS(RADIANS(F2))*SIN(RADIANS(G2-(-78.6775))/2)^2))</x:f>
        <x:v>22.425224032243722</x:v>
      </x:c>
      <x:c r="S2" s="1" t="str">
        <x:f>IF(R2&lt;=1,"0–1 mi",IF(R2&lt;=3,"&gt;1–3 mi",IF(R2&lt;=5,"&gt;3–5 mi","Outside 5 mi")))</x:f>
        <x:v>Outside 5 mi</x:v>
      </x:c>
      <x:c r="T2" s="7" t="n">
        <x:f>2*3958.7613*ASIN(SQRT(SIN(RADIANS(F2-35.79847)/2)^2+COS(RADIANS(35.79847))*COS(RADIANS(F2))*SIN(RADIANS(G2-(-78.70408))/2)^2))</x:f>
        <x:v>19.90201780848202</x:v>
      </x:c>
      <x:c r="U2" s="1" t="str">
        <x:f>IF(T2&lt;=1,"0–1 mi",IF(T2&lt;=3,"&gt;1–3 mi",IF(T2&lt;=5,"&gt;3–5 mi","Outside 5 mi")))</x:f>
        <x:v>Outside 5 mi</x:v>
      </x:c>
      <x:c r="V2" s="1" t="n">
        <x:f>IF(MIN(P2,R2,T2)&lt;=5,1,0)</x:f>
        <x:v>0</x:v>
      </x:c>
      <x:c r="W2" s="6" t="n">
        <x:f>IF(O2=1,(H2+I2)/2,"")</x:f>
        <x:v>2295</x:v>
      </x:c>
      <x:c r="X2" s="1" t="n">
        <x:f>O2*V2</x:f>
        <x:v>0</x:v>
      </x:c>
      <x:c r="Y2" s="1" t="n">
        <x:v>0</x:v>
      </x:c>
      <x:c r="Z2" s="1" t="n">
        <x:v>0</x:v>
      </x:c>
      <x:c r="AA2" s="1" t="n">
        <x:v>0</x:v>
      </x:c>
      <x:c r="AB2" s="1" t="n">
        <x:v>1</x:v>
      </x:c>
      <x:c r="AC2" s="1" t="n">
        <x:v>0</x:v>
      </x:c>
      <x:c r="AD2" s="1" t="str">
        <x:f>IF('Raw properties'!Y2="","",'Raw properties'!Y2)</x:f>
        <x:v>12 Month Lease</x:v>
      </x:c>
      <x:c r="AE2" s="1" t="str">
        <x:v>2023-05-31</x:v>
      </x:c>
      <x:c r="AF2" s="1" t="str">
        <x:v>Included in rent means</x:v>
      </x:c>
      <x:c r="AG2" s="5" t="str">
        <x:v>Source pricing flag retained; automated consistency checks passed. This is not independent landlord verification.</x:v>
      </x:c>
      <x:c r="AH2" s="1" t="str">
        <x:v>$1,595 - $2,995</x:v>
      </x:c>
      <x:c r="AI2" s="8" t="n">
        <x:f>MIN(ABS(P2-1),ABS(P2-3),ABS(P2-5))*5280</x:f>
        <x:v>88261.92540074197</x:v>
      </x:c>
      <x:c r="AJ2" s="8" t="n">
        <x:f>MIN(ABS(R2-1),ABS(R2-3),ABS(R2-5))*5280</x:f>
        <x:v>92005.18289024686</x:v>
      </x:c>
      <x:c r="AK2" s="8" t="n">
        <x:f>MIN(ABS(T2-1),ABS(T2-3),ABS(T2-5))*5280</x:f>
        <x:v>78682.65402878508</x:v>
      </x:c>
      <x:c r="AL2" s="1" t="n">
        <x:f>IF(MIN(AI2,AJ2,AK2)&lt;=100,1,0)</x:f>
        <x:v>0</x:v>
      </x:c>
    </x:row>
    <x:row r="3" ht="15" hidden="0" customHeight="1">
      <x:c r="A3" s="1" t="str">
        <x:f>IF('Raw properties'!A3="","",'Raw properties'!A3)</x:f>
        <x:v>ocpet5b7hm</x:v>
      </x:c>
      <x:c r="B3" s="1" t="str">
        <x:f>IF('Raw properties'!D3="","",'Raw properties'!D3)</x:f>
        <x:v>Modern/High Ceilings 2bed/2 bath</x:v>
      </x:c>
      <x:c r="C3" s="1" t="str">
        <x:f>IF('Raw properties'!AG3="","",'Raw properties'!AG3)</x:f>
        <x:v>https://offcampus.dasa.ncsu.edu/housing/property/modern-high-ceilings-2bed-2-bath/ocpet5b7hm</x:v>
      </x:c>
      <x:c r="D3" s="1" t="str">
        <x:v>Per bedroom</x:v>
      </x:c>
      <x:c r="E3" s="1" t="str">
        <x:v>Per bedroom</x:v>
      </x:c>
      <x:c r="F3" s="7" t="n">
        <x:f>IF('Raw properties'!I3="","",'Raw properties'!I3)</x:f>
        <x:v>35.787311</x:v>
      </x:c>
      <x:c r="G3" s="7" t="n">
        <x:f>IF('Raw properties'!J3="","",'Raw properties'!J3)</x:f>
        <x:v>-78.666093</x:v>
      </x:c>
      <x:c r="H3" s="6" t="n">
        <x:f>IF('Raw properties'!M3="","",'Raw properties'!M3)</x:f>
        <x:v>1250</x:v>
      </x:c>
      <x:c r="I3" s="6" t="n">
        <x:f>IF('Raw properties'!N3="","",'Raw properties'!N3)</x:f>
        <x:v>1250</x:v>
      </x:c>
      <x:c r="J3" s="6" t="n">
        <x:f>IF((IF('Raw floorplans'!H25&gt;0,1,0))=0,"",MIN(IF('Raw floorplans'!H25&gt;0,'Raw floorplans'!H25,1E99)))</x:f>
        <x:v>1250</x:v>
      </x:c>
      <x:c r="K3" s="6" t="n">
        <x:f>IF((IF('Raw floorplans'!I25&gt;0,1,0))=0,"",MAX(IF('Raw floorplans'!I25&gt;0,'Raw floorplans'!I25,0)))</x:f>
        <x:v>1250</x:v>
      </x:c>
      <x:c r="L3" s="1" t="n">
        <x:v>0</x:v>
      </x:c>
      <x:c r="M3" s="1" t="n">
        <x:f>IF(AND(ISNUMBER(H3),ISNUMBER(I3),ISNUMBER(J3),ISNUMBER(K3),H3&gt;0,I3&gt;0),IF(OR(H3&lt;&gt;J3,I3&lt;&gt;K3),1,0),0)</x:f>
        <x:v>0</x:v>
      </x:c>
      <x:c r="N3" s="1" t="n">
        <x:f>IF(AND(ISNUMBER(H3),ISNUMBER(I3),H3&gt;0,I3&gt;=H3),1,0)</x:f>
        <x:v>1</x:v>
      </x:c>
      <x:c r="O3" s="1" t="n">
        <x:f>IF(AND(L3=0,M3=0,N3=1),1,0)</x:f>
        <x:v>1</x:v>
      </x:c>
      <x:c r="P3" s="7" t="n">
        <x:f>2*3958.7613*ASIN(SQRT(SIN(RADIANS(F3-35.77951)/2)^2+COS(RADIANS(35.77951))*COS(RADIANS(F3))*SIN(RADIANS(G3-(-78.68168))/2)^2))</x:f>
        <x:v>1.0265520051791366</x:v>
      </x:c>
      <x:c r="Q3" s="1" t="str">
        <x:f>IF(P3&lt;=1,"0–1 mi",IF(P3&lt;=3,"&gt;1–3 mi",IF(P3&lt;=5,"&gt;3–5 mi","Outside 5 mi")))</x:f>
        <x:v>&gt;1–3 mi</x:v>
      </x:c>
      <x:c r="R3" s="7" t="n">
        <x:f>2*3958.7613*ASIN(SQRT(SIN(RADIANS(F3-35.7687)/2)^2+COS(RADIANS(35.7687))*COS(RADIANS(F3))*SIN(RADIANS(G3-(-78.6775))/2)^2))</x:f>
        <x:v>1.4361006961394907</x:v>
      </x:c>
      <x:c r="S3" s="1" t="str">
        <x:f>IF(R3&lt;=1,"0–1 mi",IF(R3&lt;=3,"&gt;1–3 mi",IF(R3&lt;=5,"&gt;3–5 mi","Outside 5 mi")))</x:f>
        <x:v>&gt;1–3 mi</x:v>
      </x:c>
      <x:c r="T3" s="7" t="n">
        <x:f>2*3958.7613*ASIN(SQRT(SIN(RADIANS(F3-35.79847)/2)^2+COS(RADIANS(35.79847))*COS(RADIANS(F3))*SIN(RADIANS(G3-(-78.70408))/2)^2))</x:f>
        <x:v>2.2642641228122655</x:v>
      </x:c>
      <x:c r="U3" s="1" t="str">
        <x:f>IF(T3&lt;=1,"0–1 mi",IF(T3&lt;=3,"&gt;1–3 mi",IF(T3&lt;=5,"&gt;3–5 mi","Outside 5 mi")))</x:f>
        <x:v>&gt;1–3 mi</x:v>
      </x:c>
      <x:c r="V3" s="1" t="n">
        <x:f>IF(MIN(P3,R3,T3)&lt;=5,1,0)</x:f>
        <x:v>1</x:v>
      </x:c>
      <x:c r="W3" s="6" t="n">
        <x:f>IF(O3=1,(H3+I3)/2,"")</x:f>
        <x:v>1250</x:v>
      </x:c>
      <x:c r="X3" s="1" t="n">
        <x:f>O3*V3</x:f>
        <x:v>1</x:v>
      </x:c>
      <x:c r="Y3" s="1" t="n">
        <x:v>0</x:v>
      </x:c>
      <x:c r="Z3" s="1" t="n">
        <x:v>0</x:v>
      </x:c>
      <x:c r="AA3" s="1" t="n">
        <x:v>0</x:v>
      </x:c>
      <x:c r="AB3" s="1" t="n">
        <x:v>0</x:v>
      </x:c>
      <x:c r="AC3" s="1" t="n">
        <x:v>0</x:v>
      </x:c>
      <x:c r="AD3" s="1" t="str">
        <x:f>IF('Raw properties'!Y3="","",'Raw properties'!Y3)</x:f>
        <x:v>6 Month Lease</x:v>
      </x:c>
      <x:c r="AE3" s="1" t="str">
        <x:v>2026-07-07</x:v>
      </x:c>
      <x:c r="AF3" s="1" t="str">
        <x:v>Included in rent means</x:v>
      </x:c>
      <x:c r="AG3" s="5" t="str">
        <x:v>Source pricing flag retained; automated consistency checks passed. This is not independent landlord verification.</x:v>
      </x:c>
      <x:c r="AH3" s="1" t="str">
        <x:v>$1,250</x:v>
      </x:c>
      <x:c r="AI3" s="8" t="n">
        <x:f>MIN(ABS(P3-1),ABS(P3-3),ABS(P3-5))*5280</x:f>
        <x:v>140.19458734584117</x:v>
      </x:c>
      <x:c r="AJ3" s="8" t="n">
        <x:f>MIN(ABS(R3-1),ABS(R3-3),ABS(R3-5))*5280</x:f>
        <x:v>2302.6116756165106</x:v>
      </x:c>
      <x:c r="AK3" s="8" t="n">
        <x:f>MIN(ABS(T3-1),ABS(T3-3),ABS(T3-5))*5280</x:f>
        <x:v>3884.6854315512383</x:v>
      </x:c>
      <x:c r="AL3" s="1" t="n">
        <x:f>IF(MIN(AI3,AJ3,AK3)&lt;=100,1,0)</x:f>
        <x:v>0</x:v>
      </x:c>
    </x:row>
    <x:row r="4" ht="15" hidden="0" customHeight="1">
      <x:c r="A4" s="1" t="str">
        <x:f>IF('Raw properties'!A4="","",'Raw properties'!A4)</x:f>
        <x:v>59xvx3n</x:v>
      </x:c>
      <x:c r="B4" s="1" t="str">
        <x:f>IF('Raw properties'!D4="","",'Raw properties'!D4)</x:f>
        <x:v>Aventura RTP</x:v>
      </x:c>
      <x:c r="C4" s="1" t="str">
        <x:f>IF('Raw properties'!AG4="","",'Raw properties'!AG4)</x:f>
        <x:v>https://offcampus.dasa.ncsu.edu/housing/property/aventura-rtp/59xvx3n</x:v>
      </x:c>
      <x:c r="D4" s="1" t="str">
        <x:v>Whole unit</x:v>
      </x:c>
      <x:c r="E4" s="1" t="str">
        <x:v>Whole unit</x:v>
      </x:c>
      <x:c r="F4" s="7" t="n">
        <x:f>IF('Raw properties'!I4="","",'Raw properties'!I4)</x:f>
        <x:v>35.894098</x:v>
      </x:c>
      <x:c r="G4" s="7" t="n">
        <x:f>IF('Raw properties'!J4="","",'Raw properties'!J4)</x:f>
        <x:v>-78.846917</x:v>
      </x:c>
      <x:c r="H4" s="6" t="n">
        <x:f>IF('Raw properties'!M4="","",'Raw properties'!M4)</x:f>
        <x:v>1149</x:v>
      </x:c>
      <x:c r="I4" s="6" t="n">
        <x:f>IF('Raw properties'!N4="","",'Raw properties'!N4)</x:f>
        <x:v>1946</x:v>
      </x:c>
      <x:c r="J4" s="6" t="n">
        <x:f>IF((IF('Raw floorplans'!H26&gt;0,1,0)+IF('Raw floorplans'!H27&gt;0,1,0)+IF('Raw floorplans'!H28&gt;0,1,0)+IF('Raw floorplans'!H29&gt;0,1,0)+IF('Raw floorplans'!H30&gt;0,1,0)+IF('Raw floorplans'!H31&gt;0,1,0)+IF('Raw floorplans'!H32&gt;0,1,0)+IF('Raw floorplans'!H33&gt;0,1,0)+IF('Raw floorplans'!H34&gt;0,1,0))=0,"",MIN(IF('Raw floorplans'!H26&gt;0,'Raw floorplans'!H26,1E99),IF('Raw floorplans'!H27&gt;0,'Raw floorplans'!H27,1E99),IF('Raw floorplans'!H28&gt;0,'Raw floorplans'!H28,1E99),IF('Raw floorplans'!H29&gt;0,'Raw floorplans'!H29,1E99),IF('Raw floorplans'!H30&gt;0,'Raw floorplans'!H30,1E99),IF('Raw floorplans'!H31&gt;0,'Raw floorplans'!H31,1E99),IF('Raw floorplans'!H32&gt;0,'Raw floorplans'!H32,1E99),IF('Raw floorplans'!H33&gt;0,'Raw floorplans'!H33,1E99),IF('Raw floorplans'!H34&gt;0,'Raw floorplans'!H34,1E99)))</x:f>
        <x:v>1149</x:v>
      </x:c>
      <x:c r="K4" s="6" t="n">
        <x:f>IF((IF('Raw floorplans'!I26&gt;0,1,0)+IF('Raw floorplans'!I27&gt;0,1,0)+IF('Raw floorplans'!I28&gt;0,1,0)+IF('Raw floorplans'!I29&gt;0,1,0)+IF('Raw floorplans'!I30&gt;0,1,0)+IF('Raw floorplans'!I31&gt;0,1,0)+IF('Raw floorplans'!I32&gt;0,1,0)+IF('Raw floorplans'!I33&gt;0,1,0)+IF('Raw floorplans'!I34&gt;0,1,0))=0,"",MAX(IF('Raw floorplans'!I26&gt;0,'Raw floorplans'!I26,0),IF('Raw floorplans'!I27&gt;0,'Raw floorplans'!I27,0),IF('Raw floorplans'!I28&gt;0,'Raw floorplans'!I28,0),IF('Raw floorplans'!I29&gt;0,'Raw floorplans'!I29,0),IF('Raw floorplans'!I30&gt;0,'Raw floorplans'!I30,0),IF('Raw floorplans'!I31&gt;0,'Raw floorplans'!I31,0),IF('Raw floorplans'!I32&gt;0,'Raw floorplans'!I32,0),IF('Raw floorplans'!I33&gt;0,'Raw floorplans'!I33,0),IF('Raw floorplans'!I34&gt;0,'Raw floorplans'!I34,0)))</x:f>
        <x:v>1946</x:v>
      </x:c>
      <x:c r="L4" s="1" t="n">
        <x:v>0</x:v>
      </x:c>
      <x:c r="M4" s="1" t="n">
        <x:f>IF(AND(ISNUMBER(H4),ISNUMBER(I4),ISNUMBER(J4),ISNUMBER(K4),H4&gt;0,I4&gt;0),IF(OR(H4&lt;&gt;J4,I4&lt;&gt;K4),1,0),0)</x:f>
        <x:v>0</x:v>
      </x:c>
      <x:c r="N4" s="1" t="n">
        <x:f>IF(AND(ISNUMBER(H4),ISNUMBER(I4),H4&gt;0,I4&gt;=H4),1,0)</x:f>
        <x:v>1</x:v>
      </x:c>
      <x:c r="O4" s="1" t="n">
        <x:f>IF(AND(L4=0,M4=0,N4=1),1,0)</x:f>
        <x:v>1</x:v>
      </x:c>
      <x:c r="P4" s="7" t="n">
        <x:f>2*3958.7613*ASIN(SQRT(SIN(RADIANS(F4-35.77951)/2)^2+COS(RADIANS(35.77951))*COS(RADIANS(F4))*SIN(RADIANS(G4-(-78.68168))/2)^2))</x:f>
        <x:v>12.17976133557439</x:v>
      </x:c>
      <x:c r="Q4" s="1" t="str">
        <x:f>IF(P4&lt;=1,"0–1 mi",IF(P4&lt;=3,"&gt;1–3 mi",IF(P4&lt;=5,"&gt;3–5 mi","Outside 5 mi")))</x:f>
        <x:v>Outside 5 mi</x:v>
      </x:c>
      <x:c r="R4" s="7" t="n">
        <x:f>2*3958.7613*ASIN(SQRT(SIN(RADIANS(F4-35.7687)/2)^2+COS(RADIANS(35.7687))*COS(RADIANS(F4))*SIN(RADIANS(G4-(-78.6775))/2)^2))</x:f>
        <x:v>12.850384956527565</x:v>
      </x:c>
      <x:c r="S4" s="1" t="str">
        <x:f>IF(R4&lt;=1,"0–1 mi",IF(R4&lt;=3,"&gt;1–3 mi",IF(R4&lt;=5,"&gt;3–5 mi","Outside 5 mi")))</x:f>
        <x:v>Outside 5 mi</x:v>
      </x:c>
      <x:c r="T4" s="7" t="n">
        <x:f>2*3958.7613*ASIN(SQRT(SIN(RADIANS(F4-35.79847)/2)^2+COS(RADIANS(35.79847))*COS(RADIANS(F4))*SIN(RADIANS(G4-(-78.70408))/2)^2))</x:f>
        <x:v>10.375583168759915</x:v>
      </x:c>
      <x:c r="U4" s="1" t="str">
        <x:f>IF(T4&lt;=1,"0–1 mi",IF(T4&lt;=3,"&gt;1–3 mi",IF(T4&lt;=5,"&gt;3–5 mi","Outside 5 mi")))</x:f>
        <x:v>Outside 5 mi</x:v>
      </x:c>
      <x:c r="V4" s="1" t="n">
        <x:f>IF(MIN(P4,R4,T4)&lt;=5,1,0)</x:f>
        <x:v>0</x:v>
      </x:c>
      <x:c r="W4" s="6" t="n">
        <x:f>IF(O4=1,(H4+I4)/2,"")</x:f>
        <x:v>1547.5</x:v>
      </x:c>
      <x:c r="X4" s="1" t="n">
        <x:f>O4*V4</x:f>
        <x:v>0</x:v>
      </x:c>
      <x:c r="Y4" s="1" t="n">
        <x:v>0</x:v>
      </x:c>
      <x:c r="Z4" s="1" t="n">
        <x:v>0</x:v>
      </x:c>
      <x:c r="AA4" s="1" t="n">
        <x:v>0</x:v>
      </x:c>
      <x:c r="AB4" s="1" t="n">
        <x:v>1</x:v>
      </x:c>
      <x:c r="AC4" s="1" t="n">
        <x:v>0</x:v>
      </x:c>
      <x:c r="AD4" s="1" t="str">
        <x:f>IF('Raw properties'!Y4="","",'Raw properties'!Y4)</x:f>
      </x:c>
      <x:c r="AE4" s="1" t="str">
        <x:v>2026-05-18</x:v>
      </x:c>
      <x:c r="AF4" s="1" t="str">
        <x:v>Included in rent means</x:v>
      </x:c>
      <x:c r="AG4" s="5" t="str">
        <x:v>Source pricing flag retained; automated consistency checks passed. This is not independent landlord verification.</x:v>
      </x:c>
      <x:c r="AH4" s="1" t="str">
        <x:v>$1,149 - $1,946</x:v>
      </x:c>
      <x:c r="AI4" s="8" t="n">
        <x:f>MIN(ABS(P4-1),ABS(P4-3),ABS(P4-5))*5280</x:f>
        <x:v>37909.139851832784</x:v>
      </x:c>
      <x:c r="AJ4" s="8" t="n">
        <x:f>MIN(ABS(R4-1),ABS(R4-3),ABS(R4-5))*5280</x:f>
        <x:v>41450.03257046554</x:v>
      </x:c>
      <x:c r="AK4" s="8" t="n">
        <x:f>MIN(ABS(T4-1),ABS(T4-3),ABS(T4-5))*5280</x:f>
        <x:v>28383.079131052353</x:v>
      </x:c>
      <x:c r="AL4" s="1" t="n">
        <x:f>IF(MIN(AI4,AJ4,AK4)&lt;=100,1,0)</x:f>
        <x:v>0</x:v>
      </x:c>
    </x:row>
    <x:row r="5" ht="15" hidden="0" customHeight="1">
      <x:c r="A5" s="1" t="str">
        <x:f>IF('Raw properties'!A5="","",'Raw properties'!A5)</x:f>
        <x:v>ocpvcjy8we</x:v>
      </x:c>
      <x:c r="B5" s="1" t="str">
        <x:f>IF('Raw properties'!D5="","",'Raw properties'!D5)</x:f>
        <x:v>Rare 4 bedroom 4 full bath only $2200. per month</x:v>
      </x:c>
      <x:c r="C5" s="1" t="str">
        <x:f>IF('Raw properties'!AG5="","",'Raw properties'!AG5)</x:f>
        <x:v>https://offcampus.dasa.ncsu.edu/housing/property/rare-4-bedroom-4-full-bath-only-2200-per-month/ocpvcjy8we</x:v>
      </x:c>
      <x:c r="D5" s="1" t="str">
        <x:v>Whole unit</x:v>
      </x:c>
      <x:c r="E5" s="1" t="str">
        <x:v>Whole unit</x:v>
      </x:c>
      <x:c r="F5" s="7" t="n">
        <x:f>IF('Raw properties'!I5="","",'Raw properties'!I5)</x:f>
        <x:v>35.762584</x:v>
      </x:c>
      <x:c r="G5" s="7" t="n">
        <x:f>IF('Raw properties'!J5="","",'Raw properties'!J5)</x:f>
        <x:v>-78.703352</x:v>
      </x:c>
      <x:c r="H5" s="6" t="n">
        <x:f>IF('Raw properties'!M5="","",'Raw properties'!M5)</x:f>
        <x:v>2200</x:v>
      </x:c>
      <x:c r="I5" s="6" t="n">
        <x:f>IF('Raw properties'!N5="","",'Raw properties'!N5)</x:f>
        <x:v>2200</x:v>
      </x:c>
      <x:c r="J5" s="6" t="n">
        <x:f>IF((IF('Raw floorplans'!H35&gt;0,1,0))=0,"",MIN(IF('Raw floorplans'!H35&gt;0,'Raw floorplans'!H35,1E99)))</x:f>
        <x:v>2200</x:v>
      </x:c>
      <x:c r="K5" s="6" t="n">
        <x:f>IF((IF('Raw floorplans'!I35&gt;0,1,0))=0,"",MAX(IF('Raw floorplans'!I35&gt;0,'Raw floorplans'!I35,0)))</x:f>
        <x:v>2200</x:v>
      </x:c>
      <x:c r="L5" s="1" t="n">
        <x:v>0</x:v>
      </x:c>
      <x:c r="M5" s="1" t="n">
        <x:f>IF(AND(ISNUMBER(H5),ISNUMBER(I5),ISNUMBER(J5),ISNUMBER(K5),H5&gt;0,I5&gt;0),IF(OR(H5&lt;&gt;J5,I5&lt;&gt;K5),1,0),0)</x:f>
        <x:v>0</x:v>
      </x:c>
      <x:c r="N5" s="1" t="n">
        <x:f>IF(AND(ISNUMBER(H5),ISNUMBER(I5),H5&gt;0,I5&gt;=H5),1,0)</x:f>
        <x:v>1</x:v>
      </x:c>
      <x:c r="O5" s="1" t="n">
        <x:f>IF(AND(L5=0,M5=0,N5=1),1,0)</x:f>
        <x:v>1</x:v>
      </x:c>
      <x:c r="P5" s="7" t="n">
        <x:f>2*3958.7613*ASIN(SQRT(SIN(RADIANS(F5-35.77951)/2)^2+COS(RADIANS(35.77951))*COS(RADIANS(F5))*SIN(RADIANS(G5-(-78.68168))/2)^2))</x:f>
        <x:v>1.6863306662969326</x:v>
      </x:c>
      <x:c r="Q5" s="1" t="str">
        <x:f>IF(P5&lt;=1,"0–1 mi",IF(P5&lt;=3,"&gt;1–3 mi",IF(P5&lt;=5,"&gt;3–5 mi","Outside 5 mi")))</x:f>
        <x:v>&gt;1–3 mi</x:v>
      </x:c>
      <x:c r="R5" s="7" t="n">
        <x:f>2*3958.7613*ASIN(SQRT(SIN(RADIANS(F5-35.7687)/2)^2+COS(RADIANS(35.7687))*COS(RADIANS(F5))*SIN(RADIANS(G5-(-78.6775))/2)^2))</x:f>
        <x:v>1.5096980382585932</x:v>
      </x:c>
      <x:c r="S5" s="1" t="str">
        <x:f>IF(R5&lt;=1,"0–1 mi",IF(R5&lt;=3,"&gt;1–3 mi",IF(R5&lt;=5,"&gt;3–5 mi","Outside 5 mi")))</x:f>
        <x:v>&gt;1–3 mi</x:v>
      </x:c>
      <x:c r="T5" s="7" t="n">
        <x:f>2*3958.7613*ASIN(SQRT(SIN(RADIANS(F5-35.79847)/2)^2+COS(RADIANS(35.79847))*COS(RADIANS(F5))*SIN(RADIANS(G5-(-78.70408))/2)^2))</x:f>
        <x:v>2.479822200584991</x:v>
      </x:c>
      <x:c r="U5" s="1" t="str">
        <x:f>IF(T5&lt;=1,"0–1 mi",IF(T5&lt;=3,"&gt;1–3 mi",IF(T5&lt;=5,"&gt;3–5 mi","Outside 5 mi")))</x:f>
        <x:v>&gt;1–3 mi</x:v>
      </x:c>
      <x:c r="V5" s="1" t="n">
        <x:f>IF(MIN(P5,R5,T5)&lt;=5,1,0)</x:f>
        <x:v>1</x:v>
      </x:c>
      <x:c r="W5" s="6" t="n">
        <x:f>IF(O5=1,(H5+I5)/2,"")</x:f>
        <x:v>2200</x:v>
      </x:c>
      <x:c r="X5" s="1" t="n">
        <x:f>O5*V5</x:f>
        <x:v>1</x:v>
      </x:c>
      <x:c r="Y5" s="1" t="n">
        <x:v>1</x:v>
      </x:c>
      <x:c r="Z5" s="1" t="n">
        <x:v>0</x:v>
      </x:c>
      <x:c r="AA5" s="1" t="n">
        <x:v>0</x:v>
      </x:c>
      <x:c r="AB5" s="1" t="n">
        <x:v>0</x:v>
      </x:c>
      <x:c r="AC5" s="1" t="n">
        <x:v>0</x:v>
      </x:c>
      <x:c r="AD5" s="1" t="str">
        <x:f>IF('Raw properties'!Y5="","",'Raw properties'!Y5)</x:f>
        <x:v>12 Month Lease</x:v>
      </x:c>
      <x:c r="AE5" s="1" t="str">
        <x:v>2027-08-05</x:v>
      </x:c>
      <x:c r="AF5" s="1" t="str">
        <x:v>Included in rent means</x:v>
      </x:c>
      <x:c r="AG5" s="5" t="str">
        <x:v>Source pricing flag retained; automated consistency checks passed. This is not independent landlord verification.</x:v>
      </x:c>
      <x:c r="AH5" s="1" t="str">
        <x:v>$2,200</x:v>
      </x:c>
      <x:c r="AI5" s="8" t="n">
        <x:f>MIN(ABS(P5-1),ABS(P5-3),ABS(P5-5))*5280</x:f>
        <x:v>3623.8259180478044</x:v>
      </x:c>
      <x:c r="AJ5" s="8" t="n">
        <x:f>MIN(ABS(R5-1),ABS(R5-3),ABS(R5-5))*5280</x:f>
        <x:v>2691.205642005372</x:v>
      </x:c>
      <x:c r="AK5" s="8" t="n">
        <x:f>MIN(ABS(T5-1),ABS(T5-3),ABS(T5-5))*5280</x:f>
        <x:v>2746.5387809112485</x:v>
      </x:c>
      <x:c r="AL5" s="1" t="n">
        <x:f>IF(MIN(AI5,AJ5,AK5)&lt;=100,1,0)</x:f>
        <x:v>0</x:v>
      </x:c>
    </x:row>
    <x:row r="6" ht="24" hidden="0" customHeight="1">
      <x:c r="A6" s="1" t="str">
        <x:f>IF('Raw properties'!A6="","",'Raw properties'!A6)</x:f>
        <x:v>7e6kx1w</x:v>
      </x:c>
      <x:c r="B6" s="1" t="str">
        <x:f>IF('Raw properties'!D6="","",'Raw properties'!D6)</x:f>
        <x:v>Centennial Ridge Student Housing</x:v>
      </x:c>
      <x:c r="C6" s="1" t="str">
        <x:f>IF('Raw properties'!AG6="","",'Raw properties'!AG6)</x:f>
        <x:v>https://offcampus.dasa.ncsu.edu/housing/property/centennial-ridge-student-housing/7e6kx1w</x:v>
      </x:c>
      <x:c r="D6" s="1" t="str">
        <x:v>Per bedroom</x:v>
      </x:c>
      <x:c r="E6" s="1" t="str">
        <x:v>Per bedroom</x:v>
      </x:c>
      <x:c r="F6" s="7" t="n">
        <x:f>IF('Raw properties'!I6="","",'Raw properties'!I6)</x:f>
        <x:v>35.745958</x:v>
      </x:c>
      <x:c r="G6" s="7" t="n">
        <x:f>IF('Raw properties'!J6="","",'Raw properties'!J6)</x:f>
        <x:v>-78.69065</x:v>
      </x:c>
      <x:c r="H6" s="6" t="n">
        <x:f>IF('Raw properties'!M6="","",'Raw properties'!M6)</x:f>
        <x:v>599</x:v>
      </x:c>
      <x:c r="I6" s="6" t="n">
        <x:f>IF('Raw properties'!N6="","",'Raw properties'!N6)</x:f>
        <x:v>2157</x:v>
      </x:c>
      <x:c r="J6" s="6" t="n">
        <x:f>IF((IF('Raw floorplans'!H36&gt;0,1,0))=0,"",MIN(IF('Raw floorplans'!H36&gt;0,'Raw floorplans'!H36,1E99)))</x:f>
        <x:v>599</x:v>
      </x:c>
      <x:c r="K6" s="6" t="n">
        <x:f>IF((IF('Raw floorplans'!I36&gt;0,1,0))=0,"",MAX(IF('Raw floorplans'!I36&gt;0,'Raw floorplans'!I36,0)))</x:f>
        <x:v>2157</x:v>
      </x:c>
      <x:c r="L6" s="1" t="n">
        <x:v>0</x:v>
      </x:c>
      <x:c r="M6" s="1" t="n">
        <x:f>IF(AND(ISNUMBER(H6),ISNUMBER(I6),ISNUMBER(J6),ISNUMBER(K6),H6&gt;0,I6&gt;0),IF(OR(H6&lt;&gt;J6,I6&lt;&gt;K6),1,0),0)</x:f>
        <x:v>0</x:v>
      </x:c>
      <x:c r="N6" s="1" t="n">
        <x:f>IF(AND(ISNUMBER(H6),ISNUMBER(I6),H6&gt;0,I6&gt;=H6),1,0)</x:f>
        <x:v>1</x:v>
      </x:c>
      <x:c r="O6" s="1" t="n">
        <x:f>IF(AND(L6=0,M6=0,N6=1),1,0)</x:f>
        <x:v>1</x:v>
      </x:c>
      <x:c r="P6" s="7" t="n">
        <x:f>2*3958.7613*ASIN(SQRT(SIN(RADIANS(F6-35.77951)/2)^2+COS(RADIANS(35.77951))*COS(RADIANS(F6))*SIN(RADIANS(G6-(-78.68168))/2)^2))</x:f>
        <x:v>2.3721447191088836</x:v>
      </x:c>
      <x:c r="Q6" s="1" t="str">
        <x:f>IF(P6&lt;=1,"0–1 mi",IF(P6&lt;=3,"&gt;1–3 mi",IF(P6&lt;=5,"&gt;3–5 mi","Outside 5 mi")))</x:f>
        <x:v>&gt;1–3 mi</x:v>
      </x:c>
      <x:c r="R6" s="7" t="n">
        <x:f>2*3958.7613*ASIN(SQRT(SIN(RADIANS(F6-35.7687)/2)^2+COS(RADIANS(35.7687))*COS(RADIANS(F6))*SIN(RADIANS(G6-(-78.6775))/2)^2))</x:f>
        <x:v>1.7357078099886714</x:v>
      </x:c>
      <x:c r="S6" s="1" t="str">
        <x:f>IF(R6&lt;=1,"0–1 mi",IF(R6&lt;=3,"&gt;1–3 mi",IF(R6&lt;=5,"&gt;3–5 mi","Outside 5 mi")))</x:f>
        <x:v>&gt;1–3 mi</x:v>
      </x:c>
      <x:c r="T6" s="7" t="n">
        <x:f>2*3958.7613*ASIN(SQRT(SIN(RADIANS(F6-35.79847)/2)^2+COS(RADIANS(35.79847))*COS(RADIANS(F6))*SIN(RADIANS(G6-(-78.70408))/2)^2))</x:f>
        <x:v>3.7055217119201793</x:v>
      </x:c>
      <x:c r="U6" s="1" t="str">
        <x:f>IF(T6&lt;=1,"0–1 mi",IF(T6&lt;=3,"&gt;1–3 mi",IF(T6&lt;=5,"&gt;3–5 mi","Outside 5 mi")))</x:f>
        <x:v>&gt;3–5 mi</x:v>
      </x:c>
      <x:c r="V6" s="1" t="n">
        <x:f>IF(MIN(P6,R6,T6)&lt;=5,1,0)</x:f>
        <x:v>1</x:v>
      </x:c>
      <x:c r="W6" s="6" t="n">
        <x:f>IF(O6=1,(H6+I6)/2,"")</x:f>
        <x:v>1378</x:v>
      </x:c>
      <x:c r="X6" s="1" t="n">
        <x:f>O6*V6</x:f>
        <x:v>1</x:v>
      </x:c>
      <x:c r="Y6" s="1" t="n">
        <x:v>0</x:v>
      </x:c>
      <x:c r="Z6" s="1" t="n">
        <x:v>0</x:v>
      </x:c>
      <x:c r="AA6" s="1" t="n">
        <x:v>1</x:v>
      </x:c>
      <x:c r="AB6" s="1" t="n">
        <x:v>1</x:v>
      </x:c>
      <x:c r="AC6" s="1" t="n">
        <x:v>0</x:v>
      </x:c>
      <x:c r="AD6" s="1" t="str">
        <x:f>IF('Raw properties'!Y6="","",'Raw properties'!Y6)</x:f>
        <x:v>11 Month Lease</x:v>
      </x:c>
      <x:c r="AE6" s="1" t="str">
        <x:v>2026-08-14</x:v>
      </x:c>
      <x:c r="AF6" s="1" t="str">
        <x:v>Included in rent means</x:v>
      </x:c>
      <x:c r="AG6" s="5" t="str">
        <x:v>Portal explicitly labels the entire $599–$2,157 range per bedroom (reviewed September 13). Retained as reported, but the high endpoint needs landlord confirmation. Sensitivity results also omit this listing; no assumed division by three.</x:v>
      </x:c>
      <x:c r="AH6" s="1" t="str">
        <x:v>$599 - $2,157</x:v>
      </x:c>
      <x:c r="AI6" s="8" t="n">
        <x:f>MIN(ABS(P6-1),ABS(P6-3),ABS(P6-5))*5280</x:f>
        <x:v>3315.075883105095</x:v>
      </x:c>
      <x:c r="AJ6" s="8" t="n">
        <x:f>MIN(ABS(R6-1),ABS(R6-3),ABS(R6-5))*5280</x:f>
        <x:v>3884.5372367401847</x:v>
      </x:c>
      <x:c r="AK6" s="8" t="n">
        <x:f>MIN(ABS(T6-1),ABS(T6-3),ABS(T6-5))*5280</x:f>
        <x:v>3725.1546389385467</x:v>
      </x:c>
      <x:c r="AL6" s="1" t="n">
        <x:f>IF(MIN(AI6,AJ6,AK6)&lt;=100,1,0)</x:f>
        <x:v>0</x:v>
      </x:c>
    </x:row>
    <x:row r="7" ht="15" hidden="0" customHeight="1">
      <x:c r="A7" s="1" t="str">
        <x:f>IF('Raw properties'!A7="","",'Raw properties'!A7)</x:f>
        <x:v>ocpw46rjcl</x:v>
      </x:c>
      <x:c r="B7" s="1" t="str">
        <x:f>IF('Raw properties'!D7="","",'Raw properties'!D7)</x:f>
        <x:v>Brand New Luxury Furnished Townhome | 4 Bed /  3.5 Bath | 5 Min to NC State &amp; 3 Mins to Fenton +shop</x:v>
      </x:c>
      <x:c r="C7" s="1" t="str">
        <x:f>IF('Raw properties'!AG7="","",'Raw properties'!AG7)</x:f>
        <x:v>https://offcampus.dasa.ncsu.edu/housing/property/brand-new-luxury-furnished-townhome-4-bed-3-5-bath-5-min-to-nc-state-and-3-mins-to-fenton-shop/ocpw46rjcl</x:v>
      </x:c>
      <x:c r="D7" s="1" t="str">
        <x:v>Per bedroom</x:v>
      </x:c>
      <x:c r="E7" s="1" t="str">
        <x:v>Per bedroom</x:v>
      </x:c>
      <x:c r="F7" s="7" t="n">
        <x:f>IF('Raw properties'!I7="","",'Raw properties'!I7)</x:f>
        <x:v>35.774826</x:v>
      </x:c>
      <x:c r="G7" s="7" t="n">
        <x:f>IF('Raw properties'!J7="","",'Raw properties'!J7)</x:f>
        <x:v>-78.740894</x:v>
      </x:c>
      <x:c r="H7" s="6" t="n">
        <x:f>IF('Raw properties'!M7="","",'Raw properties'!M7)</x:f>
        <x:v>900</x:v>
      </x:c>
      <x:c r="I7" s="6" t="n">
        <x:f>IF('Raw properties'!N7="","",'Raw properties'!N7)</x:f>
        <x:v>1050</x:v>
      </x:c>
      <x:c r="J7" s="6" t="n">
        <x:f>IF((IF('Raw floorplans'!H37&gt;0,1,0))=0,"",MIN(IF('Raw floorplans'!H37&gt;0,'Raw floorplans'!H37,1E99)))</x:f>
        <x:v>900</x:v>
      </x:c>
      <x:c r="K7" s="6" t="n">
        <x:f>IF((IF('Raw floorplans'!I37&gt;0,1,0))=0,"",MAX(IF('Raw floorplans'!I37&gt;0,'Raw floorplans'!I37,0)))</x:f>
        <x:v>1050</x:v>
      </x:c>
      <x:c r="L7" s="1" t="n">
        <x:v>0</x:v>
      </x:c>
      <x:c r="M7" s="1" t="n">
        <x:f>IF(AND(ISNUMBER(H7),ISNUMBER(I7),ISNUMBER(J7),ISNUMBER(K7),H7&gt;0,I7&gt;0),IF(OR(H7&lt;&gt;J7,I7&lt;&gt;K7),1,0),0)</x:f>
        <x:v>0</x:v>
      </x:c>
      <x:c r="N7" s="1" t="n">
        <x:f>IF(AND(ISNUMBER(H7),ISNUMBER(I7),H7&gt;0,I7&gt;=H7),1,0)</x:f>
        <x:v>1</x:v>
      </x:c>
      <x:c r="O7" s="1" t="n">
        <x:f>IF(AND(L7=0,M7=0,N7=1),1,0)</x:f>
        <x:v>1</x:v>
      </x:c>
      <x:c r="P7" s="7" t="n">
        <x:f>2*3958.7613*ASIN(SQRT(SIN(RADIANS(F7-35.77951)/2)^2+COS(RADIANS(35.77951))*COS(RADIANS(F7))*SIN(RADIANS(G7-(-78.68168))/2)^2))</x:f>
        <x:v>3.334997029797425</x:v>
      </x:c>
      <x:c r="Q7" s="1" t="str">
        <x:f>IF(P7&lt;=1,"0–1 mi",IF(P7&lt;=3,"&gt;1–3 mi",IF(P7&lt;=5,"&gt;3–5 mi","Outside 5 mi")))</x:f>
        <x:v>&gt;3–5 mi</x:v>
      </x:c>
      <x:c r="R7" s="7" t="n">
        <x:f>2*3958.7613*ASIN(SQRT(SIN(RADIANS(F7-35.7687)/2)^2+COS(RADIANS(35.7687))*COS(RADIANS(F7))*SIN(RADIANS(G7-(-78.6775))/2)^2))</x:f>
        <x:v>3.5789267017409965</x:v>
      </x:c>
      <x:c r="S7" s="1" t="str">
        <x:f>IF(R7&lt;=1,"0–1 mi",IF(R7&lt;=3,"&gt;1–3 mi",IF(R7&lt;=5,"&gt;3–5 mi","Outside 5 mi")))</x:f>
        <x:v>&gt;3–5 mi</x:v>
      </x:c>
      <x:c r="T7" s="7" t="n">
        <x:f>2*3958.7613*ASIN(SQRT(SIN(RADIANS(F7-35.79847)/2)^2+COS(RADIANS(35.79847))*COS(RADIANS(F7))*SIN(RADIANS(G7-(-78.70408))/2)^2))</x:f>
        <x:v>2.631786902208581</x:v>
      </x:c>
      <x:c r="U7" s="1" t="str">
        <x:f>IF(T7&lt;=1,"0–1 mi",IF(T7&lt;=3,"&gt;1–3 mi",IF(T7&lt;=5,"&gt;3–5 mi","Outside 5 mi")))</x:f>
        <x:v>&gt;1–3 mi</x:v>
      </x:c>
      <x:c r="V7" s="1" t="n">
        <x:f>IF(MIN(P7,R7,T7)&lt;=5,1,0)</x:f>
        <x:v>1</x:v>
      </x:c>
      <x:c r="W7" s="6" t="n">
        <x:f>IF(O7=1,(H7+I7)/2,"")</x:f>
        <x:v>975</x:v>
      </x:c>
      <x:c r="X7" s="1" t="n">
        <x:f>O7*V7</x:f>
        <x:v>1</x:v>
      </x:c>
      <x:c r="Y7" s="1" t="n">
        <x:v>0</x:v>
      </x:c>
      <x:c r="Z7" s="1" t="n">
        <x:v>0</x:v>
      </x:c>
      <x:c r="AA7" s="1" t="n">
        <x:v>0</x:v>
      </x:c>
      <x:c r="AB7" s="1" t="n">
        <x:v>0</x:v>
      </x:c>
      <x:c r="AC7" s="1" t="n">
        <x:v>0</x:v>
      </x:c>
      <x:c r="AD7" s="1" t="str">
        <x:f>IF('Raw properties'!Y7="","",'Raw properties'!Y7)</x:f>
        <x:v>12 Month Lease</x:v>
      </x:c>
      <x:c r="AE7" s="1" t="str">
        <x:v>2026-08-01</x:v>
      </x:c>
      <x:c r="AF7" s="1" t="str">
        <x:v>Included in rent means</x:v>
      </x:c>
      <x:c r="AG7" s="5" t="str">
        <x:v>Source pricing flag retained; automated consistency checks passed. This is not independent landlord verification.</x:v>
      </x:c>
      <x:c r="AH7" s="1" t="str">
        <x:v>$900 - $1,050</x:v>
      </x:c>
      <x:c r="AI7" s="8" t="n">
        <x:f>MIN(ABS(P7-1),ABS(P7-3),ABS(P7-5))*5280</x:f>
        <x:v>1768.7843173304038</x:v>
      </x:c>
      <x:c r="AJ7" s="8" t="n">
        <x:f>MIN(ABS(R7-1),ABS(R7-3),ABS(R7-5))*5280</x:f>
        <x:v>3056.7329851924615</x:v>
      </x:c>
      <x:c r="AK7" s="8" t="n">
        <x:f>MIN(ABS(T7-1),ABS(T7-3),ABS(T7-5))*5280</x:f>
        <x:v>1944.1651563386915</x:v>
      </x:c>
      <x:c r="AL7" s="1" t="n">
        <x:f>IF(MIN(AI7,AJ7,AK7)&lt;=100,1,0)</x:f>
        <x:v>0</x:v>
      </x:c>
    </x:row>
    <x:row r="8" ht="36" hidden="0" customHeight="1">
      <x:c r="A8" s="1" t="str">
        <x:f>IF('Raw properties'!A8="","",'Raw properties'!A8)</x:f>
        <x:v>mc0h4yh</x:v>
      </x:c>
      <x:c r="B8" s="1" t="str">
        <x:f>IF('Raw properties'!D8="","",'Raw properties'!D8)</x:f>
        <x:v>The Reserve at Patterson Place</x:v>
      </x:c>
      <x:c r="C8" s="1" t="str">
        <x:f>IF('Raw properties'!AG8="","",'Raw properties'!AG8)</x:f>
        <x:v>https://offcampus.dasa.ncsu.edu/housing/property/the-reserve-at-patterson-place/mc0h4yh</x:v>
      </x:c>
      <x:c r="D8" s="1" t="str">
        <x:v>Whole unit</x:v>
      </x:c>
      <x:c r="E8" s="1" t="str">
        <x:v>Whole unit</x:v>
      </x:c>
      <x:c r="F8" s="7" t="n">
        <x:f>IF('Raw properties'!I8="","",'Raw properties'!I8)</x:f>
        <x:v>35.950566</x:v>
      </x:c>
      <x:c r="G8" s="7" t="n">
        <x:f>IF('Raw properties'!J8="","",'Raw properties'!J8)</x:f>
        <x:v>-78.983303</x:v>
      </x:c>
      <x:c r="H8" s="6" t="n">
        <x:f>IF('Raw properties'!M8="","",'Raw properties'!M8)</x:f>
        <x:v>1288</x:v>
      </x:c>
      <x:c r="I8" s="6" t="n">
        <x:f>IF('Raw properties'!N8="","",'Raw properties'!N8)</x:f>
        <x:v>2422</x:v>
      </x:c>
      <x:c r="J8" s="6" t="n">
        <x:f>IF((IF('Raw floorplans'!H38&gt;0,1,0)+IF('Raw floorplans'!H39&gt;0,1,0)+IF('Raw floorplans'!H40&gt;0,1,0)+IF('Raw floorplans'!H41&gt;0,1,0)+IF('Raw floorplans'!H42&gt;0,1,0)+IF('Raw floorplans'!H43&gt;0,1,0)+IF('Raw floorplans'!H44&gt;0,1,0)+IF('Raw floorplans'!H45&gt;0,1,0)+IF('Raw floorplans'!H46&gt;0,1,0)+IF('Raw floorplans'!H47&gt;0,1,0)+IF('Raw floorplans'!H48&gt;0,1,0)+IF('Raw floorplans'!H49&gt;0,1,0)+IF('Raw floorplans'!H50&gt;0,1,0)+IF('Raw floorplans'!H51&gt;0,1,0)+IF('Raw floorplans'!H52&gt;0,1,0)+IF('Raw floorplans'!H53&gt;0,1,0)+IF('Raw floorplans'!H54&gt;0,1,0)+IF('Raw floorplans'!H55&gt;0,1,0)+IF('Raw floorplans'!H56&gt;0,1,0)+IF('Raw floorplans'!H57&gt;0,1,0)+IF('Raw floorplans'!H58&gt;0,1,0))=0,"",MIN(IF('Raw floorplans'!H38&gt;0,'Raw floorplans'!H38,1E99),IF('Raw floorplans'!H39&gt;0,'Raw floorplans'!H39,1E99),IF('Raw floorplans'!H40&gt;0,'Raw floorplans'!H40,1E99),IF('Raw floorplans'!H41&gt;0,'Raw floorplans'!H41,1E99),IF('Raw floorplans'!H42&gt;0,'Raw floorplans'!H42,1E99),IF('Raw floorplans'!H43&gt;0,'Raw floorplans'!H43,1E99),IF('Raw floorplans'!H44&gt;0,'Raw floorplans'!H44,1E99),IF('Raw floorplans'!H45&gt;0,'Raw floorplans'!H45,1E99),IF('Raw floorplans'!H46&gt;0,'Raw floorplans'!H46,1E99),IF('Raw floorplans'!H47&gt;0,'Raw floorplans'!H47,1E99),IF('Raw floorplans'!H48&gt;0,'Raw floorplans'!H48,1E99),IF('Raw floorplans'!H49&gt;0,'Raw floorplans'!H49,1E99),IF('Raw floorplans'!H50&gt;0,'Raw floorplans'!H50,1E99),IF('Raw floorplans'!H51&gt;0,'Raw floorplans'!H51,1E99),IF('Raw floorplans'!H52&gt;0,'Raw floorplans'!H52,1E99),IF('Raw floorplans'!H53&gt;0,'Raw floorplans'!H53,1E99),IF('Raw floorplans'!H54&gt;0,'Raw floorplans'!H54,1E99),IF('Raw floorplans'!H55&gt;0,'Raw floorplans'!H55,1E99),IF('Raw floorplans'!H56&gt;0,'Raw floorplans'!H56,1E99),IF('Raw floorplans'!H57&gt;0,'Raw floorplans'!H57,1E99),IF('Raw floorplans'!H58&gt;0,'Raw floorplans'!H58,1E99)))</x:f>
        <x:v>1238</x:v>
      </x:c>
      <x:c r="K8" s="6" t="n">
        <x:f>IF((IF('Raw floorplans'!I38&gt;0,1,0)+IF('Raw floorplans'!I39&gt;0,1,0)+IF('Raw floorplans'!I40&gt;0,1,0)+IF('Raw floorplans'!I41&gt;0,1,0)+IF('Raw floorplans'!I42&gt;0,1,0)+IF('Raw floorplans'!I43&gt;0,1,0)+IF('Raw floorplans'!I44&gt;0,1,0)+IF('Raw floorplans'!I45&gt;0,1,0)+IF('Raw floorplans'!I46&gt;0,1,0)+IF('Raw floorplans'!I47&gt;0,1,0)+IF('Raw floorplans'!I48&gt;0,1,0)+IF('Raw floorplans'!I49&gt;0,1,0)+IF('Raw floorplans'!I50&gt;0,1,0)+IF('Raw floorplans'!I51&gt;0,1,0)+IF('Raw floorplans'!I52&gt;0,1,0)+IF('Raw floorplans'!I53&gt;0,1,0)+IF('Raw floorplans'!I54&gt;0,1,0)+IF('Raw floorplans'!I55&gt;0,1,0)+IF('Raw floorplans'!I56&gt;0,1,0)+IF('Raw floorplans'!I57&gt;0,1,0)+IF('Raw floorplans'!I58&gt;0,1,0))=0,"",MAX(IF('Raw floorplans'!I38&gt;0,'Raw floorplans'!I38,0),IF('Raw floorplans'!I39&gt;0,'Raw floorplans'!I39,0),IF('Raw floorplans'!I40&gt;0,'Raw floorplans'!I40,0),IF('Raw floorplans'!I41&gt;0,'Raw floorplans'!I41,0),IF('Raw floorplans'!I42&gt;0,'Raw floorplans'!I42,0),IF('Raw floorplans'!I43&gt;0,'Raw floorplans'!I43,0),IF('Raw floorplans'!I44&gt;0,'Raw floorplans'!I44,0),IF('Raw floorplans'!I45&gt;0,'Raw floorplans'!I45,0),IF('Raw floorplans'!I46&gt;0,'Raw floorplans'!I46,0),IF('Raw floorplans'!I47&gt;0,'Raw floorplans'!I47,0),IF('Raw floorplans'!I48&gt;0,'Raw floorplans'!I48,0),IF('Raw floorplans'!I49&gt;0,'Raw floorplans'!I49,0),IF('Raw floorplans'!I50&gt;0,'Raw floorplans'!I50,0),IF('Raw floorplans'!I51&gt;0,'Raw floorplans'!I51,0),IF('Raw floorplans'!I52&gt;0,'Raw floorplans'!I52,0),IF('Raw floorplans'!I53&gt;0,'Raw floorplans'!I53,0),IF('Raw floorplans'!I54&gt;0,'Raw floorplans'!I54,0),IF('Raw floorplans'!I55&gt;0,'Raw floorplans'!I55,0),IF('Raw floorplans'!I56&gt;0,'Raw floorplans'!I56,0),IF('Raw floorplans'!I57&gt;0,'Raw floorplans'!I57,0),IF('Raw floorplans'!I58&gt;0,'Raw floorplans'!I58,0)))</x:f>
        <x:v>2422</x:v>
      </x:c>
      <x:c r="L8" s="1" t="n">
        <x:v>0</x:v>
      </x:c>
      <x:c r="M8" s="1" t="n">
        <x:f>IF(AND(ISNUMBER(H8),ISNUMBER(I8),ISNUMBER(J8),ISNUMBER(K8),H8&gt;0,I8&gt;0),IF(OR(H8&lt;&gt;J8,I8&lt;&gt;K8),1,0),0)</x:f>
        <x:v>1</x:v>
      </x:c>
      <x:c r="N8" s="1" t="n">
        <x:f>IF(AND(ISNUMBER(H8),ISNUMBER(I8),H8&gt;0,I8&gt;=H8),1,0)</x:f>
        <x:v>1</x:v>
      </x:c>
      <x:c r="O8" s="1" t="n">
        <x:f>IF(AND(L8=0,M8=0,N8=1),1,0)</x:f>
        <x:v>0</x:v>
      </x:c>
      <x:c r="P8" s="7" t="n">
        <x:f>2*3958.7613*ASIN(SQRT(SIN(RADIANS(F8-35.77951)/2)^2+COS(RADIANS(35.77951))*COS(RADIANS(F8))*SIN(RADIANS(G8-(-78.68168))/2)^2))</x:f>
        <x:v>20.613532105118914</x:v>
      </x:c>
      <x:c r="Q8" s="1" t="str">
        <x:f>IF(P8&lt;=1,"0–1 mi",IF(P8&lt;=3,"&gt;1–3 mi",IF(P8&lt;=5,"&gt;3–5 mi","Outside 5 mi")))</x:f>
        <x:v>Outside 5 mi</x:v>
      </x:c>
      <x:c r="R8" s="7" t="n">
        <x:f>2*3958.7613*ASIN(SQRT(SIN(RADIANS(F8-35.7687)/2)^2+COS(RADIANS(35.7687))*COS(RADIANS(F8))*SIN(RADIANS(G8-(-78.6775))/2)^2))</x:f>
        <x:v>21.239843565294922</x:v>
      </x:c>
      <x:c r="S8" s="1" t="str">
        <x:f>IF(R8&lt;=1,"0–1 mi",IF(R8&lt;=3,"&gt;1–3 mi",IF(R8&lt;=5,"&gt;3–5 mi","Outside 5 mi")))</x:f>
        <x:v>Outside 5 mi</x:v>
      </x:c>
      <x:c r="T8" s="7" t="n">
        <x:f>2*3958.7613*ASIN(SQRT(SIN(RADIANS(F8-35.79847)/2)^2+COS(RADIANS(35.79847))*COS(RADIANS(F8))*SIN(RADIANS(G8-(-78.70408))/2)^2))</x:f>
        <x:v>18.83659831244902</x:v>
      </x:c>
      <x:c r="U8" s="1" t="str">
        <x:f>IF(T8&lt;=1,"0–1 mi",IF(T8&lt;=3,"&gt;1–3 mi",IF(T8&lt;=5,"&gt;3–5 mi","Outside 5 mi")))</x:f>
        <x:v>Outside 5 mi</x:v>
      </x:c>
      <x:c r="V8" s="1" t="n">
        <x:f>IF(MIN(P8,R8,T8)&lt;=5,1,0)</x:f>
        <x:v>0</x:v>
      </x:c>
      <x:c r="W8" s="6" t="str">
        <x:f>IF(O8=1,(H8+I8)/2,"")</x:f>
      </x:c>
      <x:c r="X8" s="1" t="n">
        <x:f>O8*V8</x:f>
        <x:v>0</x:v>
      </x:c>
      <x:c r="Y8" s="1" t="n">
        <x:v>0</x:v>
      </x:c>
      <x:c r="Z8" s="1" t="n">
        <x:v>0</x:v>
      </x:c>
      <x:c r="AA8" s="1" t="n">
        <x:v>0</x:v>
      </x:c>
      <x:c r="AB8" s="1" t="n">
        <x:v>0</x:v>
      </x:c>
      <x:c r="AC8" s="1" t="n">
        <x:v>0</x:v>
      </x:c>
      <x:c r="AD8" s="1" t="str">
        <x:f>IF('Raw properties'!Y8="","",'Raw properties'!Y8)</x:f>
      </x:c>
      <x:c r="AE8" s="1" t="str">
        <x:v>2026-06-19</x:v>
      </x:c>
      <x:c r="AF8" s="1" t="str">
        <x:v>Excluded from rent means</x:v>
      </x:c>
      <x:c r="AG8" s="5" t="str">
        <x:v>Source pricing flag retained; automated consistency checks passed. This is not independent landlord verification. Search summary: $1288–$2422; saved floor-plan envelope: $1238–$2422. Difference may reflect fees, timing or scope; unresolved snapshot price excluded.</x:v>
      </x:c>
      <x:c r="AH8" s="1" t="str">
        <x:v>$1,288 - $2,422</x:v>
      </x:c>
      <x:c r="AI8" s="8" t="n">
        <x:f>MIN(ABS(P8-1),ABS(P8-3),ABS(P8-5))*5280</x:f>
        <x:v>82439.44951502787</x:v>
      </x:c>
      <x:c r="AJ8" s="8" t="n">
        <x:f>MIN(ABS(R8-1),ABS(R8-3),ABS(R8-5))*5280</x:f>
        <x:v>85746.37402475718</x:v>
      </x:c>
      <x:c r="AK8" s="8" t="n">
        <x:f>MIN(ABS(T8-1),ABS(T8-3),ABS(T8-5))*5280</x:f>
        <x:v>73057.23908973082</x:v>
      </x:c>
      <x:c r="AL8" s="1" t="n">
        <x:f>IF(MIN(AI8,AJ8,AK8)&lt;=100,1,0)</x:f>
        <x:v>0</x:v>
      </x:c>
    </x:row>
    <x:row r="9" ht="15" hidden="0" customHeight="1">
      <x:c r="A9" s="1" t="str">
        <x:f>IF('Raw properties'!A9="","",'Raw properties'!A9)</x:f>
        <x:v>ocpchygggd</x:v>
      </x:c>
      <x:c r="B9" s="1" t="str">
        <x:f>IF('Raw properties'!D9="","",'Raw properties'!D9)</x:f>
        <x:v>Hurry 2 Rooms Left! – 4BR/4BA Condo Near NC State  – All Utilities &amp; Internet Included!</x:v>
      </x:c>
      <x:c r="C9" s="1" t="str">
        <x:f>IF('Raw properties'!AG9="","",'Raw properties'!AG9)</x:f>
        <x:v>https://offcampus.dasa.ncsu.edu/housing/property/hurry-2-rooms-left-4br-4ba-condo-near-nc-state-all-utilities-and-internet-included/ocpchygggd</x:v>
      </x:c>
      <x:c r="D9" s="1" t="str">
        <x:v>Per bedroom</x:v>
      </x:c>
      <x:c r="E9" s="1" t="str">
        <x:v>Per bedroom</x:v>
      </x:c>
      <x:c r="F9" s="7" t="n">
        <x:f>IF('Raw properties'!I9="","",'Raw properties'!I9)</x:f>
        <x:v>35.749382</x:v>
      </x:c>
      <x:c r="G9" s="7" t="n">
        <x:f>IF('Raw properties'!J9="","",'Raw properties'!J9)</x:f>
        <x:v>-78.69395</x:v>
      </x:c>
      <x:c r="H9" s="6" t="n">
        <x:f>IF('Raw properties'!M9="","",'Raw properties'!M9)</x:f>
        <x:v>695</x:v>
      </x:c>
      <x:c r="I9" s="6" t="n">
        <x:f>IF('Raw properties'!N9="","",'Raw properties'!N9)</x:f>
        <x:v>695</x:v>
      </x:c>
      <x:c r="J9" s="6" t="n">
        <x:f>IF((IF('Raw floorplans'!H59&gt;0,1,0))=0,"",MIN(IF('Raw floorplans'!H59&gt;0,'Raw floorplans'!H59,1E99)))</x:f>
        <x:v>695</x:v>
      </x:c>
      <x:c r="K9" s="6" t="n">
        <x:f>IF((IF('Raw floorplans'!I59&gt;0,1,0))=0,"",MAX(IF('Raw floorplans'!I59&gt;0,'Raw floorplans'!I59,0)))</x:f>
        <x:v>695</x:v>
      </x:c>
      <x:c r="L9" s="1" t="n">
        <x:v>0</x:v>
      </x:c>
      <x:c r="M9" s="1" t="n">
        <x:f>IF(AND(ISNUMBER(H9),ISNUMBER(I9),ISNUMBER(J9),ISNUMBER(K9),H9&gt;0,I9&gt;0),IF(OR(H9&lt;&gt;J9,I9&lt;&gt;K9),1,0),0)</x:f>
        <x:v>0</x:v>
      </x:c>
      <x:c r="N9" s="1" t="n">
        <x:f>IF(AND(ISNUMBER(H9),ISNUMBER(I9),H9&gt;0,I9&gt;=H9),1,0)</x:f>
        <x:v>1</x:v>
      </x:c>
      <x:c r="O9" s="1" t="n">
        <x:f>IF(AND(L9=0,M9=0,N9=1),1,0)</x:f>
        <x:v>1</x:v>
      </x:c>
      <x:c r="P9" s="7" t="n">
        <x:f>2*3958.7613*ASIN(SQRT(SIN(RADIANS(F9-35.77951)/2)^2+COS(RADIANS(35.77951))*COS(RADIANS(F9))*SIN(RADIANS(G9-(-78.68168))/2)^2))</x:f>
        <x:v>2.19236629828334</x:v>
      </x:c>
      <x:c r="Q9" s="1" t="str">
        <x:f>IF(P9&lt;=1,"0–1 mi",IF(P9&lt;=3,"&gt;1–3 mi",IF(P9&lt;=5,"&gt;3–5 mi","Outside 5 mi")))</x:f>
        <x:v>&gt;1–3 mi</x:v>
      </x:c>
      <x:c r="R9" s="7" t="n">
        <x:f>2*3958.7613*ASIN(SQRT(SIN(RADIANS(F9-35.7687)/2)^2+COS(RADIANS(35.7687))*COS(RADIANS(F9))*SIN(RADIANS(G9-(-78.6775))/2)^2))</x:f>
        <x:v>1.6224123339167371</x:v>
      </x:c>
      <x:c r="S9" s="1" t="str">
        <x:f>IF(R9&lt;=1,"0–1 mi",IF(R9&lt;=3,"&gt;1–3 mi",IF(R9&lt;=5,"&gt;3–5 mi","Outside 5 mi")))</x:f>
        <x:v>&gt;1–3 mi</x:v>
      </x:c>
      <x:c r="T9" s="7" t="n">
        <x:f>2*3958.7613*ASIN(SQRT(SIN(RADIANS(F9-35.79847)/2)^2+COS(RADIANS(35.79847))*COS(RADIANS(F9))*SIN(RADIANS(G9-(-78.70408))/2)^2))</x:f>
        <x:v>3.438867651106063</x:v>
      </x:c>
      <x:c r="U9" s="1" t="str">
        <x:f>IF(T9&lt;=1,"0–1 mi",IF(T9&lt;=3,"&gt;1–3 mi",IF(T9&lt;=5,"&gt;3–5 mi","Outside 5 mi")))</x:f>
        <x:v>&gt;3–5 mi</x:v>
      </x:c>
      <x:c r="V9" s="1" t="n">
        <x:f>IF(MIN(P9,R9,T9)&lt;=5,1,0)</x:f>
        <x:v>1</x:v>
      </x:c>
      <x:c r="W9" s="6" t="n">
        <x:f>IF(O9=1,(H9+I9)/2,"")</x:f>
        <x:v>695</x:v>
      </x:c>
      <x:c r="X9" s="1" t="n">
        <x:f>O9*V9</x:f>
        <x:v>1</x:v>
      </x:c>
      <x:c r="Y9" s="1" t="n">
        <x:v>0</x:v>
      </x:c>
      <x:c r="Z9" s="1" t="n">
        <x:v>0</x:v>
      </x:c>
      <x:c r="AA9" s="1" t="n">
        <x:v>0</x:v>
      </x:c>
      <x:c r="AB9" s="1" t="n">
        <x:v>0</x:v>
      </x:c>
      <x:c r="AC9" s="1" t="n">
        <x:v>0</x:v>
      </x:c>
      <x:c r="AD9" s="1" t="str">
        <x:f>IF('Raw properties'!Y9="","",'Raw properties'!Y9)</x:f>
        <x:v>12 Month Lease</x:v>
      </x:c>
      <x:c r="AE9" s="1" t="str">
        <x:v>1970-01-01</x:v>
      </x:c>
      <x:c r="AF9" s="1" t="str">
        <x:v>Included in rent means</x:v>
      </x:c>
      <x:c r="AG9" s="5" t="str">
        <x:v>Source pricing flag retained; automated consistency checks passed. This is not independent landlord verification.</x:v>
      </x:c>
      <x:c r="AH9" s="1" t="str">
        <x:v>$695</x:v>
      </x:c>
      <x:c r="AI9" s="8" t="n">
        <x:f>MIN(ABS(P9-1),ABS(P9-3),ABS(P9-5))*5280</x:f>
        <x:v>4264.305945063965</x:v>
      </x:c>
      <x:c r="AJ9" s="8" t="n">
        <x:f>MIN(ABS(R9-1),ABS(R9-3),ABS(R9-5))*5280</x:f>
        <x:v>3286.337123080372</x:v>
      </x:c>
      <x:c r="AK9" s="8" t="n">
        <x:f>MIN(ABS(T9-1),ABS(T9-3),ABS(T9-5))*5280</x:f>
        <x:v>2317.2211978400123</x:v>
      </x:c>
      <x:c r="AL9" s="1" t="n">
        <x:f>IF(MIN(AI9,AJ9,AK9)&lt;=100,1,0)</x:f>
        <x:v>0</x:v>
      </x:c>
    </x:row>
    <x:row r="10" ht="24" hidden="0" customHeight="1">
      <x:c r="A10" s="1" t="str">
        <x:f>IF('Raw properties'!A10="","",'Raw properties'!A10)</x:f>
        <x:v>es0855q</x:v>
      </x:c>
      <x:c r="B10" s="1" t="str">
        <x:f>IF('Raw properties'!D10="","",'Raw properties'!D10)</x:f>
        <x:v>Maxwell Raleigh</x:v>
      </x:c>
      <x:c r="C10" s="1" t="str">
        <x:f>IF('Raw properties'!AG10="","",'Raw properties'!AG10)</x:f>
        <x:v>https://offcampus.dasa.ncsu.edu/housing/property/maxwell-raleigh/es0855q</x:v>
      </x:c>
      <x:c r="D10" s="1" t="str">
        <x:v>Whole unit</x:v>
      </x:c>
      <x:c r="E10" s="1" t="str">
        <x:v>Review</x:v>
      </x:c>
      <x:c r="F10" s="7" t="n">
        <x:f>IF('Raw properties'!I10="","",'Raw properties'!I10)</x:f>
        <x:v>35.78944</x:v>
      </x:c>
      <x:c r="G10" s="7" t="n">
        <x:f>IF('Raw properties'!J10="","",'Raw properties'!J10)</x:f>
        <x:v>-78.678155</x:v>
      </x:c>
      <x:c r="H10" s="6" t="n">
        <x:f>IF('Raw properties'!M10="","",'Raw properties'!M10)</x:f>
        <x:v>799</x:v>
      </x:c>
      <x:c r="I10" s="6" t="n">
        <x:f>IF('Raw properties'!N10="","",'Raw properties'!N10)</x:f>
        <x:v>1899</x:v>
      </x:c>
      <x:c r="J10" s="6" t="n">
        <x:f>IF((IF('Raw floorplans'!H60&gt;0,1,0)+IF('Raw floorplans'!H61&gt;0,1,0)+IF('Raw floorplans'!H62&gt;0,1,0)+IF('Raw floorplans'!H63&gt;0,1,0)+IF('Raw floorplans'!H64&gt;0,1,0)+IF('Raw floorplans'!H65&gt;0,1,0)+IF('Raw floorplans'!H66&gt;0,1,0)+IF('Raw floorplans'!H67&gt;0,1,0)+IF('Raw floorplans'!H68&gt;0,1,0)+IF('Raw floorplans'!H69&gt;0,1,0)+IF('Raw floorplans'!H70&gt;0,1,0)+IF('Raw floorplans'!H71&gt;0,1,0)+IF('Raw floorplans'!H72&gt;0,1,0)+IF('Raw floorplans'!H73&gt;0,1,0)+IF('Raw floorplans'!H74&gt;0,1,0)+IF('Raw floorplans'!H75&gt;0,1,0)+IF('Raw floorplans'!H76&gt;0,1,0)+IF('Raw floorplans'!H77&gt;0,1,0)+IF('Raw floorplans'!H78&gt;0,1,0)+IF('Raw floorplans'!H79&gt;0,1,0)+IF('Raw floorplans'!H80&gt;0,1,0)+IF('Raw floorplans'!H81&gt;0,1,0)+IF('Raw floorplans'!H82&gt;0,1,0)+IF('Raw floorplans'!H83&gt;0,1,0)+IF('Raw floorplans'!H84&gt;0,1,0)+IF('Raw floorplans'!H85&gt;0,1,0)+IF('Raw floorplans'!H86&gt;0,1,0)+IF('Raw floorplans'!H87&gt;0,1,0)+IF('Raw floorplans'!H88&gt;0,1,0)+IF('Raw floorplans'!H89&gt;0,1,0)+IF('Raw floorplans'!H90&gt;0,1,0)+IF('Raw floorplans'!H91&gt;0,1,0)+IF('Raw floorplans'!H92&gt;0,1,0)+IF('Raw floorplans'!H93&gt;0,1,0)+IF('Raw floorplans'!H94&gt;0,1,0)+IF('Raw floorplans'!H95&gt;0,1,0))=0,"",MIN(IF('Raw floorplans'!H60&gt;0,'Raw floorplans'!H60,1E99),IF('Raw floorplans'!H61&gt;0,'Raw floorplans'!H61,1E99),IF('Raw floorplans'!H62&gt;0,'Raw floorplans'!H62,1E99),IF('Raw floorplans'!H63&gt;0,'Raw floorplans'!H63,1E99),IF('Raw floorplans'!H64&gt;0,'Raw floorplans'!H64,1E99),IF('Raw floorplans'!H65&gt;0,'Raw floorplans'!H65,1E99),IF('Raw floorplans'!H66&gt;0,'Raw floorplans'!H66,1E99),IF('Raw floorplans'!H67&gt;0,'Raw floorplans'!H67,1E99),IF('Raw floorplans'!H68&gt;0,'Raw floorplans'!H68,1E99),IF('Raw floorplans'!H69&gt;0,'Raw floorplans'!H69,1E99),IF('Raw floorplans'!H70&gt;0,'Raw floorplans'!H70,1E99),IF('Raw floorplans'!H71&gt;0,'Raw floorplans'!H71,1E99),IF('Raw floorplans'!H72&gt;0,'Raw floorplans'!H72,1E99),IF('Raw floorplans'!H73&gt;0,'Raw floorplans'!H73,1E99),IF('Raw floorplans'!H74&gt;0,'Raw floorplans'!H74,1E99),IF('Raw floorplans'!H75&gt;0,'Raw floorplans'!H75,1E99),IF('Raw floorplans'!H76&gt;0,'Raw floorplans'!H76,1E99),IF('Raw floorplans'!H77&gt;0,'Raw floorplans'!H77,1E99),IF('Raw floorplans'!H78&gt;0,'Raw floorplans'!H78,1E99),IF('Raw floorplans'!H79&gt;0,'Raw floorplans'!H79,1E99),IF('Raw floorplans'!H80&gt;0,'Raw floorplans'!H80,1E99),IF('Raw floorplans'!H81&gt;0,'Raw floorplans'!H81,1E99),IF('Raw floorplans'!H82&gt;0,'Raw floorplans'!H82,1E99),IF('Raw floorplans'!H83&gt;0,'Raw floorplans'!H83,1E99),IF('Raw floorplans'!H84&gt;0,'Raw floorplans'!H84,1E99),IF('Raw floorplans'!H85&gt;0,'Raw floorplans'!H85,1E99),IF('Raw floorplans'!H86&gt;0,'Raw floorplans'!H86,1E99),IF('Raw floorplans'!H87&gt;0,'Raw floorplans'!H87,1E99),IF('Raw floorplans'!H88&gt;0,'Raw floorplans'!H88,1E99),IF('Raw floorplans'!H89&gt;0,'Raw floorplans'!H89,1E99),IF('Raw floorplans'!H90&gt;0,'Raw floorplans'!H90,1E99),IF('Raw floorplans'!H91&gt;0,'Raw floorplans'!H91,1E99),IF('Raw floorplans'!H92&gt;0,'Raw floorplans'!H92,1E99),IF('Raw floorplans'!H93&gt;0,'Raw floorplans'!H93,1E99),IF('Raw floorplans'!H94&gt;0,'Raw floorplans'!H94,1E99),IF('Raw floorplans'!H95&gt;0,'Raw floorplans'!H95,1E99)))</x:f>
        <x:v>799</x:v>
      </x:c>
      <x:c r="K10" s="6" t="n">
        <x:f>IF((IF('Raw floorplans'!I60&gt;0,1,0)+IF('Raw floorplans'!I61&gt;0,1,0)+IF('Raw floorplans'!I62&gt;0,1,0)+IF('Raw floorplans'!I63&gt;0,1,0)+IF('Raw floorplans'!I64&gt;0,1,0)+IF('Raw floorplans'!I65&gt;0,1,0)+IF('Raw floorplans'!I66&gt;0,1,0)+IF('Raw floorplans'!I67&gt;0,1,0)+IF('Raw floorplans'!I68&gt;0,1,0)+IF('Raw floorplans'!I69&gt;0,1,0)+IF('Raw floorplans'!I70&gt;0,1,0)+IF('Raw floorplans'!I71&gt;0,1,0)+IF('Raw floorplans'!I72&gt;0,1,0)+IF('Raw floorplans'!I73&gt;0,1,0)+IF('Raw floorplans'!I74&gt;0,1,0)+IF('Raw floorplans'!I75&gt;0,1,0)+IF('Raw floorplans'!I76&gt;0,1,0)+IF('Raw floorplans'!I77&gt;0,1,0)+IF('Raw floorplans'!I78&gt;0,1,0)+IF('Raw floorplans'!I79&gt;0,1,0)+IF('Raw floorplans'!I80&gt;0,1,0)+IF('Raw floorplans'!I81&gt;0,1,0)+IF('Raw floorplans'!I82&gt;0,1,0)+IF('Raw floorplans'!I83&gt;0,1,0)+IF('Raw floorplans'!I84&gt;0,1,0)+IF('Raw floorplans'!I85&gt;0,1,0)+IF('Raw floorplans'!I86&gt;0,1,0)+IF('Raw floorplans'!I87&gt;0,1,0)+IF('Raw floorplans'!I88&gt;0,1,0)+IF('Raw floorplans'!I89&gt;0,1,0)+IF('Raw floorplans'!I90&gt;0,1,0)+IF('Raw floorplans'!I91&gt;0,1,0)+IF('Raw floorplans'!I92&gt;0,1,0)+IF('Raw floorplans'!I93&gt;0,1,0)+IF('Raw floorplans'!I94&gt;0,1,0)+IF('Raw floorplans'!I95&gt;0,1,0))=0,"",MAX(IF('Raw floorplans'!I60&gt;0,'Raw floorplans'!I60,0),IF('Raw floorplans'!I61&gt;0,'Raw floorplans'!I61,0),IF('Raw floorplans'!I62&gt;0,'Raw floorplans'!I62,0),IF('Raw floorplans'!I63&gt;0,'Raw floorplans'!I63,0),IF('Raw floorplans'!I64&gt;0,'Raw floorplans'!I64,0),IF('Raw floorplans'!I65&gt;0,'Raw floorplans'!I65,0),IF('Raw floorplans'!I66&gt;0,'Raw floorplans'!I66,0),IF('Raw floorplans'!I67&gt;0,'Raw floorplans'!I67,0),IF('Raw floorplans'!I68&gt;0,'Raw floorplans'!I68,0),IF('Raw floorplans'!I69&gt;0,'Raw floorplans'!I69,0),IF('Raw floorplans'!I70&gt;0,'Raw floorplans'!I70,0),IF('Raw floorplans'!I71&gt;0,'Raw floorplans'!I71,0),IF('Raw floorplans'!I72&gt;0,'Raw floorplans'!I72,0),IF('Raw floorplans'!I73&gt;0,'Raw floorplans'!I73,0),IF('Raw floorplans'!I74&gt;0,'Raw floorplans'!I74,0),IF('Raw floorplans'!I75&gt;0,'Raw floorplans'!I75,0),IF('Raw floorplans'!I76&gt;0,'Raw floorplans'!I76,0),IF('Raw floorplans'!I77&gt;0,'Raw floorplans'!I77,0),IF('Raw floorplans'!I78&gt;0,'Raw floorplans'!I78,0),IF('Raw floorplans'!I79&gt;0,'Raw floorplans'!I79,0),IF('Raw floorplans'!I80&gt;0,'Raw floorplans'!I80,0),IF('Raw floorplans'!I81&gt;0,'Raw floorplans'!I81,0),IF('Raw floorplans'!I82&gt;0,'Raw floorplans'!I82,0),IF('Raw floorplans'!I83&gt;0,'Raw floorplans'!I83,0),IF('Raw floorplans'!I84&gt;0,'Raw floorplans'!I84,0),IF('Raw floorplans'!I85&gt;0,'Raw floorplans'!I85,0),IF('Raw floorplans'!I86&gt;0,'Raw floorplans'!I86,0),IF('Raw floorplans'!I87&gt;0,'Raw floorplans'!I87,0),IF('Raw floorplans'!I88&gt;0,'Raw floorplans'!I88,0),IF('Raw floorplans'!I89&gt;0,'Raw floorplans'!I89,0),IF('Raw floorplans'!I90&gt;0,'Raw floorplans'!I90,0),IF('Raw floorplans'!I91&gt;0,'Raw floorplans'!I91,0),IF('Raw floorplans'!I92&gt;0,'Raw floorplans'!I92,0),IF('Raw floorplans'!I93&gt;0,'Raw floorplans'!I93,0),IF('Raw floorplans'!I94&gt;0,'Raw floorplans'!I94,0),IF('Raw floorplans'!I95&gt;0,'Raw floorplans'!I95,0)))</x:f>
        <x:v>1899</x:v>
      </x:c>
      <x:c r="L10" s="1" t="n">
        <x:v>1</x:v>
      </x:c>
      <x:c r="M10" s="1" t="n">
        <x:f>IF(AND(ISNUMBER(H10),ISNUMBER(I10),ISNUMBER(J10),ISNUMBER(K10),H10&gt;0,I10&gt;0),IF(OR(H10&lt;&gt;J10,I10&lt;&gt;K10),1,0),0)</x:f>
        <x:v>0</x:v>
      </x:c>
      <x:c r="N10" s="1" t="n">
        <x:f>IF(AND(ISNUMBER(H10),ISNUMBER(I10),H10&gt;0,I10&gt;=H10),1,0)</x:f>
        <x:v>1</x:v>
      </x:c>
      <x:c r="O10" s="1" t="n">
        <x:f>IF(AND(L10=0,M10=0,N10=1),1,0)</x:f>
        <x:v>0</x:v>
      </x:c>
      <x:c r="P10" s="7" t="n">
        <x:f>2*3958.7613*ASIN(SQRT(SIN(RADIANS(F10-35.77951)/2)^2+COS(RADIANS(35.77951))*COS(RADIANS(F10))*SIN(RADIANS(G10-(-78.68168))/2)^2))</x:f>
        <x:v>0.7139793622918142</x:v>
      </x:c>
      <x:c r="Q10" s="1" t="str">
        <x:f>IF(P10&lt;=1,"0–1 mi",IF(P10&lt;=3,"&gt;1–3 mi",IF(P10&lt;=5,"&gt;3–5 mi","Outside 5 mi")))</x:f>
        <x:v>0–1 mi</x:v>
      </x:c>
      <x:c r="R10" s="7" t="n">
        <x:f>2*3958.7613*ASIN(SQRT(SIN(RADIANS(F10-35.7687)/2)^2+COS(RADIANS(35.7687))*COS(RADIANS(F10))*SIN(RADIANS(G10-(-78.6775))/2)^2))</x:f>
        <x:v>1.4334677806267362</x:v>
      </x:c>
      <x:c r="S10" s="1" t="str">
        <x:f>IF(R10&lt;=1,"0–1 mi",IF(R10&lt;=3,"&gt;1–3 mi",IF(R10&lt;=5,"&gt;3–5 mi","Outside 5 mi")))</x:f>
        <x:v>&gt;1–3 mi</x:v>
      </x:c>
      <x:c r="T10" s="7" t="n">
        <x:f>2*3958.7613*ASIN(SQRT(SIN(RADIANS(F10-35.79847)/2)^2+COS(RADIANS(35.79847))*COS(RADIANS(F10))*SIN(RADIANS(G10-(-78.70408))/2)^2))</x:f>
        <x:v>1.5812217815482716</x:v>
      </x:c>
      <x:c r="U10" s="1" t="str">
        <x:f>IF(T10&lt;=1,"0–1 mi",IF(T10&lt;=3,"&gt;1–3 mi",IF(T10&lt;=5,"&gt;3–5 mi","Outside 5 mi")))</x:f>
        <x:v>&gt;1–3 mi</x:v>
      </x:c>
      <x:c r="V10" s="1" t="n">
        <x:f>IF(MIN(P10,R10,T10)&lt;=5,1,0)</x:f>
        <x:v>1</x:v>
      </x:c>
      <x:c r="W10" s="6" t="str">
        <x:f>IF(O10=1,(H10+I10)/2,"")</x:f>
      </x:c>
      <x:c r="X10" s="1" t="n">
        <x:f>O10*V10</x:f>
        <x:v>0</x:v>
      </x:c>
      <x:c r="Y10" s="1" t="n">
        <x:v>0</x:v>
      </x:c>
      <x:c r="Z10" s="1" t="n">
        <x:v>0</x:v>
      </x:c>
      <x:c r="AA10" s="1" t="n">
        <x:v>0</x:v>
      </x:c>
      <x:c r="AB10" s="1" t="n">
        <x:v>0</x:v>
      </x:c>
      <x:c r="AC10" s="1" t="n">
        <x:v>0</x:v>
      </x:c>
      <x:c r="AD10" s="1" t="str">
        <x:f>IF('Raw properties'!Y10="","",'Raw properties'!Y10)</x:f>
        <x:v>11 Month Lease</x:v>
      </x:c>
      <x:c r="AE10" s="1" t="str">
        <x:v>2027-08-13</x:v>
      </x:c>
      <x:c r="AF10" s="1" t="str">
        <x:v>Excluded from rent means</x:v>
      </x:c>
      <x:c r="AG10" s="5" t="str">
        <x:v>Saved floor plans contain both per-bedroom and whole-unit flags. A single property range cannot be assigned a reliable common pricing basis; no division by bedroom count or price substitution.</x:v>
      </x:c>
      <x:c r="AH10" s="1" t="str">
        <x:v>$799 - $1,899</x:v>
      </x:c>
      <x:c r="AI10" s="8" t="n">
        <x:f>MIN(ABS(P10-1),ABS(P10-3),ABS(P10-5))*5280</x:f>
        <x:v>1510.1889670992207</x:v>
      </x:c>
      <x:c r="AJ10" s="8" t="n">
        <x:f>MIN(ABS(R10-1),ABS(R10-3),ABS(R10-5))*5280</x:f>
        <x:v>2288.709881709167</x:v>
      </x:c>
      <x:c r="AK10" s="8" t="n">
        <x:f>MIN(ABS(T10-1),ABS(T10-3),ABS(T10-5))*5280</x:f>
        <x:v>3068.851006574874</x:v>
      </x:c>
      <x:c r="AL10" s="1" t="n">
        <x:f>IF(MIN(AI10,AJ10,AK10)&lt;=100,1,0)</x:f>
        <x:v>0</x:v>
      </x:c>
    </x:row>
    <x:row r="11" ht="15" hidden="0" customHeight="1">
      <x:c r="A11" s="1" t="str">
        <x:f>IF('Raw properties'!A11="","",'Raw properties'!A11)</x:f>
        <x:v>ocpesl9n3p</x:v>
      </x:c>
      <x:c r="B11" s="1" t="str">
        <x:f>IF('Raw properties'!D11="","",'Raw properties'!D11)</x:f>
        <x:v>maisonNC --- Fully Furnished minutes away from Wolfline and Shopping</x:v>
      </x:c>
      <x:c r="C11" s="1" t="str">
        <x:f>IF('Raw properties'!AG11="","",'Raw properties'!AG11)</x:f>
        <x:v>https://offcampus.dasa.ncsu.edu/housing/property/maisonnc-fully-furnished-minutes-away-from-wolfline-and-shopping/ocpesl9n3p</x:v>
      </x:c>
      <x:c r="D11" s="1" t="str">
        <x:v>Per bedroom</x:v>
      </x:c>
      <x:c r="E11" s="1" t="str">
        <x:v>Per bedroom</x:v>
      </x:c>
      <x:c r="F11" s="7" t="n">
        <x:f>IF('Raw properties'!I11="","",'Raw properties'!I11)</x:f>
        <x:v>35.763398</x:v>
      </x:c>
      <x:c r="G11" s="7" t="n">
        <x:f>IF('Raw properties'!J11="","",'Raw properties'!J11)</x:f>
        <x:v>-78.702658</x:v>
      </x:c>
      <x:c r="H11" s="6" t="n">
        <x:f>IF('Raw properties'!M11="","",'Raw properties'!M11)</x:f>
        <x:v>750</x:v>
      </x:c>
      <x:c r="I11" s="6" t="n">
        <x:f>IF('Raw properties'!N11="","",'Raw properties'!N11)</x:f>
        <x:v>750</x:v>
      </x:c>
      <x:c r="J11" s="6" t="n">
        <x:f>IF((IF('Raw floorplans'!H96&gt;0,1,0))=0,"",MIN(IF('Raw floorplans'!H96&gt;0,'Raw floorplans'!H96,1E99)))</x:f>
        <x:v>750</x:v>
      </x:c>
      <x:c r="K11" s="6" t="n">
        <x:f>IF((IF('Raw floorplans'!I96&gt;0,1,0))=0,"",MAX(IF('Raw floorplans'!I96&gt;0,'Raw floorplans'!I96,0)))</x:f>
        <x:v>750</x:v>
      </x:c>
      <x:c r="L11" s="1" t="n">
        <x:v>0</x:v>
      </x:c>
      <x:c r="M11" s="1" t="n">
        <x:f>IF(AND(ISNUMBER(H11),ISNUMBER(I11),ISNUMBER(J11),ISNUMBER(K11),H11&gt;0,I11&gt;0),IF(OR(H11&lt;&gt;J11,I11&lt;&gt;K11),1,0),0)</x:f>
        <x:v>0</x:v>
      </x:c>
      <x:c r="N11" s="1" t="n">
        <x:f>IF(AND(ISNUMBER(H11),ISNUMBER(I11),H11&gt;0,I11&gt;=H11),1,0)</x:f>
        <x:v>1</x:v>
      </x:c>
      <x:c r="O11" s="1" t="n">
        <x:f>IF(AND(L11=0,M11=0,N11=1),1,0)</x:f>
        <x:v>1</x:v>
      </x:c>
      <x:c r="P11" s="7" t="n">
        <x:f>2*3958.7613*ASIN(SQRT(SIN(RADIANS(F11-35.77951)/2)^2+COS(RADIANS(35.77951))*COS(RADIANS(F11))*SIN(RADIANS(G11-(-78.68168))/2)^2))</x:f>
        <x:v>1.6193493622807644</x:v>
      </x:c>
      <x:c r="Q11" s="1" t="str">
        <x:f>IF(P11&lt;=1,"0–1 mi",IF(P11&lt;=3,"&gt;1–3 mi",IF(P11&lt;=5,"&gt;3–5 mi","Outside 5 mi")))</x:f>
        <x:v>&gt;1–3 mi</x:v>
      </x:c>
      <x:c r="R11" s="7" t="n">
        <x:f>2*3958.7613*ASIN(SQRT(SIN(RADIANS(F11-35.7687)/2)^2+COS(RADIANS(35.7687))*COS(RADIANS(F11))*SIN(RADIANS(G11-(-78.6775))/2)^2))</x:f>
        <x:v>1.457233377885057</x:v>
      </x:c>
      <x:c r="S11" s="1" t="str">
        <x:f>IF(R11&lt;=1,"0–1 mi",IF(R11&lt;=3,"&gt;1–3 mi",IF(R11&lt;=5,"&gt;3–5 mi","Outside 5 mi")))</x:f>
        <x:v>&gt;1–3 mi</x:v>
      </x:c>
      <x:c r="T11" s="7" t="n">
        <x:f>2*3958.7613*ASIN(SQRT(SIN(RADIANS(F11-35.79847)/2)^2+COS(RADIANS(35.79847))*COS(RADIANS(F11))*SIN(RADIANS(G11-(-78.70408))/2)^2))</x:f>
        <x:v>2.4245549187541284</x:v>
      </x:c>
      <x:c r="U11" s="1" t="str">
        <x:f>IF(T11&lt;=1,"0–1 mi",IF(T11&lt;=3,"&gt;1–3 mi",IF(T11&lt;=5,"&gt;3–5 mi","Outside 5 mi")))</x:f>
        <x:v>&gt;1–3 mi</x:v>
      </x:c>
      <x:c r="V11" s="1" t="n">
        <x:f>IF(MIN(P11,R11,T11)&lt;=5,1,0)</x:f>
        <x:v>1</x:v>
      </x:c>
      <x:c r="W11" s="6" t="n">
        <x:f>IF(O11=1,(H11+I11)/2,"")</x:f>
        <x:v>750</x:v>
      </x:c>
      <x:c r="X11" s="1" t="n">
        <x:f>O11*V11</x:f>
        <x:v>1</x:v>
      </x:c>
      <x:c r="Y11" s="1" t="n">
        <x:v>0</x:v>
      </x:c>
      <x:c r="Z11" s="1" t="n">
        <x:v>0</x:v>
      </x:c>
      <x:c r="AA11" s="1" t="n">
        <x:v>0</x:v>
      </x:c>
      <x:c r="AB11" s="1" t="n">
        <x:v>0</x:v>
      </x:c>
      <x:c r="AC11" s="1" t="n">
        <x:v>0</x:v>
      </x:c>
      <x:c r="AD11" s="1" t="str">
        <x:f>IF('Raw properties'!Y11="","",'Raw properties'!Y11)</x:f>
        <x:v>6 Month Lease</x:v>
      </x:c>
      <x:c r="AE11" s="1" t="str">
        <x:v>1970-01-01</x:v>
      </x:c>
      <x:c r="AF11" s="1" t="str">
        <x:v>Included in rent means</x:v>
      </x:c>
      <x:c r="AG11" s="5" t="str">
        <x:v>Source pricing flag retained; automated consistency checks passed. This is not independent landlord verification.</x:v>
      </x:c>
      <x:c r="AH11" s="1" t="str">
        <x:v>$750</x:v>
      </x:c>
      <x:c r="AI11" s="8" t="n">
        <x:f>MIN(ABS(P11-1),ABS(P11-3),ABS(P11-5))*5280</x:f>
        <x:v>3270.1646328424363</x:v>
      </x:c>
      <x:c r="AJ11" s="8" t="n">
        <x:f>MIN(ABS(R11-1),ABS(R11-3),ABS(R11-5))*5280</x:f>
        <x:v>2414.192235233101</x:v>
      </x:c>
      <x:c r="AK11" s="8" t="n">
        <x:f>MIN(ABS(T11-1),ABS(T11-3),ABS(T11-5))*5280</x:f>
        <x:v>3038.350028978202</x:v>
      </x:c>
      <x:c r="AL11" s="1" t="n">
        <x:f>IF(MIN(AI11,AJ11,AK11)&lt;=100,1,0)</x:f>
        <x:v>0</x:v>
      </x:c>
    </x:row>
    <x:row r="12" ht="15" hidden="0" customHeight="1">
      <x:c r="A12" s="1" t="str">
        <x:f>IF('Raw properties'!A12="","",'Raw properties'!A12)</x:f>
        <x:v>lvqgnje</x:v>
      </x:c>
      <x:c r="B12" s="1" t="str">
        <x:f>IF('Raw properties'!D12="","",'Raw properties'!D12)</x:f>
        <x:v>Trellis-University Hill</x:v>
      </x:c>
      <x:c r="C12" s="1" t="str">
        <x:f>IF('Raw properties'!AG12="","",'Raw properties'!AG12)</x:f>
        <x:v>https://offcampus.dasa.ncsu.edu/housing/property/trellis-university-hill/lvqgnje</x:v>
      </x:c>
      <x:c r="D12" s="1" t="str">
        <x:v>Whole unit</x:v>
      </x:c>
      <x:c r="E12" s="1" t="str">
        <x:v>Whole unit</x:v>
      </x:c>
      <x:c r="F12" s="7" t="n">
        <x:f>IF('Raw properties'!I12="","",'Raw properties'!I12)</x:f>
        <x:v>35.973823</x:v>
      </x:c>
      <x:c r="G12" s="7" t="n">
        <x:f>IF('Raw properties'!J12="","",'Raw properties'!J12)</x:f>
        <x:v>-78.963096</x:v>
      </x:c>
      <x:c r="H12" s="6" t="n">
        <x:f>IF('Raw properties'!M12="","",'Raw properties'!M12)</x:f>
        <x:v>1400</x:v>
      </x:c>
      <x:c r="I12" s="6" t="n">
        <x:f>IF('Raw properties'!N12="","",'Raw properties'!N12)</x:f>
        <x:v>1625</x:v>
      </x:c>
      <x:c r="J12" s="6" t="n">
        <x:f>IF((IF('Raw floorplans'!H97&gt;0,1,0)+IF('Raw floorplans'!H98&gt;0,1,0))=0,"",MIN(IF('Raw floorplans'!H97&gt;0,'Raw floorplans'!H97,1E99),IF('Raw floorplans'!H98&gt;0,'Raw floorplans'!H98,1E99)))</x:f>
        <x:v>1400</x:v>
      </x:c>
      <x:c r="K12" s="6" t="n">
        <x:f>IF((IF('Raw floorplans'!I97&gt;0,1,0)+IF('Raw floorplans'!I98&gt;0,1,0))=0,"",MAX(IF('Raw floorplans'!I97&gt;0,'Raw floorplans'!I97,0),IF('Raw floorplans'!I98&gt;0,'Raw floorplans'!I98,0)))</x:f>
        <x:v>1625</x:v>
      </x:c>
      <x:c r="L12" s="1" t="n">
        <x:v>0</x:v>
      </x:c>
      <x:c r="M12" s="1" t="n">
        <x:f>IF(AND(ISNUMBER(H12),ISNUMBER(I12),ISNUMBER(J12),ISNUMBER(K12),H12&gt;0,I12&gt;0),IF(OR(H12&lt;&gt;J12,I12&lt;&gt;K12),1,0),0)</x:f>
        <x:v>0</x:v>
      </x:c>
      <x:c r="N12" s="1" t="n">
        <x:f>IF(AND(ISNUMBER(H12),ISNUMBER(I12),H12&gt;0,I12&gt;=H12),1,0)</x:f>
        <x:v>1</x:v>
      </x:c>
      <x:c r="O12" s="1" t="n">
        <x:f>IF(AND(L12=0,M12=0,N12=1),1,0)</x:f>
        <x:v>1</x:v>
      </x:c>
      <x:c r="P12" s="7" t="n">
        <x:f>2*3958.7613*ASIN(SQRT(SIN(RADIANS(F12-35.77951)/2)^2+COS(RADIANS(35.77951))*COS(RADIANS(F12))*SIN(RADIANS(G12-(-78.68168))/2)^2))</x:f>
        <x:v>20.699582448645714</x:v>
      </x:c>
      <x:c r="Q12" s="1" t="str">
        <x:f>IF(P12&lt;=1,"0–1 mi",IF(P12&lt;=3,"&gt;1–3 mi",IF(P12&lt;=5,"&gt;3–5 mi","Outside 5 mi")))</x:f>
        <x:v>Outside 5 mi</x:v>
      </x:c>
      <x:c r="R12" s="7" t="n">
        <x:f>2*3958.7613*ASIN(SQRT(SIN(RADIANS(F12-35.7687)/2)^2+COS(RADIANS(35.7687))*COS(RADIANS(F12))*SIN(RADIANS(G12-(-78.6775))/2)^2))</x:f>
        <x:v>21.367017404499453</x:v>
      </x:c>
      <x:c r="S12" s="1" t="str">
        <x:f>IF(R12&lt;=1,"0–1 mi",IF(R12&lt;=3,"&gt;1–3 mi",IF(R12&lt;=5,"&gt;3–5 mi","Outside 5 mi")))</x:f>
        <x:v>Outside 5 mi</x:v>
      </x:c>
      <x:c r="T12" s="7" t="n">
        <x:f>2*3958.7613*ASIN(SQRT(SIN(RADIANS(F12-35.79847)/2)^2+COS(RADIANS(35.79847))*COS(RADIANS(F12))*SIN(RADIANS(G12-(-78.70408))/2)^2))</x:f>
        <x:v>18.894969219826617</x:v>
      </x:c>
      <x:c r="U12" s="1" t="str">
        <x:f>IF(T12&lt;=1,"0–1 mi",IF(T12&lt;=3,"&gt;1–3 mi",IF(T12&lt;=5,"&gt;3–5 mi","Outside 5 mi")))</x:f>
        <x:v>Outside 5 mi</x:v>
      </x:c>
      <x:c r="V12" s="1" t="n">
        <x:f>IF(MIN(P12,R12,T12)&lt;=5,1,0)</x:f>
        <x:v>0</x:v>
      </x:c>
      <x:c r="W12" s="6" t="n">
        <x:f>IF(O12=1,(H12+I12)/2,"")</x:f>
        <x:v>1512.5</x:v>
      </x:c>
      <x:c r="X12" s="1" t="n">
        <x:f>O12*V12</x:f>
        <x:v>0</x:v>
      </x:c>
      <x:c r="Y12" s="1" t="n">
        <x:v>0</x:v>
      </x:c>
      <x:c r="Z12" s="1" t="n">
        <x:v>0</x:v>
      </x:c>
      <x:c r="AA12" s="1" t="n">
        <x:v>0</x:v>
      </x:c>
      <x:c r="AB12" s="1" t="n">
        <x:v>0</x:v>
      </x:c>
      <x:c r="AC12" s="1" t="n">
        <x:v>0</x:v>
      </x:c>
      <x:c r="AD12" s="1" t="str">
        <x:f>IF('Raw properties'!Y12="","",'Raw properties'!Y12)</x:f>
        <x:v>12 Month Lease</x:v>
      </x:c>
      <x:c r="AE12" s="1" t="str">
        <x:v>2026-08-25</x:v>
      </x:c>
      <x:c r="AF12" s="1" t="str">
        <x:v>Included in rent means</x:v>
      </x:c>
      <x:c r="AG12" s="5" t="str">
        <x:v>Source pricing flag retained; automated consistency checks passed. This is not independent landlord verification.</x:v>
      </x:c>
      <x:c r="AH12" s="1" t="str">
        <x:v>$1,400 - $1,625</x:v>
      </x:c>
      <x:c r="AI12" s="8" t="n">
        <x:f>MIN(ABS(P12-1),ABS(P12-3),ABS(P12-5))*5280</x:f>
        <x:v>82893.79532884937</x:v>
      </x:c>
      <x:c r="AJ12" s="8" t="n">
        <x:f>MIN(ABS(R12-1),ABS(R12-3),ABS(R12-5))*5280</x:f>
        <x:v>86417.8518957571</x:v>
      </x:c>
      <x:c r="AK12" s="8" t="n">
        <x:f>MIN(ABS(T12-1),ABS(T12-3),ABS(T12-5))*5280</x:f>
        <x:v>73365.43748068454</x:v>
      </x:c>
      <x:c r="AL12" s="1" t="n">
        <x:f>IF(MIN(AI12,AJ12,AK12)&lt;=100,1,0)</x:f>
        <x:v>0</x:v>
      </x:c>
    </x:row>
    <x:row r="13" ht="15" hidden="0" customHeight="1">
      <x:c r="A13" s="1" t="str">
        <x:f>IF('Raw properties'!A13="","",'Raw properties'!A13)</x:f>
        <x:v>ocpcm3jede</x:v>
      </x:c>
      <x:c r="B13" s="1" t="str">
        <x:f>IF('Raw properties'!D13="","",'Raw properties'!D13)</x:f>
        <x:v>maisonNC --- Fully Furnished minutes away from Wolfline and Shopping</x:v>
      </x:c>
      <x:c r="C13" s="1" t="str">
        <x:f>IF('Raw properties'!AG13="","",'Raw properties'!AG13)</x:f>
        <x:v>https://offcampus.dasa.ncsu.edu/housing/property/maisonnc-fully-furnished-minutes-away-from-wolfline-and-shopping/ocpcm3jede</x:v>
      </x:c>
      <x:c r="D13" s="1" t="str">
        <x:v>Per bedroom</x:v>
      </x:c>
      <x:c r="E13" s="1" t="str">
        <x:v>Per bedroom</x:v>
      </x:c>
      <x:c r="F13" s="7" t="n">
        <x:f>IF('Raw properties'!I13="","",'Raw properties'!I13)</x:f>
        <x:v>35.762694</x:v>
      </x:c>
      <x:c r="G13" s="7" t="n">
        <x:f>IF('Raw properties'!J13="","",'Raw properties'!J13)</x:f>
        <x:v>-78.701312</x:v>
      </x:c>
      <x:c r="H13" s="6" t="n">
        <x:f>IF('Raw properties'!M13="","",'Raw properties'!M13)</x:f>
        <x:v>750</x:v>
      </x:c>
      <x:c r="I13" s="6" t="n">
        <x:f>IF('Raw properties'!N13="","",'Raw properties'!N13)</x:f>
        <x:v>750</x:v>
      </x:c>
      <x:c r="J13" s="6" t="n">
        <x:f>IF((IF('Raw floorplans'!H99&gt;0,1,0))=0,"",MIN(IF('Raw floorplans'!H99&gt;0,'Raw floorplans'!H99,1E99)))</x:f>
        <x:v>750</x:v>
      </x:c>
      <x:c r="K13" s="6" t="n">
        <x:f>IF((IF('Raw floorplans'!I99&gt;0,1,0))=0,"",MAX(IF('Raw floorplans'!I99&gt;0,'Raw floorplans'!I99,0)))</x:f>
        <x:v>750</x:v>
      </x:c>
      <x:c r="L13" s="1" t="n">
        <x:v>0</x:v>
      </x:c>
      <x:c r="M13" s="1" t="n">
        <x:f>IF(AND(ISNUMBER(H13),ISNUMBER(I13),ISNUMBER(J13),ISNUMBER(K13),H13&gt;0,I13&gt;0),IF(OR(H13&lt;&gt;J13,I13&lt;&gt;K13),1,0),0)</x:f>
        <x:v>0</x:v>
      </x:c>
      <x:c r="N13" s="1" t="n">
        <x:f>IF(AND(ISNUMBER(H13),ISNUMBER(I13),H13&gt;0,I13&gt;=H13),1,0)</x:f>
        <x:v>1</x:v>
      </x:c>
      <x:c r="O13" s="1" t="n">
        <x:f>IF(AND(L13=0,M13=0,N13=1),1,0)</x:f>
        <x:v>1</x:v>
      </x:c>
      <x:c r="P13" s="7" t="n">
        <x:f>2*3958.7613*ASIN(SQRT(SIN(RADIANS(F13-35.77951)/2)^2+COS(RADIANS(35.77951))*COS(RADIANS(F13))*SIN(RADIANS(G13-(-78.68168))/2)^2))</x:f>
        <x:v>1.6003712180037388</x:v>
      </x:c>
      <x:c r="Q13" s="1" t="str">
        <x:f>IF(P13&lt;=1,"0–1 mi",IF(P13&lt;=3,"&gt;1–3 mi",IF(P13&lt;=5,"&gt;3–5 mi","Outside 5 mi")))</x:f>
        <x:v>&gt;1–3 mi</x:v>
      </x:c>
      <x:c r="R13" s="7" t="n">
        <x:f>2*3958.7613*ASIN(SQRT(SIN(RADIANS(F13-35.7687)/2)^2+COS(RADIANS(35.7687))*COS(RADIANS(F13))*SIN(RADIANS(G13-(-78.6775))/2)^2))</x:f>
        <x:v>1.3979906391999495</x:v>
      </x:c>
      <x:c r="S13" s="1" t="str">
        <x:f>IF(R13&lt;=1,"0–1 mi",IF(R13&lt;=3,"&gt;1–3 mi",IF(R13&lt;=5,"&gt;3–5 mi","Outside 5 mi")))</x:f>
        <x:v>&gt;1–3 mi</x:v>
      </x:c>
      <x:c r="T13" s="7" t="n">
        <x:f>2*3958.7613*ASIN(SQRT(SIN(RADIANS(F13-35.79847)/2)^2+COS(RADIANS(35.79847))*COS(RADIANS(F13))*SIN(RADIANS(G13-(-78.70408))/2)^2))</x:f>
        <x:v>2.476750702403563</x:v>
      </x:c>
      <x:c r="U13" s="1" t="str">
        <x:f>IF(T13&lt;=1,"0–1 mi",IF(T13&lt;=3,"&gt;1–3 mi",IF(T13&lt;=5,"&gt;3–5 mi","Outside 5 mi")))</x:f>
        <x:v>&gt;1–3 mi</x:v>
      </x:c>
      <x:c r="V13" s="1" t="n">
        <x:f>IF(MIN(P13,R13,T13)&lt;=5,1,0)</x:f>
        <x:v>1</x:v>
      </x:c>
      <x:c r="W13" s="6" t="n">
        <x:f>IF(O13=1,(H13+I13)/2,"")</x:f>
        <x:v>750</x:v>
      </x:c>
      <x:c r="X13" s="1" t="n">
        <x:f>O13*V13</x:f>
        <x:v>1</x:v>
      </x:c>
      <x:c r="Y13" s="1" t="n">
        <x:v>0</x:v>
      </x:c>
      <x:c r="Z13" s="1" t="n">
        <x:v>0</x:v>
      </x:c>
      <x:c r="AA13" s="1" t="n">
        <x:v>0</x:v>
      </x:c>
      <x:c r="AB13" s="1" t="n">
        <x:v>0</x:v>
      </x:c>
      <x:c r="AC13" s="1" t="n">
        <x:v>0</x:v>
      </x:c>
      <x:c r="AD13" s="1" t="str">
        <x:f>IF('Raw properties'!Y13="","",'Raw properties'!Y13)</x:f>
        <x:v>6 Month Lease</x:v>
      </x:c>
      <x:c r="AE13" s="1" t="str">
        <x:v>2026-09-01</x:v>
      </x:c>
      <x:c r="AF13" s="1" t="str">
        <x:v>Included in rent means</x:v>
      </x:c>
      <x:c r="AG13" s="5" t="str">
        <x:v>Source pricing flag retained; automated consistency checks passed. This is not independent landlord verification.</x:v>
      </x:c>
      <x:c r="AH13" s="1" t="str">
        <x:v>$750</x:v>
      </x:c>
      <x:c r="AI13" s="8" t="n">
        <x:f>MIN(ABS(P13-1),ABS(P13-3),ABS(P13-5))*5280</x:f>
        <x:v>3169.960031059741</x:v>
      </x:c>
      <x:c r="AJ13" s="8" t="n">
        <x:f>MIN(ABS(R13-1),ABS(R13-3),ABS(R13-5))*5280</x:f>
        <x:v>2101.390574975733</x:v>
      </x:c>
      <x:c r="AK13" s="8" t="n">
        <x:f>MIN(ABS(T13-1),ABS(T13-3),ABS(T13-5))*5280</x:f>
        <x:v>2762.756291309188</x:v>
      </x:c>
      <x:c r="AL13" s="1" t="n">
        <x:f>IF(MIN(AI13,AJ13,AK13)&lt;=100,1,0)</x:f>
        <x:v>0</x:v>
      </x:c>
    </x:row>
    <x:row r="14" ht="15" hidden="0" customHeight="1">
      <x:c r="A14" s="1" t="str">
        <x:f>IF('Raw properties'!A14="","",'Raw properties'!A14)</x:f>
        <x:v>seyb987</x:v>
      </x:c>
      <x:c r="B14" s="1" t="str">
        <x:f>IF('Raw properties'!D14="","",'Raw properties'!D14)</x:f>
        <x:v>Wesley</x:v>
      </x:c>
      <x:c r="C14" s="1" t="str">
        <x:f>IF('Raw properties'!AG14="","",'Raw properties'!AG14)</x:f>
        <x:v>https://offcampus.dasa.ncsu.edu/housing/property/wesley/seyb987</x:v>
      </x:c>
      <x:c r="D14" s="1" t="str">
        <x:v>Whole unit</x:v>
      </x:c>
      <x:c r="E14" s="1" t="str">
        <x:v>Whole unit</x:v>
      </x:c>
      <x:c r="F14" s="7" t="n">
        <x:f>IF('Raw properties'!I14="","",'Raw properties'!I14)</x:f>
        <x:v>35.779833</x:v>
      </x:c>
      <x:c r="G14" s="7" t="n">
        <x:f>IF('Raw properties'!J14="","",'Raw properties'!J14)</x:f>
        <x:v>-78.741537</x:v>
      </x:c>
      <x:c r="H14" s="6" t="n">
        <x:f>IF('Raw properties'!M14="","",'Raw properties'!M14)</x:f>
        <x:v>1240</x:v>
      </x:c>
      <x:c r="I14" s="6" t="n">
        <x:f>IF('Raw properties'!N14="","",'Raw properties'!N14)</x:f>
        <x:v>2160</x:v>
      </x:c>
      <x:c r="J14" s="6" t="n">
        <x:f>IF((IF('Raw floorplans'!H100&gt;0,1,0)+IF('Raw floorplans'!H101&gt;0,1,0)+IF('Raw floorplans'!H102&gt;0,1,0)+IF('Raw floorplans'!H103&gt;0,1,0)+IF('Raw floorplans'!H104&gt;0,1,0)+IF('Raw floorplans'!H105&gt;0,1,0))=0,"",MIN(IF('Raw floorplans'!H100&gt;0,'Raw floorplans'!H100,1E99),IF('Raw floorplans'!H101&gt;0,'Raw floorplans'!H101,1E99),IF('Raw floorplans'!H102&gt;0,'Raw floorplans'!H102,1E99),IF('Raw floorplans'!H103&gt;0,'Raw floorplans'!H103,1E99),IF('Raw floorplans'!H104&gt;0,'Raw floorplans'!H104,1E99),IF('Raw floorplans'!H105&gt;0,'Raw floorplans'!H105,1E99)))</x:f>
        <x:v>1240</x:v>
      </x:c>
      <x:c r="K14" s="6" t="n">
        <x:f>IF((IF('Raw floorplans'!I100&gt;0,1,0)+IF('Raw floorplans'!I101&gt;0,1,0)+IF('Raw floorplans'!I102&gt;0,1,0)+IF('Raw floorplans'!I103&gt;0,1,0)+IF('Raw floorplans'!I104&gt;0,1,0)+IF('Raw floorplans'!I105&gt;0,1,0))=0,"",MAX(IF('Raw floorplans'!I100&gt;0,'Raw floorplans'!I100,0),IF('Raw floorplans'!I101&gt;0,'Raw floorplans'!I101,0),IF('Raw floorplans'!I102&gt;0,'Raw floorplans'!I102,0),IF('Raw floorplans'!I103&gt;0,'Raw floorplans'!I103,0),IF('Raw floorplans'!I104&gt;0,'Raw floorplans'!I104,0),IF('Raw floorplans'!I105&gt;0,'Raw floorplans'!I105,0)))</x:f>
        <x:v>2160</x:v>
      </x:c>
      <x:c r="L14" s="1" t="n">
        <x:v>0</x:v>
      </x:c>
      <x:c r="M14" s="1" t="n">
        <x:f>IF(AND(ISNUMBER(H14),ISNUMBER(I14),ISNUMBER(J14),ISNUMBER(K14),H14&gt;0,I14&gt;0),IF(OR(H14&lt;&gt;J14,I14&lt;&gt;K14),1,0),0)</x:f>
        <x:v>0</x:v>
      </x:c>
      <x:c r="N14" s="1" t="n">
        <x:f>IF(AND(ISNUMBER(H14),ISNUMBER(I14),H14&gt;0,I14&gt;=H14),1,0)</x:f>
        <x:v>1</x:v>
      </x:c>
      <x:c r="O14" s="1" t="n">
        <x:f>IF(AND(L14=0,M14=0,N14=1),1,0)</x:f>
        <x:v>1</x:v>
      </x:c>
      <x:c r="P14" s="7" t="n">
        <x:f>2*3958.7613*ASIN(SQRT(SIN(RADIANS(F14-35.77951)/2)^2+COS(RADIANS(35.77951))*COS(RADIANS(F14))*SIN(RADIANS(G14-(-78.68168))/2)^2))</x:f>
        <x:v>3.3552690309203146</x:v>
      </x:c>
      <x:c r="Q14" s="1" t="str">
        <x:f>IF(P14&lt;=1,"0–1 mi",IF(P14&lt;=3,"&gt;1–3 mi",IF(P14&lt;=5,"&gt;3–5 mi","Outside 5 mi")))</x:f>
        <x:v>&gt;3–5 mi</x:v>
      </x:c>
      <x:c r="R14" s="7" t="n">
        <x:f>2*3958.7613*ASIN(SQRT(SIN(RADIANS(F14-35.7687)/2)^2+COS(RADIANS(35.7687))*COS(RADIANS(F14))*SIN(RADIANS(G14-(-78.6775))/2)^2))</x:f>
        <x:v>3.6712321956291025</x:v>
      </x:c>
      <x:c r="S14" s="1" t="str">
        <x:f>IF(R14&lt;=1,"0–1 mi",IF(R14&lt;=3,"&gt;1–3 mi",IF(R14&lt;=5,"&gt;3–5 mi","Outside 5 mi")))</x:f>
        <x:v>&gt;3–5 mi</x:v>
      </x:c>
      <x:c r="T14" s="7" t="n">
        <x:f>2*3958.7613*ASIN(SQRT(SIN(RADIANS(F14-35.79847)/2)^2+COS(RADIANS(35.79847))*COS(RADIANS(F14))*SIN(RADIANS(G14-(-78.70408))/2)^2))</x:f>
        <x:v>2.4628050958689243</x:v>
      </x:c>
      <x:c r="U14" s="1" t="str">
        <x:f>IF(T14&lt;=1,"0–1 mi",IF(T14&lt;=3,"&gt;1–3 mi",IF(T14&lt;=5,"&gt;3–5 mi","Outside 5 mi")))</x:f>
        <x:v>&gt;1–3 mi</x:v>
      </x:c>
      <x:c r="V14" s="1" t="n">
        <x:f>IF(MIN(P14,R14,T14)&lt;=5,1,0)</x:f>
        <x:v>1</x:v>
      </x:c>
      <x:c r="W14" s="6" t="n">
        <x:f>IF(O14=1,(H14+I14)/2,"")</x:f>
        <x:v>1700</x:v>
      </x:c>
      <x:c r="X14" s="1" t="n">
        <x:f>O14*V14</x:f>
        <x:v>1</x:v>
      </x:c>
      <x:c r="Y14" s="1" t="n">
        <x:v>0</x:v>
      </x:c>
      <x:c r="Z14" s="1" t="n">
        <x:v>0</x:v>
      </x:c>
      <x:c r="AA14" s="1" t="n">
        <x:v>0</x:v>
      </x:c>
      <x:c r="AB14" s="1" t="n">
        <x:v>1</x:v>
      </x:c>
      <x:c r="AC14" s="1" t="n">
        <x:v>0</x:v>
      </x:c>
      <x:c r="AD14" s="1" t="str">
        <x:f>IF('Raw properties'!Y14="","",'Raw properties'!Y14)</x:f>
      </x:c>
      <x:c r="AE14" s="1" t="str">
        <x:v>2026-07-09</x:v>
      </x:c>
      <x:c r="AF14" s="1" t="str">
        <x:v>Included in rent means</x:v>
      </x:c>
      <x:c r="AG14" s="5" t="str">
        <x:v>Source pricing flag retained; automated consistency checks passed. This is not independent landlord verification.</x:v>
      </x:c>
      <x:c r="AH14" s="1" t="str">
        <x:v>$1,240 - $2,160</x:v>
      </x:c>
      <x:c r="AI14" s="8" t="n">
        <x:f>MIN(ABS(P14-1),ABS(P14-3),ABS(P14-5))*5280</x:f>
        <x:v>1875.820483259261</x:v>
      </x:c>
      <x:c r="AJ14" s="8" t="n">
        <x:f>MIN(ABS(R14-1),ABS(R14-3),ABS(R14-5))*5280</x:f>
        <x:v>3544.1059929216613</x:v>
      </x:c>
      <x:c r="AK14" s="8" t="n">
        <x:f>MIN(ABS(T14-1),ABS(T14-3),ABS(T14-5))*5280</x:f>
        <x:v>2836.38909381208</x:v>
      </x:c>
      <x:c r="AL14" s="1" t="n">
        <x:f>IF(MIN(AI14,AJ14,AK14)&lt;=100,1,0)</x:f>
        <x:v>0</x:v>
      </x:c>
    </x:row>
    <x:row r="15" ht="15" hidden="0" customHeight="1">
      <x:c r="A15" s="1" t="str">
        <x:f>IF('Raw properties'!A15="","",'Raw properties'!A15)</x:f>
        <x:v>ocpnx5c0kn</x:v>
      </x:c>
      <x:c r="B15" s="1" t="str">
        <x:f>IF('Raw properties'!D15="","",'Raw properties'!D15)</x:f>
        <x:v>Modern &amp; spacious 3BR/3BA Apartment w/View</x:v>
      </x:c>
      <x:c r="C15" s="1" t="str">
        <x:f>IF('Raw properties'!AG15="","",'Raw properties'!AG15)</x:f>
        <x:v>https://offcampus.dasa.ncsu.edu/housing/property/modern-and-spacious-3br-3ba-apartment-w-view/ocpnx5c0kn</x:v>
      </x:c>
      <x:c r="D15" s="1" t="str">
        <x:v>Per bedroom</x:v>
      </x:c>
      <x:c r="E15" s="1" t="str">
        <x:v>Per bedroom</x:v>
      </x:c>
      <x:c r="F15" s="7" t="n">
        <x:f>IF('Raw properties'!I15="","",'Raw properties'!I15)</x:f>
        <x:v>35.78754</x:v>
      </x:c>
      <x:c r="G15" s="7" t="n">
        <x:f>IF('Raw properties'!J15="","",'Raw properties'!J15)</x:f>
        <x:v>-78.666068</x:v>
      </x:c>
      <x:c r="H15" s="6" t="n">
        <x:f>IF('Raw properties'!M15="","",'Raw properties'!M15)</x:f>
        <x:v>1000</x:v>
      </x:c>
      <x:c r="I15" s="6" t="n">
        <x:f>IF('Raw properties'!N15="","",'Raw properties'!N15)</x:f>
        <x:v>1000</x:v>
      </x:c>
      <x:c r="J15" s="6" t="n">
        <x:f>IF((IF('Raw floorplans'!H106&gt;0,1,0))=0,"",MIN(IF('Raw floorplans'!H106&gt;0,'Raw floorplans'!H106,1E99)))</x:f>
        <x:v>1000</x:v>
      </x:c>
      <x:c r="K15" s="6" t="n">
        <x:f>IF((IF('Raw floorplans'!I106&gt;0,1,0))=0,"",MAX(IF('Raw floorplans'!I106&gt;0,'Raw floorplans'!I106,0)))</x:f>
        <x:v>1000</x:v>
      </x:c>
      <x:c r="L15" s="1" t="n">
        <x:v>0</x:v>
      </x:c>
      <x:c r="M15" s="1" t="n">
        <x:f>IF(AND(ISNUMBER(H15),ISNUMBER(I15),ISNUMBER(J15),ISNUMBER(K15),H15&gt;0,I15&gt;0),IF(OR(H15&lt;&gt;J15,I15&lt;&gt;K15),1,0),0)</x:f>
        <x:v>0</x:v>
      </x:c>
      <x:c r="N15" s="1" t="n">
        <x:f>IF(AND(ISNUMBER(H15),ISNUMBER(I15),H15&gt;0,I15&gt;=H15),1,0)</x:f>
        <x:v>1</x:v>
      </x:c>
      <x:c r="O15" s="1" t="n">
        <x:f>IF(AND(L15=0,M15=0,N15=1),1,0)</x:f>
        <x:v>1</x:v>
      </x:c>
      <x:c r="P15" s="7" t="n">
        <x:f>2*3958.7613*ASIN(SQRT(SIN(RADIANS(F15-35.77951)/2)^2+COS(RADIANS(35.77951))*COS(RADIANS(F15))*SIN(RADIANS(G15-(-78.68168))/2)^2))</x:f>
        <x:v>1.0361293730626042</x:v>
      </x:c>
      <x:c r="Q15" s="1" t="str">
        <x:f>IF(P15&lt;=1,"0–1 mi",IF(P15&lt;=3,"&gt;1–3 mi",IF(P15&lt;=5,"&gt;3–5 mi","Outside 5 mi")))</x:f>
        <x:v>&gt;1–3 mi</x:v>
      </x:c>
      <x:c r="R15" s="7" t="n">
        <x:f>2*3958.7613*ASIN(SQRT(SIN(RADIANS(F15-35.7687)/2)^2+COS(RADIANS(35.7687))*COS(RADIANS(F15))*SIN(RADIANS(G15-(-78.6775))/2)^2))</x:f>
        <x:v>1.4509033067969865</x:v>
      </x:c>
      <x:c r="S15" s="1" t="str">
        <x:f>IF(R15&lt;=1,"0–1 mi",IF(R15&lt;=3,"&gt;1–3 mi",IF(R15&lt;=5,"&gt;3–5 mi","Outside 5 mi")))</x:f>
        <x:v>&gt;1–3 mi</x:v>
      </x:c>
      <x:c r="T15" s="7" t="n">
        <x:f>2*3958.7613*ASIN(SQRT(SIN(RADIANS(F15-35.79847)/2)^2+COS(RADIANS(35.79847))*COS(RADIANS(F15))*SIN(RADIANS(G15-(-78.70408))/2)^2))</x:f>
        <x:v>2.260243009186935</x:v>
      </x:c>
      <x:c r="U15" s="1" t="str">
        <x:f>IF(T15&lt;=1,"0–1 mi",IF(T15&lt;=3,"&gt;1–3 mi",IF(T15&lt;=5,"&gt;3–5 mi","Outside 5 mi")))</x:f>
        <x:v>&gt;1–3 mi</x:v>
      </x:c>
      <x:c r="V15" s="1" t="n">
        <x:f>IF(MIN(P15,R15,T15)&lt;=5,1,0)</x:f>
        <x:v>1</x:v>
      </x:c>
      <x:c r="W15" s="6" t="n">
        <x:f>IF(O15=1,(H15+I15)/2,"")</x:f>
        <x:v>1000</x:v>
      </x:c>
      <x:c r="X15" s="1" t="n">
        <x:f>O15*V15</x:f>
        <x:v>1</x:v>
      </x:c>
      <x:c r="Y15" s="1" t="n">
        <x:v>0</x:v>
      </x:c>
      <x:c r="Z15" s="1" t="n">
        <x:v>0</x:v>
      </x:c>
      <x:c r="AA15" s="1" t="n">
        <x:v>0</x:v>
      </x:c>
      <x:c r="AB15" s="1" t="n">
        <x:v>0</x:v>
      </x:c>
      <x:c r="AC15" s="1" t="n">
        <x:v>0</x:v>
      </x:c>
      <x:c r="AD15" s="1" t="str">
        <x:f>IF('Raw properties'!Y15="","",'Raw properties'!Y15)</x:f>
        <x:v>12 Month Lease</x:v>
      </x:c>
      <x:c r="AE15" s="1" t="str">
        <x:v>1970-01-01</x:v>
      </x:c>
      <x:c r="AF15" s="1" t="str">
        <x:v>Included in rent means</x:v>
      </x:c>
      <x:c r="AG15" s="5" t="str">
        <x:v>Source pricing flag retained; automated consistency checks passed. This is not independent landlord verification.</x:v>
      </x:c>
      <x:c r="AH15" s="1" t="str">
        <x:v>$1,000</x:v>
      </x:c>
      <x:c r="AI15" s="8" t="n">
        <x:f>MIN(ABS(P15-1),ABS(P15-3),ABS(P15-5))*5280</x:f>
        <x:v>190.76308977055027</x:v>
      </x:c>
      <x:c r="AJ15" s="8" t="n">
        <x:f>MIN(ABS(R15-1),ABS(R15-3),ABS(R15-5))*5280</x:f>
        <x:v>2380.769459888089</x:v>
      </x:c>
      <x:c r="AK15" s="8" t="n">
        <x:f>MIN(ABS(T15-1),ABS(T15-3),ABS(T15-5))*5280</x:f>
        <x:v>3905.916911492982</x:v>
      </x:c>
      <x:c r="AL15" s="1" t="n">
        <x:f>IF(MIN(AI15,AJ15,AK15)&lt;=100,1,0)</x:f>
        <x:v>0</x:v>
      </x:c>
    </x:row>
    <x:row r="16" ht="15" hidden="0" customHeight="1">
      <x:c r="A16" s="1" t="str">
        <x:f>IF('Raw properties'!A16="","",'Raw properties'!A16)</x:f>
        <x:v>ll5gb9f</x:v>
      </x:c>
      <x:c r="B16" s="1" t="str">
        <x:f>IF('Raw properties'!D16="","",'Raw properties'!D16)</x:f>
        <x:v>Rhyne's Gate Apartments</x:v>
      </x:c>
      <x:c r="C16" s="1" t="str">
        <x:f>IF('Raw properties'!AG16="","",'Raw properties'!AG16)</x:f>
        <x:v>https://offcampus.dasa.ncsu.edu/housing/property/rhynes-gate-apartments/ll5gb9f</x:v>
      </x:c>
      <x:c r="D16" s="1" t="str">
        <x:v>Whole unit</x:v>
      </x:c>
      <x:c r="E16" s="1" t="str">
        <x:v>Whole unit</x:v>
      </x:c>
      <x:c r="F16" s="7" t="n">
        <x:f>IF('Raw properties'!I16="","",'Raw properties'!I16)</x:f>
        <x:v>35.783346</x:v>
      </x:c>
      <x:c r="G16" s="7" t="n">
        <x:f>IF('Raw properties'!J16="","",'Raw properties'!J16)</x:f>
        <x:v>-78.688047</x:v>
      </x:c>
      <x:c r="H16" s="6" t="n">
        <x:f>IF('Raw properties'!M16="","",'Raw properties'!M16)</x:f>
        <x:v>1150</x:v>
      </x:c>
      <x:c r="I16" s="6" t="n">
        <x:f>IF('Raw properties'!N16="","",'Raw properties'!N16)</x:f>
        <x:v>1150</x:v>
      </x:c>
      <x:c r="J16" s="6" t="n">
        <x:f>IF((IF('Raw floorplans'!H107&gt;0,1,0))=0,"",MIN(IF('Raw floorplans'!H107&gt;0,'Raw floorplans'!H107,1E99)))</x:f>
        <x:v>1150</x:v>
      </x:c>
      <x:c r="K16" s="6" t="n">
        <x:f>IF((IF('Raw floorplans'!I107&gt;0,1,0))=0,"",MAX(IF('Raw floorplans'!I107&gt;0,'Raw floorplans'!I107,0)))</x:f>
        <x:v>1150</x:v>
      </x:c>
      <x:c r="L16" s="1" t="n">
        <x:v>0</x:v>
      </x:c>
      <x:c r="M16" s="1" t="n">
        <x:f>IF(AND(ISNUMBER(H16),ISNUMBER(I16),ISNUMBER(J16),ISNUMBER(K16),H16&gt;0,I16&gt;0),IF(OR(H16&lt;&gt;J16,I16&lt;&gt;K16),1,0),0)</x:f>
        <x:v>0</x:v>
      </x:c>
      <x:c r="N16" s="1" t="n">
        <x:f>IF(AND(ISNUMBER(H16),ISNUMBER(I16),H16&gt;0,I16&gt;=H16),1,0)</x:f>
        <x:v>1</x:v>
      </x:c>
      <x:c r="O16" s="1" t="n">
        <x:f>IF(AND(L16=0,M16=0,N16=1),1,0)</x:f>
        <x:v>1</x:v>
      </x:c>
      <x:c r="P16" s="7" t="n">
        <x:f>2*3958.7613*ASIN(SQRT(SIN(RADIANS(F16-35.77951)/2)^2+COS(RADIANS(35.77951))*COS(RADIANS(F16))*SIN(RADIANS(G16-(-78.68168))/2)^2))</x:f>
        <x:v>0.4445382020203235</x:v>
      </x:c>
      <x:c r="Q16" s="1" t="str">
        <x:f>IF(P16&lt;=1,"0–1 mi",IF(P16&lt;=3,"&gt;1–3 mi",IF(P16&lt;=5,"&gt;3–5 mi","Outside 5 mi")))</x:f>
        <x:v>0–1 mi</x:v>
      </x:c>
      <x:c r="R16" s="7" t="n">
        <x:f>2*3958.7613*ASIN(SQRT(SIN(RADIANS(F16-35.7687)/2)^2+COS(RADIANS(35.7687))*COS(RADIANS(F16))*SIN(RADIANS(G16-(-78.6775))/2)^2))</x:f>
        <x:v>1.1719949868377475</x:v>
      </x:c>
      <x:c r="S16" s="1" t="str">
        <x:f>IF(R16&lt;=1,"0–1 mi",IF(R16&lt;=3,"&gt;1–3 mi",IF(R16&lt;=5,"&gt;3–5 mi","Outside 5 mi")))</x:f>
        <x:v>&gt;1–3 mi</x:v>
      </x:c>
      <x:c r="T16" s="7" t="n">
        <x:f>2*3958.7613*ASIN(SQRT(SIN(RADIANS(F16-35.79847)/2)^2+COS(RADIANS(35.79847))*COS(RADIANS(F16))*SIN(RADIANS(G16-(-78.70408))/2)^2))</x:f>
        <x:v>1.3781886305021478</x:v>
      </x:c>
      <x:c r="U16" s="1" t="str">
        <x:f>IF(T16&lt;=1,"0–1 mi",IF(T16&lt;=3,"&gt;1–3 mi",IF(T16&lt;=5,"&gt;3–5 mi","Outside 5 mi")))</x:f>
        <x:v>&gt;1–3 mi</x:v>
      </x:c>
      <x:c r="V16" s="1" t="n">
        <x:f>IF(MIN(P16,R16,T16)&lt;=5,1,0)</x:f>
        <x:v>1</x:v>
      </x:c>
      <x:c r="W16" s="6" t="n">
        <x:f>IF(O16=1,(H16+I16)/2,"")</x:f>
        <x:v>1150</x:v>
      </x:c>
      <x:c r="X16" s="1" t="n">
        <x:f>O16*V16</x:f>
        <x:v>1</x:v>
      </x:c>
      <x:c r="Y16" s="1" t="n">
        <x:v>0</x:v>
      </x:c>
      <x:c r="Z16" s="1" t="n">
        <x:v>0</x:v>
      </x:c>
      <x:c r="AA16" s="1" t="n">
        <x:v>0</x:v>
      </x:c>
      <x:c r="AB16" s="1" t="n">
        <x:v>0</x:v>
      </x:c>
      <x:c r="AC16" s="1" t="n">
        <x:v>0</x:v>
      </x:c>
      <x:c r="AD16" s="1" t="str">
        <x:f>IF('Raw properties'!Y16="","",'Raw properties'!Y16)</x:f>
      </x:c>
      <x:c r="AE16" s="1" t="str"/>
      <x:c r="AF16" s="1" t="str">
        <x:v>Included in rent means</x:v>
      </x:c>
      <x:c r="AG16" s="5" t="str">
        <x:v>Source pricing flag retained; automated consistency checks passed. This is not independent landlord verification.</x:v>
      </x:c>
      <x:c r="AH16" s="1" t="str">
        <x:v>$1,150</x:v>
      </x:c>
      <x:c r="AI16" s="8" t="n">
        <x:f>MIN(ABS(P16-1),ABS(P16-3),ABS(P16-5))*5280</x:f>
        <x:v>2932.838293332692</x:v>
      </x:c>
      <x:c r="AJ16" s="8" t="n">
        <x:f>MIN(ABS(R16-1),ABS(R16-3),ABS(R16-5))*5280</x:f>
        <x:v>908.1335305033068</x:v>
      </x:c>
      <x:c r="AK16" s="8" t="n">
        <x:f>MIN(ABS(T16-1),ABS(T16-3),ABS(T16-5))*5280</x:f>
        <x:v>1996.8359690513403</x:v>
      </x:c>
      <x:c r="AL16" s="1" t="n">
        <x:f>IF(MIN(AI16,AJ16,AK16)&lt;=100,1,0)</x:f>
        <x:v>0</x:v>
      </x:c>
    </x:row>
    <x:row r="17" ht="15" hidden="0" customHeight="1">
      <x:c r="A17" s="1" t="str">
        <x:f>IF('Raw properties'!A17="","",'Raw properties'!A17)</x:f>
        <x:v>ocp5ey2bmq</x:v>
      </x:c>
      <x:c r="B17" s="1" t="str">
        <x:f>IF('Raw properties'!D17="","",'Raw properties'!D17)</x:f>
        <x:v>Furnished Studio/ADU | Olde Raleigh | Parking | Fast Wi-Fi</x:v>
      </x:c>
      <x:c r="C17" s="1" t="str">
        <x:f>IF('Raw properties'!AG17="","",'Raw properties'!AG17)</x:f>
        <x:v>https://offcampus.dasa.ncsu.edu/housing/property/furnished-studio-adu-olde-raleigh-parking-fast-wi-fi/ocp5ey2bmq</x:v>
      </x:c>
      <x:c r="D17" s="1" t="str">
        <x:v>Whole unit</x:v>
      </x:c>
      <x:c r="E17" s="1" t="str">
        <x:v>Whole unit</x:v>
      </x:c>
      <x:c r="F17" s="7" t="n">
        <x:f>IF('Raw properties'!I17="","",'Raw properties'!I17)</x:f>
        <x:v>35.878112</x:v>
      </x:c>
      <x:c r="G17" s="7" t="n">
        <x:f>IF('Raw properties'!J17="","",'Raw properties'!J17)</x:f>
        <x:v>-78.720793</x:v>
      </x:c>
      <x:c r="H17" s="6" t="n">
        <x:f>IF('Raw properties'!M17="","",'Raw properties'!M17)</x:f>
        <x:v>1875</x:v>
      </x:c>
      <x:c r="I17" s="6" t="n">
        <x:f>IF('Raw properties'!N17="","",'Raw properties'!N17)</x:f>
        <x:v>1875</x:v>
      </x:c>
      <x:c r="J17" s="6" t="n">
        <x:f>IF((IF('Raw floorplans'!H108&gt;0,1,0))=0,"",MIN(IF('Raw floorplans'!H108&gt;0,'Raw floorplans'!H108,1E99)))</x:f>
        <x:v>1875</x:v>
      </x:c>
      <x:c r="K17" s="6" t="n">
        <x:f>IF((IF('Raw floorplans'!I108&gt;0,1,0))=0,"",MAX(IF('Raw floorplans'!I108&gt;0,'Raw floorplans'!I108,0)))</x:f>
        <x:v>1875</x:v>
      </x:c>
      <x:c r="L17" s="1" t="n">
        <x:v>0</x:v>
      </x:c>
      <x:c r="M17" s="1" t="n">
        <x:f>IF(AND(ISNUMBER(H17),ISNUMBER(I17),ISNUMBER(J17),ISNUMBER(K17),H17&gt;0,I17&gt;0),IF(OR(H17&lt;&gt;J17,I17&lt;&gt;K17),1,0),0)</x:f>
        <x:v>0</x:v>
      </x:c>
      <x:c r="N17" s="1" t="n">
        <x:f>IF(AND(ISNUMBER(H17),ISNUMBER(I17),H17&gt;0,I17&gt;=H17),1,0)</x:f>
        <x:v>1</x:v>
      </x:c>
      <x:c r="O17" s="1" t="n">
        <x:f>IF(AND(L17=0,M17=0,N17=1),1,0)</x:f>
        <x:v>1</x:v>
      </x:c>
      <x:c r="P17" s="7" t="n">
        <x:f>2*3958.7613*ASIN(SQRT(SIN(RADIANS(F17-35.77951)/2)^2+COS(RADIANS(35.77951))*COS(RADIANS(F17))*SIN(RADIANS(G17-(-78.68168))/2)^2))</x:f>
        <x:v>7.156417788019059</x:v>
      </x:c>
      <x:c r="Q17" s="1" t="str">
        <x:f>IF(P17&lt;=1,"0–1 mi",IF(P17&lt;=3,"&gt;1–3 mi",IF(P17&lt;=5,"&gt;3–5 mi","Outside 5 mi")))</x:f>
        <x:v>Outside 5 mi</x:v>
      </x:c>
      <x:c r="R17" s="7" t="n">
        <x:f>2*3958.7613*ASIN(SQRT(SIN(RADIANS(F17-35.7687)/2)^2+COS(RADIANS(35.7687))*COS(RADIANS(F17))*SIN(RADIANS(G17-(-78.6775))/2)^2))</x:f>
        <x:v>7.939194036949432</x:v>
      </x:c>
      <x:c r="S17" s="1" t="str">
        <x:f>IF(R17&lt;=1,"0–1 mi",IF(R17&lt;=3,"&gt;1–3 mi",IF(R17&lt;=5,"&gt;3–5 mi","Outside 5 mi")))</x:f>
        <x:v>Outside 5 mi</x:v>
      </x:c>
      <x:c r="T17" s="7" t="n">
        <x:f>2*3958.7613*ASIN(SQRT(SIN(RADIANS(F17-35.79847)/2)^2+COS(RADIANS(35.79847))*COS(RADIANS(F17))*SIN(RADIANS(G17-(-78.70408))/2)^2))</x:f>
        <x:v>5.581797855088282</x:v>
      </x:c>
      <x:c r="U17" s="1" t="str">
        <x:f>IF(T17&lt;=1,"0–1 mi",IF(T17&lt;=3,"&gt;1–3 mi",IF(T17&lt;=5,"&gt;3–5 mi","Outside 5 mi")))</x:f>
        <x:v>Outside 5 mi</x:v>
      </x:c>
      <x:c r="V17" s="1" t="n">
        <x:f>IF(MIN(P17,R17,T17)&lt;=5,1,0)</x:f>
        <x:v>0</x:v>
      </x:c>
      <x:c r="W17" s="6" t="n">
        <x:f>IF(O17=1,(H17+I17)/2,"")</x:f>
        <x:v>1875</x:v>
      </x:c>
      <x:c r="X17" s="1" t="n">
        <x:f>O17*V17</x:f>
        <x:v>0</x:v>
      </x:c>
      <x:c r="Y17" s="1" t="n">
        <x:v>0</x:v>
      </x:c>
      <x:c r="Z17" s="1" t="n">
        <x:v>0</x:v>
      </x:c>
      <x:c r="AA17" s="1" t="n">
        <x:v>0</x:v>
      </x:c>
      <x:c r="AB17" s="1" t="n">
        <x:v>0</x:v>
      </x:c>
      <x:c r="AC17" s="1" t="n">
        <x:v>0</x:v>
      </x:c>
      <x:c r="AD17" s="1" t="str">
        <x:f>IF('Raw properties'!Y17="","",'Raw properties'!Y17)</x:f>
        <x:v>1 Month Lease</x:v>
      </x:c>
      <x:c r="AE17" s="1" t="str">
        <x:v>1970-01-01</x:v>
      </x:c>
      <x:c r="AF17" s="1" t="str">
        <x:v>Included in rent means</x:v>
      </x:c>
      <x:c r="AG17" s="5" t="str">
        <x:v>Source pricing flag retained; automated consistency checks passed. This is not independent landlord verification.</x:v>
      </x:c>
      <x:c r="AH17" s="1" t="str">
        <x:v>$1,875</x:v>
      </x:c>
      <x:c r="AI17" s="8" t="n">
        <x:f>MIN(ABS(P17-1),ABS(P17-3),ABS(P17-5))*5280</x:f>
        <x:v>11385.885920740633</x:v>
      </x:c>
      <x:c r="AJ17" s="8" t="n">
        <x:f>MIN(ABS(R17-1),ABS(R17-3),ABS(R17-5))*5280</x:f>
        <x:v>15518.944515092999</x:v>
      </x:c>
      <x:c r="AK17" s="8" t="n">
        <x:f>MIN(ABS(T17-1),ABS(T17-3),ABS(T17-5))*5280</x:f>
        <x:v>3071.8926748661283</x:v>
      </x:c>
      <x:c r="AL17" s="1" t="n">
        <x:f>IF(MIN(AI17,AJ17,AK17)&lt;=100,1,0)</x:f>
        <x:v>0</x:v>
      </x:c>
    </x:row>
    <x:row r="18" ht="15" hidden="0" customHeight="1">
      <x:c r="A18" s="1" t="str">
        <x:f>IF('Raw properties'!A18="","",'Raw properties'!A18)</x:f>
        <x:v>70rqkwy</x:v>
      </x:c>
      <x:c r="B18" s="1" t="str">
        <x:f>IF('Raw properties'!D18="","",'Raw properties'!D18)</x:f>
        <x:v>Brook Hill Townhouse - Students Save Up to 10%</x:v>
      </x:c>
      <x:c r="C18" s="1" t="str">
        <x:f>IF('Raw properties'!AG18="","",'Raw properties'!AG18)</x:f>
        <x:v>https://offcampus.dasa.ncsu.edu/housing/property/brook-hill-townhouse-students-save-up-to-10/70rqkwy</x:v>
      </x:c>
      <x:c r="D18" s="1" t="str">
        <x:v>Whole unit</x:v>
      </x:c>
      <x:c r="E18" s="1" t="str">
        <x:v>Whole unit</x:v>
      </x:c>
      <x:c r="F18" s="7" t="n">
        <x:f>IF('Raw properties'!I18="","",'Raw properties'!I18)</x:f>
        <x:v>35.769074</x:v>
      </x:c>
      <x:c r="G18" s="7" t="n">
        <x:f>IF('Raw properties'!J18="","",'Raw properties'!J18)</x:f>
        <x:v>-78.731014</x:v>
      </x:c>
      <x:c r="H18" s="6" t="n">
        <x:f>IF('Raw properties'!M18="","",'Raw properties'!M18)</x:f>
        <x:v>1350</x:v>
      </x:c>
      <x:c r="I18" s="6" t="n">
        <x:f>IF('Raw properties'!N18="","",'Raw properties'!N18)</x:f>
        <x:v>1645</x:v>
      </x:c>
      <x:c r="J18" s="6" t="n">
        <x:f>IF((IF('Raw floorplans'!H109&gt;0,1,0)+IF('Raw floorplans'!H110&gt;0,1,0)+IF('Raw floorplans'!H111&gt;0,1,0))=0,"",MIN(IF('Raw floorplans'!H109&gt;0,'Raw floorplans'!H109,1E99),IF('Raw floorplans'!H110&gt;0,'Raw floorplans'!H110,1E99),IF('Raw floorplans'!H111&gt;0,'Raw floorplans'!H111,1E99)))</x:f>
        <x:v>1350</x:v>
      </x:c>
      <x:c r="K18" s="6" t="n">
        <x:f>IF((IF('Raw floorplans'!I109&gt;0,1,0)+IF('Raw floorplans'!I110&gt;0,1,0)+IF('Raw floorplans'!I111&gt;0,1,0))=0,"",MAX(IF('Raw floorplans'!I109&gt;0,'Raw floorplans'!I109,0),IF('Raw floorplans'!I110&gt;0,'Raw floorplans'!I110,0),IF('Raw floorplans'!I111&gt;0,'Raw floorplans'!I111,0)))</x:f>
        <x:v>1645</x:v>
      </x:c>
      <x:c r="L18" s="1" t="n">
        <x:v>0</x:v>
      </x:c>
      <x:c r="M18" s="1" t="n">
        <x:f>IF(AND(ISNUMBER(H18),ISNUMBER(I18),ISNUMBER(J18),ISNUMBER(K18),H18&gt;0,I18&gt;0),IF(OR(H18&lt;&gt;J18,I18&lt;&gt;K18),1,0),0)</x:f>
        <x:v>0</x:v>
      </x:c>
      <x:c r="N18" s="1" t="n">
        <x:f>IF(AND(ISNUMBER(H18),ISNUMBER(I18),H18&gt;0,I18&gt;=H18),1,0)</x:f>
        <x:v>1</x:v>
      </x:c>
      <x:c r="O18" s="1" t="n">
        <x:f>IF(AND(L18=0,M18=0,N18=1),1,0)</x:f>
        <x:v>1</x:v>
      </x:c>
      <x:c r="P18" s="7" t="n">
        <x:f>2*3958.7613*ASIN(SQRT(SIN(RADIANS(F18-35.77951)/2)^2+COS(RADIANS(35.77951))*COS(RADIANS(F18))*SIN(RADIANS(G18-(-78.68168))/2)^2))</x:f>
        <x:v>2.857986509728155</x:v>
      </x:c>
      <x:c r="Q18" s="1" t="str">
        <x:f>IF(P18&lt;=1,"0–1 mi",IF(P18&lt;=3,"&gt;1–3 mi",IF(P18&lt;=5,"&gt;3–5 mi","Outside 5 mi")))</x:f>
        <x:v>&gt;1–3 mi</x:v>
      </x:c>
      <x:c r="R18" s="7" t="n">
        <x:f>2*3958.7613*ASIN(SQRT(SIN(RADIANS(F18-35.7687)/2)^2+COS(RADIANS(35.7687))*COS(RADIANS(F18))*SIN(RADIANS(G18-(-78.6775))/2)^2))</x:f>
        <x:v>3.000165559500757</x:v>
      </x:c>
      <x:c r="S18" s="1" t="str">
        <x:f>IF(R18&lt;=1,"0–1 mi",IF(R18&lt;=3,"&gt;1–3 mi",IF(R18&lt;=5,"&gt;3–5 mi","Outside 5 mi")))</x:f>
        <x:v>&gt;3–5 mi</x:v>
      </x:c>
      <x:c r="T18" s="7" t="n">
        <x:f>2*3958.7613*ASIN(SQRT(SIN(RADIANS(F18-35.79847)/2)^2+COS(RADIANS(35.79847))*COS(RADIANS(F18))*SIN(RADIANS(G18-(-78.70408))/2)^2))</x:f>
        <x:v>2.530679993312892</x:v>
      </x:c>
      <x:c r="U18" s="1" t="str">
        <x:f>IF(T18&lt;=1,"0–1 mi",IF(T18&lt;=3,"&gt;1–3 mi",IF(T18&lt;=5,"&gt;3–5 mi","Outside 5 mi")))</x:f>
        <x:v>&gt;1–3 mi</x:v>
      </x:c>
      <x:c r="V18" s="1" t="n">
        <x:f>IF(MIN(P18,R18,T18)&lt;=5,1,0)</x:f>
        <x:v>1</x:v>
      </x:c>
      <x:c r="W18" s="6" t="n">
        <x:f>IF(O18=1,(H18+I18)/2,"")</x:f>
        <x:v>1497.5</x:v>
      </x:c>
      <x:c r="X18" s="1" t="n">
        <x:f>O18*V18</x:f>
        <x:v>1</x:v>
      </x:c>
      <x:c r="Y18" s="1" t="n">
        <x:v>0</x:v>
      </x:c>
      <x:c r="Z18" s="1" t="n">
        <x:v>0</x:v>
      </x:c>
      <x:c r="AA18" s="1" t="n">
        <x:v>0</x:v>
      </x:c>
      <x:c r="AB18" s="1" t="n">
        <x:v>1</x:v>
      </x:c>
      <x:c r="AC18" s="1" t="n">
        <x:v>0</x:v>
      </x:c>
      <x:c r="AD18" s="1" t="str">
        <x:f>IF('Raw properties'!Y18="","",'Raw properties'!Y18)</x:f>
        <x:v>1 Month Lease</x:v>
      </x:c>
      <x:c r="AE18" s="1" t="str">
        <x:v>2026-09-08</x:v>
      </x:c>
      <x:c r="AF18" s="1" t="str">
        <x:v>Included in rent means</x:v>
      </x:c>
      <x:c r="AG18" s="5" t="str">
        <x:v>Source pricing flag retained; automated consistency checks passed. This is not independent landlord verification.</x:v>
      </x:c>
      <x:c r="AH18" s="1" t="str">
        <x:v>$1,350 - $1,645</x:v>
      </x:c>
      <x:c r="AI18" s="8" t="n">
        <x:f>MIN(ABS(P18-1),ABS(P18-3),ABS(P18-5))*5280</x:f>
        <x:v>749.8312286353407</x:v>
      </x:c>
      <x:c r="AJ18" s="8" t="n">
        <x:f>MIN(ABS(R18-1),ABS(R18-3),ABS(R18-5))*5280</x:f>
        <x:v>0.8741541639959394</x:v>
      </x:c>
      <x:c r="AK18" s="8" t="n">
        <x:f>MIN(ABS(T18-1),ABS(T18-3),ABS(T18-5))*5280</x:f>
        <x:v>2478.00963530793</x:v>
      </x:c>
      <x:c r="AL18" s="1" t="n">
        <x:f>IF(MIN(AI18,AJ18,AK18)&lt;=100,1,0)</x:f>
        <x:v>1</x:v>
      </x:c>
    </x:row>
    <x:row r="19" ht="15" hidden="0" customHeight="1">
      <x:c r="A19" s="1" t="str">
        <x:f>IF('Raw properties'!A19="","",'Raw properties'!A19)</x:f>
        <x:v>ocpjeweyz6</x:v>
      </x:c>
      <x:c r="B19" s="1" t="str">
        <x:f>IF('Raw properties'!D19="","",'Raw properties'!D19)</x:f>
        <x:v>All Girls Unit - Room with Private Bathroom at  University Woods at Centennial Condominiums</x:v>
      </x:c>
      <x:c r="C19" s="1" t="str">
        <x:f>IF('Raw properties'!AG19="","",'Raw properties'!AG19)</x:f>
        <x:v>https://offcampus.dasa.ncsu.edu/housing/property/all-girls-unit-room-with-private-bathroom-at-university-woods-at-centennial-condominiums/ocpjeweyz6</x:v>
      </x:c>
      <x:c r="D19" s="1" t="str">
        <x:v>Per bedroom</x:v>
      </x:c>
      <x:c r="E19" s="1" t="str">
        <x:v>Per bedroom</x:v>
      </x:c>
      <x:c r="F19" s="7" t="n">
        <x:f>IF('Raw properties'!I19="","",'Raw properties'!I19)</x:f>
        <x:v>35.749432</x:v>
      </x:c>
      <x:c r="G19" s="7" t="n">
        <x:f>IF('Raw properties'!J19="","",'Raw properties'!J19)</x:f>
        <x:v>-78.693908</x:v>
      </x:c>
      <x:c r="H19" s="6" t="n">
        <x:f>IF('Raw properties'!M19="","",'Raw properties'!M19)</x:f>
        <x:v>645</x:v>
      </x:c>
      <x:c r="I19" s="6" t="n">
        <x:f>IF('Raw properties'!N19="","",'Raw properties'!N19)</x:f>
        <x:v>645</x:v>
      </x:c>
      <x:c r="J19" s="6" t="n">
        <x:f>IF((IF('Raw floorplans'!H112&gt;0,1,0))=0,"",MIN(IF('Raw floorplans'!H112&gt;0,'Raw floorplans'!H112,1E99)))</x:f>
        <x:v>645</x:v>
      </x:c>
      <x:c r="K19" s="6" t="n">
        <x:f>IF((IF('Raw floorplans'!I112&gt;0,1,0))=0,"",MAX(IF('Raw floorplans'!I112&gt;0,'Raw floorplans'!I112,0)))</x:f>
        <x:v>645</x:v>
      </x:c>
      <x:c r="L19" s="1" t="n">
        <x:v>0</x:v>
      </x:c>
      <x:c r="M19" s="1" t="n">
        <x:f>IF(AND(ISNUMBER(H19),ISNUMBER(I19),ISNUMBER(J19),ISNUMBER(K19),H19&gt;0,I19&gt;0),IF(OR(H19&lt;&gt;J19,I19&lt;&gt;K19),1,0),0)</x:f>
        <x:v>0</x:v>
      </x:c>
      <x:c r="N19" s="1" t="n">
        <x:f>IF(AND(ISNUMBER(H19),ISNUMBER(I19),H19&gt;0,I19&gt;=H19),1,0)</x:f>
        <x:v>1</x:v>
      </x:c>
      <x:c r="O19" s="1" t="n">
        <x:f>IF(AND(L19=0,M19=0,N19=1),1,0)</x:f>
        <x:v>1</x:v>
      </x:c>
      <x:c r="P19" s="7" t="n">
        <x:f>2*3958.7613*ASIN(SQRT(SIN(RADIANS(F19-35.77951)/2)^2+COS(RADIANS(35.77951))*COS(RADIANS(F19))*SIN(RADIANS(G19-(-78.68168))/2)^2))</x:f>
        <x:v>2.188347488401001</x:v>
      </x:c>
      <x:c r="Q19" s="1" t="str">
        <x:f>IF(P19&lt;=1,"0–1 mi",IF(P19&lt;=3,"&gt;1–3 mi",IF(P19&lt;=5,"&gt;3–5 mi","Outside 5 mi")))</x:f>
        <x:v>&gt;1–3 mi</x:v>
      </x:c>
      <x:c r="R19" s="7" t="n">
        <x:f>2*3958.7613*ASIN(SQRT(SIN(RADIANS(F19-35.7687)/2)^2+COS(RADIANS(35.7687))*COS(RADIANS(F19))*SIN(RADIANS(G19-(-78.6775))/2)^2))</x:f>
        <x:v>1.6182313326019329</x:v>
      </x:c>
      <x:c r="S19" s="1" t="str">
        <x:f>IF(R19&lt;=1,"0–1 mi",IF(R19&lt;=3,"&gt;1–3 mi",IF(R19&lt;=5,"&gt;3–5 mi","Outside 5 mi")))</x:f>
        <x:v>&gt;1–3 mi</x:v>
      </x:c>
      <x:c r="T19" s="7" t="n">
        <x:f>2*3958.7613*ASIN(SQRT(SIN(RADIANS(F19-35.79847)/2)^2+COS(RADIANS(35.79847))*COS(RADIANS(F19))*SIN(RADIANS(G19-(-78.70408))/2)^2))</x:f>
        <x:v>3.4358503817233554</x:v>
      </x:c>
      <x:c r="U19" s="1" t="str">
        <x:f>IF(T19&lt;=1,"0–1 mi",IF(T19&lt;=3,"&gt;1–3 mi",IF(T19&lt;=5,"&gt;3–5 mi","Outside 5 mi")))</x:f>
        <x:v>&gt;3–5 mi</x:v>
      </x:c>
      <x:c r="V19" s="1" t="n">
        <x:f>IF(MIN(P19,R19,T19)&lt;=5,1,0)</x:f>
        <x:v>1</x:v>
      </x:c>
      <x:c r="W19" s="6" t="n">
        <x:f>IF(O19=1,(H19+I19)/2,"")</x:f>
        <x:v>645</x:v>
      </x:c>
      <x:c r="X19" s="1" t="n">
        <x:f>O19*V19</x:f>
        <x:v>1</x:v>
      </x:c>
      <x:c r="Y19" s="1" t="n">
        <x:v>0</x:v>
      </x:c>
      <x:c r="Z19" s="1" t="n">
        <x:v>0</x:v>
      </x:c>
      <x:c r="AA19" s="1" t="n">
        <x:v>0</x:v>
      </x:c>
      <x:c r="AB19" s="1" t="n">
        <x:v>0</x:v>
      </x:c>
      <x:c r="AC19" s="1" t="n">
        <x:v>0</x:v>
      </x:c>
      <x:c r="AD19" s="1" t="str">
        <x:f>IF('Raw properties'!Y19="","",'Raw properties'!Y19)</x:f>
        <x:v>12 Month Lease</x:v>
      </x:c>
      <x:c r="AE19" s="1" t="str">
        <x:v>1970-01-01</x:v>
      </x:c>
      <x:c r="AF19" s="1" t="str">
        <x:v>Included in rent means</x:v>
      </x:c>
      <x:c r="AG19" s="5" t="str">
        <x:v>Source pricing flag retained; automated consistency checks passed. This is not independent landlord verification.</x:v>
      </x:c>
      <x:c r="AH19" s="1" t="str">
        <x:v>$645</x:v>
      </x:c>
      <x:c r="AI19" s="8" t="n">
        <x:f>MIN(ABS(P19-1),ABS(P19-3),ABS(P19-5))*5280</x:f>
        <x:v>4285.525261242716</x:v>
      </x:c>
      <x:c r="AJ19" s="8" t="n">
        <x:f>MIN(ABS(R19-1),ABS(R19-3),ABS(R19-5))*5280</x:f>
        <x:v>3264.2614361382057</x:v>
      </x:c>
      <x:c r="AK19" s="8" t="n">
        <x:f>MIN(ABS(T19-1),ABS(T19-3),ABS(T19-5))*5280</x:f>
        <x:v>2301.2900154993167</x:v>
      </x:c>
      <x:c r="AL19" s="1" t="n">
        <x:f>IF(MIN(AI19,AJ19,AK19)&lt;=100,1,0)</x:f>
        <x:v>0</x:v>
      </x:c>
    </x:row>
    <x:row r="20" ht="15" hidden="0" customHeight="1">
      <x:c r="A20" s="1" t="str">
        <x:f>IF('Raw properties'!A20="","",'Raw properties'!A20)</x:f>
        <x:v>0smdl31</x:v>
      </x:c>
      <x:c r="B20" s="1" t="str">
        <x:f>IF('Raw properties'!D20="","",'Raw properties'!D20)</x:f>
        <x:v>Paloma Raleigh</x:v>
      </x:c>
      <x:c r="C20" s="1" t="str">
        <x:f>IF('Raw properties'!AG20="","",'Raw properties'!AG20)</x:f>
        <x:v>https://offcampus.dasa.ncsu.edu/housing/property/paloma-raleigh/0smdl31</x:v>
      </x:c>
      <x:c r="D20" s="1" t="str">
        <x:v>Per bedroom</x:v>
      </x:c>
      <x:c r="E20" s="1" t="str">
        <x:v>Per bedroom</x:v>
      </x:c>
      <x:c r="F20" s="7" t="n">
        <x:f>IF('Raw properties'!I20="","",'Raw properties'!I20)</x:f>
        <x:v>35.785778</x:v>
      </x:c>
      <x:c r="G20" s="7" t="n">
        <x:f>IF('Raw properties'!J20="","",'Raw properties'!J20)</x:f>
        <x:v>-78.727869</x:v>
      </x:c>
      <x:c r="H20" s="6" t="n">
        <x:f>IF('Raw properties'!M20="","",'Raw properties'!M20)</x:f>
        <x:v>749</x:v>
      </x:c>
      <x:c r="I20" s="6" t="n">
        <x:f>IF('Raw properties'!N20="","",'Raw properties'!N20)</x:f>
        <x:v>1599</x:v>
      </x:c>
      <x:c r="J20" s="6" t="n">
        <x:f>IF((IF('Raw floorplans'!H113&gt;0,1,0)+IF('Raw floorplans'!H114&gt;0,1,0)+IF('Raw floorplans'!H115&gt;0,1,0)+IF('Raw floorplans'!H116&gt;0,1,0)+IF('Raw floorplans'!H117&gt;0,1,0)+IF('Raw floorplans'!H118&gt;0,1,0)+IF('Raw floorplans'!H119&gt;0,1,0)+IF('Raw floorplans'!H120&gt;0,1,0)+IF('Raw floorplans'!H121&gt;0,1,0))=0,"",MIN(IF('Raw floorplans'!H113&gt;0,'Raw floorplans'!H113,1E99),IF('Raw floorplans'!H114&gt;0,'Raw floorplans'!H114,1E99),IF('Raw floorplans'!H115&gt;0,'Raw floorplans'!H115,1E99),IF('Raw floorplans'!H116&gt;0,'Raw floorplans'!H116,1E99),IF('Raw floorplans'!H117&gt;0,'Raw floorplans'!H117,1E99),IF('Raw floorplans'!H118&gt;0,'Raw floorplans'!H118,1E99),IF('Raw floorplans'!H119&gt;0,'Raw floorplans'!H119,1E99),IF('Raw floorplans'!H120&gt;0,'Raw floorplans'!H120,1E99),IF('Raw floorplans'!H121&gt;0,'Raw floorplans'!H121,1E99)))</x:f>
        <x:v>749</x:v>
      </x:c>
      <x:c r="K20" s="6" t="n">
        <x:f>IF((IF('Raw floorplans'!I113&gt;0,1,0)+IF('Raw floorplans'!I114&gt;0,1,0)+IF('Raw floorplans'!I115&gt;0,1,0)+IF('Raw floorplans'!I116&gt;0,1,0)+IF('Raw floorplans'!I117&gt;0,1,0)+IF('Raw floorplans'!I118&gt;0,1,0)+IF('Raw floorplans'!I119&gt;0,1,0)+IF('Raw floorplans'!I120&gt;0,1,0)+IF('Raw floorplans'!I121&gt;0,1,0))=0,"",MAX(IF('Raw floorplans'!I113&gt;0,'Raw floorplans'!I113,0),IF('Raw floorplans'!I114&gt;0,'Raw floorplans'!I114,0),IF('Raw floorplans'!I115&gt;0,'Raw floorplans'!I115,0),IF('Raw floorplans'!I116&gt;0,'Raw floorplans'!I116,0),IF('Raw floorplans'!I117&gt;0,'Raw floorplans'!I117,0),IF('Raw floorplans'!I118&gt;0,'Raw floorplans'!I118,0),IF('Raw floorplans'!I119&gt;0,'Raw floorplans'!I119,0),IF('Raw floorplans'!I120&gt;0,'Raw floorplans'!I120,0),IF('Raw floorplans'!I121&gt;0,'Raw floorplans'!I121,0)))</x:f>
        <x:v>1599</x:v>
      </x:c>
      <x:c r="L20" s="1" t="n">
        <x:v>0</x:v>
      </x:c>
      <x:c r="M20" s="1" t="n">
        <x:f>IF(AND(ISNUMBER(H20),ISNUMBER(I20),ISNUMBER(J20),ISNUMBER(K20),H20&gt;0,I20&gt;0),IF(OR(H20&lt;&gt;J20,I20&lt;&gt;K20),1,0),0)</x:f>
        <x:v>0</x:v>
      </x:c>
      <x:c r="N20" s="1" t="n">
        <x:f>IF(AND(ISNUMBER(H20),ISNUMBER(I20),H20&gt;0,I20&gt;=H20),1,0)</x:f>
        <x:v>1</x:v>
      </x:c>
      <x:c r="O20" s="1" t="n">
        <x:f>IF(AND(L20=0,M20=0,N20=1),1,0)</x:f>
        <x:v>1</x:v>
      </x:c>
      <x:c r="P20" s="7" t="n">
        <x:f>2*3958.7613*ASIN(SQRT(SIN(RADIANS(F20-35.77951)/2)^2+COS(RADIANS(35.77951))*COS(RADIANS(F20))*SIN(RADIANS(G20-(-78.68168))/2)^2))</x:f>
        <x:v>2.6249310812470283</x:v>
      </x:c>
      <x:c r="Q20" s="1" t="str">
        <x:f>IF(P20&lt;=1,"0–1 mi",IF(P20&lt;=3,"&gt;1–3 mi",IF(P20&lt;=5,"&gt;3–5 mi","Outside 5 mi")))</x:f>
        <x:v>&gt;1–3 mi</x:v>
      </x:c>
      <x:c r="R20" s="7" t="n">
        <x:f>2*3958.7613*ASIN(SQRT(SIN(RADIANS(F20-35.7687)/2)^2+COS(RADIANS(35.7687))*COS(RADIANS(F20))*SIN(RADIANS(G20-(-78.6775))/2)^2))</x:f>
        <x:v>3.060096594507929</x:v>
      </x:c>
      <x:c r="S20" s="1" t="str">
        <x:f>IF(R20&lt;=1,"0–1 mi",IF(R20&lt;=3,"&gt;1–3 mi",IF(R20&lt;=5,"&gt;3–5 mi","Outside 5 mi")))</x:f>
        <x:v>&gt;3–5 mi</x:v>
      </x:c>
      <x:c r="T20" s="7" t="n">
        <x:f>2*3958.7613*ASIN(SQRT(SIN(RADIANS(F20-35.79847)/2)^2+COS(RADIANS(35.79847))*COS(RADIANS(F20))*SIN(RADIANS(G20-(-78.70408))/2)^2))</x:f>
        <x:v>1.595795391308637</x:v>
      </x:c>
      <x:c r="U20" s="1" t="str">
        <x:f>IF(T20&lt;=1,"0–1 mi",IF(T20&lt;=3,"&gt;1–3 mi",IF(T20&lt;=5,"&gt;3–5 mi","Outside 5 mi")))</x:f>
        <x:v>&gt;1–3 mi</x:v>
      </x:c>
      <x:c r="V20" s="1" t="n">
        <x:f>IF(MIN(P20,R20,T20)&lt;=5,1,0)</x:f>
        <x:v>1</x:v>
      </x:c>
      <x:c r="W20" s="6" t="n">
        <x:f>IF(O20=1,(H20+I20)/2,"")</x:f>
        <x:v>1174</x:v>
      </x:c>
      <x:c r="X20" s="1" t="n">
        <x:f>O20*V20</x:f>
        <x:v>1</x:v>
      </x:c>
      <x:c r="Y20" s="1" t="n">
        <x:v>0</x:v>
      </x:c>
      <x:c r="Z20" s="1" t="n">
        <x:v>0</x:v>
      </x:c>
      <x:c r="AA20" s="1" t="n">
        <x:v>0</x:v>
      </x:c>
      <x:c r="AB20" s="1" t="n">
        <x:v>0</x:v>
      </x:c>
      <x:c r="AC20" s="1" t="n">
        <x:v>0</x:v>
      </x:c>
      <x:c r="AD20" s="1" t="str">
        <x:f>IF('Raw properties'!Y20="","",'Raw properties'!Y20)</x:f>
      </x:c>
      <x:c r="AE20" s="1" t="str">
        <x:v>2025-05-01</x:v>
      </x:c>
      <x:c r="AF20" s="1" t="str">
        <x:v>Included in rent means</x:v>
      </x:c>
      <x:c r="AG20" s="5" t="str">
        <x:v>Source pricing flag retained; automated consistency checks passed. This is not independent landlord verification.</x:v>
      </x:c>
      <x:c r="AH20" s="1" t="str">
        <x:v>$749 - $1,599</x:v>
      </x:c>
      <x:c r="AI20" s="8" t="n">
        <x:f>MIN(ABS(P20-1),ABS(P20-3),ABS(P20-5))*5280</x:f>
        <x:v>1980.3638910156903</x:v>
      </x:c>
      <x:c r="AJ20" s="8" t="n">
        <x:f>MIN(ABS(R20-1),ABS(R20-3),ABS(R20-5))*5280</x:f>
        <x:v>317.31001900186413</x:v>
      </x:c>
      <x:c r="AK20" s="8" t="n">
        <x:f>MIN(ABS(T20-1),ABS(T20-3),ABS(T20-5))*5280</x:f>
        <x:v>3145.7996661096026</x:v>
      </x:c>
      <x:c r="AL20" s="1" t="n">
        <x:f>IF(MIN(AI20,AJ20,AK20)&lt;=100,1,0)</x:f>
        <x:v>0</x:v>
      </x:c>
    </x:row>
    <x:row r="21" ht="15" hidden="0" customHeight="1">
      <x:c r="A21" s="1" t="str">
        <x:f>IF('Raw properties'!A21="","",'Raw properties'!A21)</x:f>
        <x:v>ocppjxdd3r</x:v>
      </x:c>
      <x:c r="B21" s="1" t="str">
        <x:f>IF('Raw properties'!D21="","",'Raw properties'!D21)</x:f>
        <x:v>Collegeview Duplex--Brand New Luxury Housing within walking distance to NCSU</x:v>
      </x:c>
      <x:c r="C21" s="1" t="str">
        <x:f>IF('Raw properties'!AG21="","",'Raw properties'!AG21)</x:f>
        <x:v>https://offcampus.dasa.ncsu.edu/housing/property/collegeview-duplex-brand-new-luxury-housing-within-walking-distance-to-ncsu/ocppjxdd3r</x:v>
      </x:c>
      <x:c r="D21" s="1" t="str">
        <x:v>Per bedroom</x:v>
      </x:c>
      <x:c r="E21" s="1" t="str">
        <x:v>Per bedroom</x:v>
      </x:c>
      <x:c r="F21" s="7" t="n">
        <x:f>IF('Raw properties'!I21="","",'Raw properties'!I21)</x:f>
        <x:v>35.777665</x:v>
      </x:c>
      <x:c r="G21" s="7" t="n">
        <x:f>IF('Raw properties'!J21="","",'Raw properties'!J21)</x:f>
        <x:v>-78.685499</x:v>
      </x:c>
      <x:c r="H21" s="6" t="n">
        <x:f>IF('Raw properties'!M21="","",'Raw properties'!M21)</x:f>
        <x:v>900</x:v>
      </x:c>
      <x:c r="I21" s="6" t="n">
        <x:f>IF('Raw properties'!N21="","",'Raw properties'!N21)</x:f>
        <x:v>950</x:v>
      </x:c>
      <x:c r="J21" s="6" t="n">
        <x:f>IF((IF('Raw floorplans'!H122&gt;0,1,0))=0,"",MIN(IF('Raw floorplans'!H122&gt;0,'Raw floorplans'!H122,1E99)))</x:f>
        <x:v>900</x:v>
      </x:c>
      <x:c r="K21" s="6" t="n">
        <x:f>IF((IF('Raw floorplans'!I122&gt;0,1,0))=0,"",MAX(IF('Raw floorplans'!I122&gt;0,'Raw floorplans'!I122,0)))</x:f>
        <x:v>950</x:v>
      </x:c>
      <x:c r="L21" s="1" t="n">
        <x:v>0</x:v>
      </x:c>
      <x:c r="M21" s="1" t="n">
        <x:f>IF(AND(ISNUMBER(H21),ISNUMBER(I21),ISNUMBER(J21),ISNUMBER(K21),H21&gt;0,I21&gt;0),IF(OR(H21&lt;&gt;J21,I21&lt;&gt;K21),1,0),0)</x:f>
        <x:v>0</x:v>
      </x:c>
      <x:c r="N21" s="1" t="n">
        <x:f>IF(AND(ISNUMBER(H21),ISNUMBER(I21),H21&gt;0,I21&gt;=H21),1,0)</x:f>
        <x:v>1</x:v>
      </x:c>
      <x:c r="O21" s="1" t="n">
        <x:f>IF(AND(L21=0,M21=0,N21=1),1,0)</x:f>
        <x:v>1</x:v>
      </x:c>
      <x:c r="P21" s="7" t="n">
        <x:f>2*3958.7613*ASIN(SQRT(SIN(RADIANS(F21-35.77951)/2)^2+COS(RADIANS(35.77951))*COS(RADIANS(F21))*SIN(RADIANS(G21-(-78.68168))/2)^2))</x:f>
        <x:v>0.2491525327282442</x:v>
      </x:c>
      <x:c r="Q21" s="1" t="str">
        <x:f>IF(P21&lt;=1,"0–1 mi",IF(P21&lt;=3,"&gt;1–3 mi",IF(P21&lt;=5,"&gt;3–5 mi","Outside 5 mi")))</x:f>
        <x:v>0–1 mi</x:v>
      </x:c>
      <x:c r="R21" s="7" t="n">
        <x:f>2*3958.7613*ASIN(SQRT(SIN(RADIANS(F21-35.7687)/2)^2+COS(RADIANS(35.7687))*COS(RADIANS(F21))*SIN(RADIANS(G21-(-78.6775))/2)^2))</x:f>
        <x:v>0.7646924310115862</x:v>
      </x:c>
      <x:c r="S21" s="1" t="str">
        <x:f>IF(R21&lt;=1,"0–1 mi",IF(R21&lt;=3,"&gt;1–3 mi",IF(R21&lt;=5,"&gt;3–5 mi","Outside 5 mi")))</x:f>
        <x:v>0–1 mi</x:v>
      </x:c>
      <x:c r="T21" s="7" t="n">
        <x:f>2*3958.7613*ASIN(SQRT(SIN(RADIANS(F21-35.79847)/2)^2+COS(RADIANS(35.79847))*COS(RADIANS(F21))*SIN(RADIANS(G21-(-78.70408))/2)^2))</x:f>
        <x:v>1.775085773166144</x:v>
      </x:c>
      <x:c r="U21" s="1" t="str">
        <x:f>IF(T21&lt;=1,"0–1 mi",IF(T21&lt;=3,"&gt;1–3 mi",IF(T21&lt;=5,"&gt;3–5 mi","Outside 5 mi")))</x:f>
        <x:v>&gt;1–3 mi</x:v>
      </x:c>
      <x:c r="V21" s="1" t="n">
        <x:f>IF(MIN(P21,R21,T21)&lt;=5,1,0)</x:f>
        <x:v>1</x:v>
      </x:c>
      <x:c r="W21" s="6" t="n">
        <x:f>IF(O21=1,(H21+I21)/2,"")</x:f>
        <x:v>925</x:v>
      </x:c>
      <x:c r="X21" s="1" t="n">
        <x:f>O21*V21</x:f>
        <x:v>1</x:v>
      </x:c>
      <x:c r="Y21" s="1" t="n">
        <x:v>0</x:v>
      </x:c>
      <x:c r="Z21" s="1" t="n">
        <x:v>0</x:v>
      </x:c>
      <x:c r="AA21" s="1" t="n">
        <x:v>0</x:v>
      </x:c>
      <x:c r="AB21" s="1" t="n">
        <x:v>0</x:v>
      </x:c>
      <x:c r="AC21" s="1" t="n">
        <x:v>0</x:v>
      </x:c>
      <x:c r="AD21" s="1" t="str">
        <x:f>IF('Raw properties'!Y21="","",'Raw properties'!Y21)</x:f>
        <x:v>12 Month Lease</x:v>
      </x:c>
      <x:c r="AE21" s="1" t="str">
        <x:v>1970-01-01</x:v>
      </x:c>
      <x:c r="AF21" s="1" t="str">
        <x:v>Included in rent means</x:v>
      </x:c>
      <x:c r="AG21" s="5" t="str">
        <x:v>Source pricing flag retained; automated consistency checks passed. This is not independent landlord verification.</x:v>
      </x:c>
      <x:c r="AH21" s="1" t="str">
        <x:v>$900 - $950</x:v>
      </x:c>
      <x:c r="AI21" s="8" t="n">
        <x:f>MIN(ABS(P21-1),ABS(P21-3),ABS(P21-5))*5280</x:f>
        <x:v>3964.4746271948707</x:v>
      </x:c>
      <x:c r="AJ21" s="8" t="n">
        <x:f>MIN(ABS(R21-1),ABS(R21-3),ABS(R21-5))*5280</x:f>
        <x:v>1242.4239642588248</x:v>
      </x:c>
      <x:c r="AK21" s="8" t="n">
        <x:f>MIN(ABS(T21-1),ABS(T21-3),ABS(T21-5))*5280</x:f>
        <x:v>4092.4528823172404</x:v>
      </x:c>
      <x:c r="AL21" s="1" t="n">
        <x:f>IF(MIN(AI21,AJ21,AK21)&lt;=100,1,0)</x:f>
        <x:v>0</x:v>
      </x:c>
    </x:row>
    <x:row r="22" ht="15" hidden="0" customHeight="1">
      <x:c r="A22" s="1" t="str">
        <x:f>IF('Raw properties'!A22="","",'Raw properties'!A22)</x:f>
        <x:v>hgdd8s0</x:v>
      </x:c>
      <x:c r="B22" s="1" t="str">
        <x:f>IF('Raw properties'!D22="","",'Raw properties'!D22)</x:f>
        <x:v>Lantower Bullhouse</x:v>
      </x:c>
      <x:c r="C22" s="1" t="str">
        <x:f>IF('Raw properties'!AG22="","",'Raw properties'!AG22)</x:f>
        <x:v>https://offcampus.dasa.ncsu.edu/housing/property/lantower-bullhouse/hgdd8s0</x:v>
      </x:c>
      <x:c r="D22" s="1" t="str">
        <x:v>Whole unit</x:v>
      </x:c>
      <x:c r="E22" s="1" t="str">
        <x:v>Whole unit</x:v>
      </x:c>
      <x:c r="F22" s="7" t="n">
        <x:f>IF('Raw properties'!I22="","",'Raw properties'!I22)</x:f>
        <x:v>35.989797</x:v>
      </x:c>
      <x:c r="G22" s="7" t="n">
        <x:f>IF('Raw properties'!J22="","",'Raw properties'!J22)</x:f>
        <x:v>-78.898555</x:v>
      </x:c>
      <x:c r="H22" s="6" t="n">
        <x:f>IF('Raw properties'!M22="","",'Raw properties'!M22)</x:f>
        <x:v>1377</x:v>
      </x:c>
      <x:c r="I22" s="6" t="n">
        <x:f>IF('Raw properties'!N22="","",'Raw properties'!N22)</x:f>
        <x:v>4346</x:v>
      </x:c>
      <x:c r="J22" s="6" t="n">
        <x:f>IF((IF('Raw floorplans'!H123&gt;0,1,0)+IF('Raw floorplans'!H124&gt;0,1,0)+IF('Raw floorplans'!H125&gt;0,1,0)+IF('Raw floorplans'!H126&gt;0,1,0)+IF('Raw floorplans'!H127&gt;0,1,0)+IF('Raw floorplans'!H128&gt;0,1,0)+IF('Raw floorplans'!H129&gt;0,1,0)+IF('Raw floorplans'!H130&gt;0,1,0)+IF('Raw floorplans'!H131&gt;0,1,0)+IF('Raw floorplans'!H132&gt;0,1,0)+IF('Raw floorplans'!H133&gt;0,1,0)+IF('Raw floorplans'!H134&gt;0,1,0)+IF('Raw floorplans'!H135&gt;0,1,0)+IF('Raw floorplans'!H136&gt;0,1,0)+IF('Raw floorplans'!H137&gt;0,1,0)+IF('Raw floorplans'!H138&gt;0,1,0)+IF('Raw floorplans'!H139&gt;0,1,0)+IF('Raw floorplans'!H140&gt;0,1,0))=0,"",MIN(IF('Raw floorplans'!H123&gt;0,'Raw floorplans'!H123,1E99),IF('Raw floorplans'!H124&gt;0,'Raw floorplans'!H124,1E99),IF('Raw floorplans'!H125&gt;0,'Raw floorplans'!H125,1E99),IF('Raw floorplans'!H126&gt;0,'Raw floorplans'!H126,1E99),IF('Raw floorplans'!H127&gt;0,'Raw floorplans'!H127,1E99),IF('Raw floorplans'!H128&gt;0,'Raw floorplans'!H128,1E99),IF('Raw floorplans'!H129&gt;0,'Raw floorplans'!H129,1E99),IF('Raw floorplans'!H130&gt;0,'Raw floorplans'!H130,1E99),IF('Raw floorplans'!H131&gt;0,'Raw floorplans'!H131,1E99),IF('Raw floorplans'!H132&gt;0,'Raw floorplans'!H132,1E99),IF('Raw floorplans'!H133&gt;0,'Raw floorplans'!H133,1E99),IF('Raw floorplans'!H134&gt;0,'Raw floorplans'!H134,1E99),IF('Raw floorplans'!H135&gt;0,'Raw floorplans'!H135,1E99),IF('Raw floorplans'!H136&gt;0,'Raw floorplans'!H136,1E99),IF('Raw floorplans'!H137&gt;0,'Raw floorplans'!H137,1E99),IF('Raw floorplans'!H138&gt;0,'Raw floorplans'!H138,1E99),IF('Raw floorplans'!H139&gt;0,'Raw floorplans'!H139,1E99),IF('Raw floorplans'!H140&gt;0,'Raw floorplans'!H140,1E99)))</x:f>
        <x:v>1377</x:v>
      </x:c>
      <x:c r="K22" s="6" t="n">
        <x:f>IF((IF('Raw floorplans'!I123&gt;0,1,0)+IF('Raw floorplans'!I124&gt;0,1,0)+IF('Raw floorplans'!I125&gt;0,1,0)+IF('Raw floorplans'!I126&gt;0,1,0)+IF('Raw floorplans'!I127&gt;0,1,0)+IF('Raw floorplans'!I128&gt;0,1,0)+IF('Raw floorplans'!I129&gt;0,1,0)+IF('Raw floorplans'!I130&gt;0,1,0)+IF('Raw floorplans'!I131&gt;0,1,0)+IF('Raw floorplans'!I132&gt;0,1,0)+IF('Raw floorplans'!I133&gt;0,1,0)+IF('Raw floorplans'!I134&gt;0,1,0)+IF('Raw floorplans'!I135&gt;0,1,0)+IF('Raw floorplans'!I136&gt;0,1,0)+IF('Raw floorplans'!I137&gt;0,1,0)+IF('Raw floorplans'!I138&gt;0,1,0)+IF('Raw floorplans'!I139&gt;0,1,0)+IF('Raw floorplans'!I140&gt;0,1,0))=0,"",MAX(IF('Raw floorplans'!I123&gt;0,'Raw floorplans'!I123,0),IF('Raw floorplans'!I124&gt;0,'Raw floorplans'!I124,0),IF('Raw floorplans'!I125&gt;0,'Raw floorplans'!I125,0),IF('Raw floorplans'!I126&gt;0,'Raw floorplans'!I126,0),IF('Raw floorplans'!I127&gt;0,'Raw floorplans'!I127,0),IF('Raw floorplans'!I128&gt;0,'Raw floorplans'!I128,0),IF('Raw floorplans'!I129&gt;0,'Raw floorplans'!I129,0),IF('Raw floorplans'!I130&gt;0,'Raw floorplans'!I130,0),IF('Raw floorplans'!I131&gt;0,'Raw floorplans'!I131,0),IF('Raw floorplans'!I132&gt;0,'Raw floorplans'!I132,0),IF('Raw floorplans'!I133&gt;0,'Raw floorplans'!I133,0),IF('Raw floorplans'!I134&gt;0,'Raw floorplans'!I134,0),IF('Raw floorplans'!I135&gt;0,'Raw floorplans'!I135,0),IF('Raw floorplans'!I136&gt;0,'Raw floorplans'!I136,0),IF('Raw floorplans'!I137&gt;0,'Raw floorplans'!I137,0),IF('Raw floorplans'!I138&gt;0,'Raw floorplans'!I138,0),IF('Raw floorplans'!I139&gt;0,'Raw floorplans'!I139,0),IF('Raw floorplans'!I140&gt;0,'Raw floorplans'!I140,0)))</x:f>
        <x:v>4346</x:v>
      </x:c>
      <x:c r="L22" s="1" t="n">
        <x:v>0</x:v>
      </x:c>
      <x:c r="M22" s="1" t="n">
        <x:f>IF(AND(ISNUMBER(H22),ISNUMBER(I22),ISNUMBER(J22),ISNUMBER(K22),H22&gt;0,I22&gt;0),IF(OR(H22&lt;&gt;J22,I22&lt;&gt;K22),1,0),0)</x:f>
        <x:v>0</x:v>
      </x:c>
      <x:c r="N22" s="1" t="n">
        <x:f>IF(AND(ISNUMBER(H22),ISNUMBER(I22),H22&gt;0,I22&gt;=H22),1,0)</x:f>
        <x:v>1</x:v>
      </x:c>
      <x:c r="O22" s="1" t="n">
        <x:f>IF(AND(L22=0,M22=0,N22=1),1,0)</x:f>
        <x:v>1</x:v>
      </x:c>
      <x:c r="P22" s="7" t="n">
        <x:f>2*3958.7613*ASIN(SQRT(SIN(RADIANS(F22-35.77951)/2)^2+COS(RADIANS(35.77951))*COS(RADIANS(F22))*SIN(RADIANS(G22-(-78.68168))/2)^2))</x:f>
        <x:v>18.934013667700313</x:v>
      </x:c>
      <x:c r="Q22" s="1" t="str">
        <x:f>IF(P22&lt;=1,"0–1 mi",IF(P22&lt;=3,"&gt;1–3 mi",IF(P22&lt;=5,"&gt;3–5 mi","Outside 5 mi")))</x:f>
        <x:v>Outside 5 mi</x:v>
      </x:c>
      <x:c r="R22" s="7" t="n">
        <x:f>2*3958.7613*ASIN(SQRT(SIN(RADIANS(F22-35.7687)/2)^2+COS(RADIANS(35.7687))*COS(RADIANS(F22))*SIN(RADIANS(G22-(-78.6775))/2)^2))</x:f>
        <x:v>19.660010792239127</x:v>
      </x:c>
      <x:c r="S22" s="1" t="str">
        <x:f>IF(R22&lt;=1,"0–1 mi",IF(R22&lt;=3,"&gt;1–3 mi",IF(R22&lt;=5,"&gt;3–5 mi","Outside 5 mi")))</x:f>
        <x:v>Outside 5 mi</x:v>
      </x:c>
      <x:c r="T22" s="7" t="n">
        <x:f>2*3958.7613*ASIN(SQRT(SIN(RADIANS(F22-35.79847)/2)^2+COS(RADIANS(35.79847))*COS(RADIANS(F22))*SIN(RADIANS(G22-(-78.70408))/2)^2))</x:f>
        <x:v>17.12433105426078</x:v>
      </x:c>
      <x:c r="U22" s="1" t="str">
        <x:f>IF(T22&lt;=1,"0–1 mi",IF(T22&lt;=3,"&gt;1–3 mi",IF(T22&lt;=5,"&gt;3–5 mi","Outside 5 mi")))</x:f>
        <x:v>Outside 5 mi</x:v>
      </x:c>
      <x:c r="V22" s="1" t="n">
        <x:f>IF(MIN(P22,R22,T22)&lt;=5,1,0)</x:f>
        <x:v>0</x:v>
      </x:c>
      <x:c r="W22" s="6" t="n">
        <x:f>IF(O22=1,(H22+I22)/2,"")</x:f>
        <x:v>2861.5</x:v>
      </x:c>
      <x:c r="X22" s="1" t="n">
        <x:f>O22*V22</x:f>
        <x:v>0</x:v>
      </x:c>
      <x:c r="Y22" s="1" t="n">
        <x:v>0</x:v>
      </x:c>
      <x:c r="Z22" s="1" t="n">
        <x:v>0</x:v>
      </x:c>
      <x:c r="AA22" s="1" t="n">
        <x:v>0</x:v>
      </x:c>
      <x:c r="AB22" s="1" t="n">
        <x:v>0</x:v>
      </x:c>
      <x:c r="AC22" s="1" t="n">
        <x:v>0</x:v>
      </x:c>
      <x:c r="AD22" s="1" t="str">
        <x:f>IF('Raw properties'!Y22="","",'Raw properties'!Y22)</x:f>
      </x:c>
      <x:c r="AE22" s="1" t="str">
        <x:v>2026-09-08</x:v>
      </x:c>
      <x:c r="AF22" s="1" t="str">
        <x:v>Included in rent means</x:v>
      </x:c>
      <x:c r="AG22" s="5" t="str">
        <x:v>Source pricing flag retained; automated consistency checks passed. This is not independent landlord verification.</x:v>
      </x:c>
      <x:c r="AH22" s="1" t="str">
        <x:v>$1,377 - $4,346</x:v>
      </x:c>
      <x:c r="AI22" s="8" t="n">
        <x:f>MIN(ABS(P22-1),ABS(P22-3),ABS(P22-5))*5280</x:f>
        <x:v>73571.59216545765</x:v>
      </x:c>
      <x:c r="AJ22" s="8" t="n">
        <x:f>MIN(ABS(R22-1),ABS(R22-3),ABS(R22-5))*5280</x:f>
        <x:v>77404.85698302259</x:v>
      </x:c>
      <x:c r="AK22" s="8" t="n">
        <x:f>MIN(ABS(T22-1),ABS(T22-3),ABS(T22-5))*5280</x:f>
        <x:v>64016.467966496915</x:v>
      </x:c>
      <x:c r="AL22" s="1" t="n">
        <x:f>IF(MIN(AI22,AJ22,AK22)&lt;=100,1,0)</x:f>
        <x:v>0</x:v>
      </x:c>
    </x:row>
    <x:row r="23" ht="15" hidden="0" customHeight="1">
      <x:c r="A23" s="1" t="str">
        <x:f>IF('Raw properties'!A23="","",'Raw properties'!A23)</x:f>
        <x:v>ocpe1n95cm</x:v>
      </x:c>
      <x:c r="B23" s="1" t="str">
        <x:f>IF('Raw properties'!D23="","",'Raw properties'!D23)</x:f>
        <x:v>Big Promotion w/best price ever. Move in Immediately . MarcomTowns. Great location nice</x:v>
      </x:c>
      <x:c r="C23" s="1" t="str">
        <x:f>IF('Raw properties'!AG23="","",'Raw properties'!AG23)</x:f>
        <x:v>https://offcampus.dasa.ncsu.edu/housing/property/big-promotion-w-best-price-ever-move-in-immediately-marcomtowns-great-location-nice/ocpe1n95cm</x:v>
      </x:c>
      <x:c r="D23" s="1" t="str">
        <x:v>Per bedroom</x:v>
      </x:c>
      <x:c r="E23" s="1" t="str">
        <x:v>Per bedroom</x:v>
      </x:c>
      <x:c r="F23" s="7" t="n">
        <x:f>IF('Raw properties'!I23="","",'Raw properties'!I23)</x:f>
        <x:v>35.779182</x:v>
      </x:c>
      <x:c r="G23" s="7" t="n">
        <x:f>IF('Raw properties'!J23="","",'Raw properties'!J23)</x:f>
        <x:v>-78.686005</x:v>
      </x:c>
      <x:c r="H23" s="6" t="n">
        <x:f>IF('Raw properties'!M23="","",'Raw properties'!M23)</x:f>
        <x:v>950</x:v>
      </x:c>
      <x:c r="I23" s="6" t="n">
        <x:f>IF('Raw properties'!N23="","",'Raw properties'!N23)</x:f>
        <x:v>950</x:v>
      </x:c>
      <x:c r="J23" s="6" t="n">
        <x:f>IF((IF('Raw floorplans'!H141&gt;0,1,0))=0,"",MIN(IF('Raw floorplans'!H141&gt;0,'Raw floorplans'!H141,1E99)))</x:f>
        <x:v>950</x:v>
      </x:c>
      <x:c r="K23" s="6" t="n">
        <x:f>IF((IF('Raw floorplans'!I141&gt;0,1,0))=0,"",MAX(IF('Raw floorplans'!I141&gt;0,'Raw floorplans'!I141,0)))</x:f>
        <x:v>950</x:v>
      </x:c>
      <x:c r="L23" s="1" t="n">
        <x:v>0</x:v>
      </x:c>
      <x:c r="M23" s="1" t="n">
        <x:f>IF(AND(ISNUMBER(H23),ISNUMBER(I23),ISNUMBER(J23),ISNUMBER(K23),H23&gt;0,I23&gt;0),IF(OR(H23&lt;&gt;J23,I23&lt;&gt;K23),1,0),0)</x:f>
        <x:v>0</x:v>
      </x:c>
      <x:c r="N23" s="1" t="n">
        <x:f>IF(AND(ISNUMBER(H23),ISNUMBER(I23),H23&gt;0,I23&gt;=H23),1,0)</x:f>
        <x:v>1</x:v>
      </x:c>
      <x:c r="O23" s="1" t="n">
        <x:f>IF(AND(L23=0,M23=0,N23=1),1,0)</x:f>
        <x:v>1</x:v>
      </x:c>
      <x:c r="P23" s="7" t="n">
        <x:f>2*3958.7613*ASIN(SQRT(SIN(RADIANS(F23-35.77951)/2)^2+COS(RADIANS(35.77951))*COS(RADIANS(F23))*SIN(RADIANS(G23-(-78.68168))/2)^2))</x:f>
        <x:v>0.2434893676844631</x:v>
      </x:c>
      <x:c r="Q23" s="1" t="str">
        <x:f>IF(P23&lt;=1,"0–1 mi",IF(P23&lt;=3,"&gt;1–3 mi",IF(P23&lt;=5,"&gt;3–5 mi","Outside 5 mi")))</x:f>
        <x:v>0–1 mi</x:v>
      </x:c>
      <x:c r="R23" s="7" t="n">
        <x:f>2*3958.7613*ASIN(SQRT(SIN(RADIANS(F23-35.7687)/2)^2+COS(RADIANS(35.7687))*COS(RADIANS(F23))*SIN(RADIANS(G23-(-78.6775))/2)^2))</x:f>
        <x:v>0.8670805356544102</x:v>
      </x:c>
      <x:c r="S23" s="1" t="str">
        <x:f>IF(R23&lt;=1,"0–1 mi",IF(R23&lt;=3,"&gt;1–3 mi",IF(R23&lt;=5,"&gt;3–5 mi","Outside 5 mi")))</x:f>
        <x:v>0–1 mi</x:v>
      </x:c>
      <x:c r="T23" s="7" t="n">
        <x:f>2*3958.7613*ASIN(SQRT(SIN(RADIANS(F23-35.79847)/2)^2+COS(RADIANS(35.79847))*COS(RADIANS(F23))*SIN(RADIANS(G23-(-78.70408))/2)^2))</x:f>
        <x:v>1.6740044502439475</x:v>
      </x:c>
      <x:c r="U23" s="1" t="str">
        <x:f>IF(T23&lt;=1,"0–1 mi",IF(T23&lt;=3,"&gt;1–3 mi",IF(T23&lt;=5,"&gt;3–5 mi","Outside 5 mi")))</x:f>
        <x:v>&gt;1–3 mi</x:v>
      </x:c>
      <x:c r="V23" s="1" t="n">
        <x:f>IF(MIN(P23,R23,T23)&lt;=5,1,0)</x:f>
        <x:v>1</x:v>
      </x:c>
      <x:c r="W23" s="6" t="n">
        <x:f>IF(O23=1,(H23+I23)/2,"")</x:f>
        <x:v>950</x:v>
      </x:c>
      <x:c r="X23" s="1" t="n">
        <x:f>O23*V23</x:f>
        <x:v>1</x:v>
      </x:c>
      <x:c r="Y23" s="1" t="n">
        <x:v>0</x:v>
      </x:c>
      <x:c r="Z23" s="1" t="n">
        <x:v>0</x:v>
      </x:c>
      <x:c r="AA23" s="1" t="n">
        <x:v>0</x:v>
      </x:c>
      <x:c r="AB23" s="1" t="n">
        <x:v>0</x:v>
      </x:c>
      <x:c r="AC23" s="1" t="n">
        <x:v>0</x:v>
      </x:c>
      <x:c r="AD23" s="1" t="str">
        <x:f>IF('Raw properties'!Y23="","",'Raw properties'!Y23)</x:f>
        <x:v>12 Month Lease</x:v>
      </x:c>
      <x:c r="AE23" s="1" t="str">
        <x:v>1970-01-01</x:v>
      </x:c>
      <x:c r="AF23" s="1" t="str">
        <x:v>Included in rent means</x:v>
      </x:c>
      <x:c r="AG23" s="5" t="str">
        <x:v>Source pricing flag retained; automated consistency checks passed. This is not independent landlord verification.</x:v>
      </x:c>
      <x:c r="AH23" s="1" t="str">
        <x:v>$950</x:v>
      </x:c>
      <x:c r="AI23" s="8" t="n">
        <x:f>MIN(ABS(P23-1),ABS(P23-3),ABS(P23-5))*5280</x:f>
        <x:v>3994.3761386260344</x:v>
      </x:c>
      <x:c r="AJ23" s="8" t="n">
        <x:f>MIN(ABS(R23-1),ABS(R23-3),ABS(R23-5))*5280</x:f>
        <x:v>701.814771744714</x:v>
      </x:c>
      <x:c r="AK23" s="8" t="n">
        <x:f>MIN(ABS(T23-1),ABS(T23-3),ABS(T23-5))*5280</x:f>
        <x:v>3558.743497288043</x:v>
      </x:c>
      <x:c r="AL23" s="1" t="n">
        <x:f>IF(MIN(AI23,AJ23,AK23)&lt;=100,1,0)</x:f>
        <x:v>0</x:v>
      </x:c>
    </x:row>
    <x:row r="24" ht="24" hidden="0" customHeight="1">
      <x:c r="A24" s="1" t="str">
        <x:f>IF('Raw properties'!A24="","",'Raw properties'!A24)</x:f>
        <x:v>p8mlexs</x:v>
      </x:c>
      <x:c r="B24" s="1" t="str">
        <x:f>IF('Raw properties'!D24="","",'Raw properties'!D24)</x:f>
        <x:v>Valentine Commons</x:v>
      </x:c>
      <x:c r="C24" s="1" t="str">
        <x:f>IF('Raw properties'!AG24="","",'Raw properties'!AG24)</x:f>
        <x:v>https://offcampus.dasa.ncsu.edu/housing/property/valentine-commons/p8mlexs</x:v>
      </x:c>
      <x:c r="D24" s="1" t="str">
        <x:v>Whole unit</x:v>
      </x:c>
      <x:c r="E24" s="1" t="str">
        <x:v>Review</x:v>
      </x:c>
      <x:c r="F24" s="7" t="n">
        <x:f>IF('Raw properties'!I24="","",'Raw properties'!I24)</x:f>
        <x:v>35.788189</x:v>
      </x:c>
      <x:c r="G24" s="7" t="n">
        <x:f>IF('Raw properties'!J24="","",'Raw properties'!J24)</x:f>
        <x:v>-78.676931</x:v>
      </x:c>
      <x:c r="H24" s="6" t="n">
        <x:f>IF('Raw properties'!M24="","",'Raw properties'!M24)</x:f>
        <x:v>1190</x:v>
      </x:c>
      <x:c r="I24" s="6" t="n">
        <x:f>IF('Raw properties'!N24="","",'Raw properties'!N24)</x:f>
        <x:v>2238</x:v>
      </x:c>
      <x:c r="J24" s="6" t="n">
        <x:f>IF((IF('Raw floorplans'!H142&gt;0,1,0)+IF('Raw floorplans'!H143&gt;0,1,0)+IF('Raw floorplans'!H144&gt;0,1,0)+IF('Raw floorplans'!H145&gt;0,1,0)+IF('Raw floorplans'!H146&gt;0,1,0)+IF('Raw floorplans'!H147&gt;0,1,0)+IF('Raw floorplans'!H148&gt;0,1,0)+IF('Raw floorplans'!H149&gt;0,1,0)+IF('Raw floorplans'!H150&gt;0,1,0)+IF('Raw floorplans'!H151&gt;0,1,0)+IF('Raw floorplans'!H152&gt;0,1,0)+IF('Raw floorplans'!H153&gt;0,1,0))=0,"",MIN(IF('Raw floorplans'!H142&gt;0,'Raw floorplans'!H142,1E99),IF('Raw floorplans'!H143&gt;0,'Raw floorplans'!H143,1E99),IF('Raw floorplans'!H144&gt;0,'Raw floorplans'!H144,1E99),IF('Raw floorplans'!H145&gt;0,'Raw floorplans'!H145,1E99),IF('Raw floorplans'!H146&gt;0,'Raw floorplans'!H146,1E99),IF('Raw floorplans'!H147&gt;0,'Raw floorplans'!H147,1E99),IF('Raw floorplans'!H148&gt;0,'Raw floorplans'!H148,1E99),IF('Raw floorplans'!H149&gt;0,'Raw floorplans'!H149,1E99),IF('Raw floorplans'!H150&gt;0,'Raw floorplans'!H150,1E99),IF('Raw floorplans'!H151&gt;0,'Raw floorplans'!H151,1E99),IF('Raw floorplans'!H152&gt;0,'Raw floorplans'!H152,1E99),IF('Raw floorplans'!H153&gt;0,'Raw floorplans'!H153,1E99)))</x:f>
        <x:v>1190</x:v>
      </x:c>
      <x:c r="K24" s="6" t="n">
        <x:f>IF((IF('Raw floorplans'!I142&gt;0,1,0)+IF('Raw floorplans'!I143&gt;0,1,0)+IF('Raw floorplans'!I144&gt;0,1,0)+IF('Raw floorplans'!I145&gt;0,1,0)+IF('Raw floorplans'!I146&gt;0,1,0)+IF('Raw floorplans'!I147&gt;0,1,0)+IF('Raw floorplans'!I148&gt;0,1,0)+IF('Raw floorplans'!I149&gt;0,1,0)+IF('Raw floorplans'!I150&gt;0,1,0)+IF('Raw floorplans'!I151&gt;0,1,0)+IF('Raw floorplans'!I152&gt;0,1,0)+IF('Raw floorplans'!I153&gt;0,1,0))=0,"",MAX(IF('Raw floorplans'!I142&gt;0,'Raw floorplans'!I142,0),IF('Raw floorplans'!I143&gt;0,'Raw floorplans'!I143,0),IF('Raw floorplans'!I144&gt;0,'Raw floorplans'!I144,0),IF('Raw floorplans'!I145&gt;0,'Raw floorplans'!I145,0),IF('Raw floorplans'!I146&gt;0,'Raw floorplans'!I146,0),IF('Raw floorplans'!I147&gt;0,'Raw floorplans'!I147,0),IF('Raw floorplans'!I148&gt;0,'Raw floorplans'!I148,0),IF('Raw floorplans'!I149&gt;0,'Raw floorplans'!I149,0),IF('Raw floorplans'!I150&gt;0,'Raw floorplans'!I150,0),IF('Raw floorplans'!I151&gt;0,'Raw floorplans'!I151,0),IF('Raw floorplans'!I152&gt;0,'Raw floorplans'!I152,0),IF('Raw floorplans'!I153&gt;0,'Raw floorplans'!I153,0)))</x:f>
        <x:v>2238</x:v>
      </x:c>
      <x:c r="L24" s="1" t="n">
        <x:v>1</x:v>
      </x:c>
      <x:c r="M24" s="1" t="n">
        <x:f>IF(AND(ISNUMBER(H24),ISNUMBER(I24),ISNUMBER(J24),ISNUMBER(K24),H24&gt;0,I24&gt;0),IF(OR(H24&lt;&gt;J24,I24&lt;&gt;K24),1,0),0)</x:f>
        <x:v>0</x:v>
      </x:c>
      <x:c r="N24" s="1" t="n">
        <x:f>IF(AND(ISNUMBER(H24),ISNUMBER(I24),H24&gt;0,I24&gt;=H24),1,0)</x:f>
        <x:v>1</x:v>
      </x:c>
      <x:c r="O24" s="1" t="n">
        <x:f>IF(AND(L24=0,M24=0,N24=1),1,0)</x:f>
        <x:v>0</x:v>
      </x:c>
      <x:c r="P24" s="7" t="n">
        <x:f>2*3958.7613*ASIN(SQRT(SIN(RADIANS(F24-35.77951)/2)^2+COS(RADIANS(35.77951))*COS(RADIANS(F24))*SIN(RADIANS(G24-(-78.68168))/2)^2))</x:f>
        <x:v>0.6560855439561795</x:v>
      </x:c>
      <x:c r="Q24" s="1" t="str">
        <x:f>IF(P24&lt;=1,"0–1 mi",IF(P24&lt;=3,"&gt;1–3 mi",IF(P24&lt;=5,"&gt;3–5 mi","Outside 5 mi")))</x:f>
        <x:v>0–1 mi</x:v>
      </x:c>
      <x:c r="R24" s="7" t="n">
        <x:f>2*3958.7613*ASIN(SQRT(SIN(RADIANS(F24-35.7687)/2)^2+COS(RADIANS(35.7687))*COS(RADIANS(F24))*SIN(RADIANS(G24-(-78.6775))/2)^2))</x:f>
        <x:v>1.346939324702445</x:v>
      </x:c>
      <x:c r="S24" s="1" t="str">
        <x:f>IF(R24&lt;=1,"0–1 mi",IF(R24&lt;=3,"&gt;1–3 mi",IF(R24&lt;=5,"&gt;3–5 mi","Outside 5 mi")))</x:f>
        <x:v>&gt;1–3 mi</x:v>
      </x:c>
      <x:c r="T24" s="7" t="n">
        <x:f>2*3958.7613*ASIN(SQRT(SIN(RADIANS(F24-35.79847)/2)^2+COS(RADIANS(35.79847))*COS(RADIANS(F24))*SIN(RADIANS(G24-(-78.70408))/2)^2))</x:f>
        <x:v>1.6791860340166815</x:v>
      </x:c>
      <x:c r="U24" s="1" t="str">
        <x:f>IF(T24&lt;=1,"0–1 mi",IF(T24&lt;=3,"&gt;1–3 mi",IF(T24&lt;=5,"&gt;3–5 mi","Outside 5 mi")))</x:f>
        <x:v>&gt;1–3 mi</x:v>
      </x:c>
      <x:c r="V24" s="1" t="n">
        <x:f>IF(MIN(P24,R24,T24)&lt;=5,1,0)</x:f>
        <x:v>1</x:v>
      </x:c>
      <x:c r="W24" s="6" t="str">
        <x:f>IF(O24=1,(H24+I24)/2,"")</x:f>
      </x:c>
      <x:c r="X24" s="1" t="n">
        <x:f>O24*V24</x:f>
        <x:v>0</x:v>
      </x:c>
      <x:c r="Y24" s="1" t="n">
        <x:v>0</x:v>
      </x:c>
      <x:c r="Z24" s="1" t="n">
        <x:v>0</x:v>
      </x:c>
      <x:c r="AA24" s="1" t="n">
        <x:v>0</x:v>
      </x:c>
      <x:c r="AB24" s="1" t="n">
        <x:v>1</x:v>
      </x:c>
      <x:c r="AC24" s="1" t="n">
        <x:v>0</x:v>
      </x:c>
      <x:c r="AD24" s="1" t="str">
        <x:f>IF('Raw properties'!Y24="","",'Raw properties'!Y24)</x:f>
        <x:v>12 Month Lease</x:v>
      </x:c>
      <x:c r="AE24" s="1" t="str">
        <x:v>2026-08-12</x:v>
      </x:c>
      <x:c r="AF24" s="1" t="str">
        <x:v>Excluded from rent means</x:v>
      </x:c>
      <x:c r="AG24" s="5" t="str">
        <x:v>Saved floor plans contain both per-bedroom and whole-unit flags. A single property range cannot be assigned a reliable common pricing basis; no division by bedroom count or price substitution.</x:v>
      </x:c>
      <x:c r="AH24" s="1" t="str">
        <x:v>$1,190 - $2,238</x:v>
      </x:c>
      <x:c r="AI24" s="8" t="n">
        <x:f>MIN(ABS(P24-1),ABS(P24-3),ABS(P24-5))*5280</x:f>
        <x:v>1815.8683279113725</x:v>
      </x:c>
      <x:c r="AJ24" s="8" t="n">
        <x:f>MIN(ABS(R24-1),ABS(R24-3),ABS(R24-5))*5280</x:f>
        <x:v>1831.83963442891</x:v>
      </x:c>
      <x:c r="AK24" s="8" t="n">
        <x:f>MIN(ABS(T24-1),ABS(T24-3),ABS(T24-5))*5280</x:f>
        <x:v>3586.1022596080784</x:v>
      </x:c>
      <x:c r="AL24" s="1" t="n">
        <x:f>IF(MIN(AI24,AJ24,AK24)&lt;=100,1,0)</x:f>
        <x:v>0</x:v>
      </x:c>
    </x:row>
    <x:row r="25" ht="15" hidden="0" customHeight="1">
      <x:c r="A25" s="1" t="str">
        <x:f>IF('Raw properties'!A25="","",'Raw properties'!A25)</x:f>
        <x:v>ocp2evl6hb</x:v>
      </x:c>
      <x:c r="B25" s="1" t="str">
        <x:f>IF('Raw properties'!D25="","",'Raw properties'!D25)</x:f>
        <x:v>University Oaks -</x:v>
      </x:c>
      <x:c r="C25" s="1" t="str">
        <x:f>IF('Raw properties'!AG25="","",'Raw properties'!AG25)</x:f>
        <x:v>https://offcampus.dasa.ncsu.edu/housing/property/university-oaks/ocp2evl6hb</x:v>
      </x:c>
      <x:c r="D25" s="1" t="str">
        <x:v>Per bedroom</x:v>
      </x:c>
      <x:c r="E25" s="1" t="str">
        <x:v>Per bedroom</x:v>
      </x:c>
      <x:c r="F25" s="7" t="n">
        <x:f>IF('Raw properties'!I25="","",'Raw properties'!I25)</x:f>
        <x:v>35.782805</x:v>
      </x:c>
      <x:c r="G25" s="7" t="n">
        <x:f>IF('Raw properties'!J25="","",'Raw properties'!J25)</x:f>
        <x:v>-78.688398</x:v>
      </x:c>
      <x:c r="H25" s="6" t="n">
        <x:f>IF('Raw properties'!M25="","",'Raw properties'!M25)</x:f>
        <x:v>725</x:v>
      </x:c>
      <x:c r="I25" s="6" t="n">
        <x:f>IF('Raw properties'!N25="","",'Raw properties'!N25)</x:f>
        <x:v>725</x:v>
      </x:c>
      <x:c r="J25" s="6" t="n">
        <x:f>IF((IF('Raw floorplans'!H154&gt;0,1,0))=0,"",MIN(IF('Raw floorplans'!H154&gt;0,'Raw floorplans'!H154,1E99)))</x:f>
        <x:v>725</x:v>
      </x:c>
      <x:c r="K25" s="6" t="n">
        <x:f>IF((IF('Raw floorplans'!I154&gt;0,1,0))=0,"",MAX(IF('Raw floorplans'!I154&gt;0,'Raw floorplans'!I154,0)))</x:f>
        <x:v>725</x:v>
      </x:c>
      <x:c r="L25" s="1" t="n">
        <x:v>0</x:v>
      </x:c>
      <x:c r="M25" s="1" t="n">
        <x:f>IF(AND(ISNUMBER(H25),ISNUMBER(I25),ISNUMBER(J25),ISNUMBER(K25),H25&gt;0,I25&gt;0),IF(OR(H25&lt;&gt;J25,I25&lt;&gt;K25),1,0),0)</x:f>
        <x:v>0</x:v>
      </x:c>
      <x:c r="N25" s="1" t="n">
        <x:f>IF(AND(ISNUMBER(H25),ISNUMBER(I25),H25&gt;0,I25&gt;=H25),1,0)</x:f>
        <x:v>1</x:v>
      </x:c>
      <x:c r="O25" s="1" t="n">
        <x:f>IF(AND(L25=0,M25=0,N25=1),1,0)</x:f>
        <x:v>1</x:v>
      </x:c>
      <x:c r="P25" s="7" t="n">
        <x:f>2*3958.7613*ASIN(SQRT(SIN(RADIANS(F25-35.77951)/2)^2+COS(RADIANS(35.77951))*COS(RADIANS(F25))*SIN(RADIANS(G25-(-78.68168))/2)^2))</x:f>
        <x:v>0.44003194915677424</x:v>
      </x:c>
      <x:c r="Q25" s="1" t="str">
        <x:f>IF(P25&lt;=1,"0–1 mi",IF(P25&lt;=3,"&gt;1–3 mi",IF(P25&lt;=5,"&gt;3–5 mi","Outside 5 mi")))</x:f>
        <x:v>0–1 mi</x:v>
      </x:c>
      <x:c r="R25" s="7" t="n">
        <x:f>2*3958.7613*ASIN(SQRT(SIN(RADIANS(F25-35.7687)/2)^2+COS(RADIANS(35.7687))*COS(RADIANS(F25))*SIN(RADIANS(G25-(-78.6775))/2)^2))</x:f>
        <x:v>1.1502055190265965</x:v>
      </x:c>
      <x:c r="S25" s="1" t="str">
        <x:f>IF(R25&lt;=1,"0–1 mi",IF(R25&lt;=3,"&gt;1–3 mi",IF(R25&lt;=5,"&gt;3–5 mi","Outside 5 mi")))</x:f>
        <x:v>&gt;1–3 mi</x:v>
      </x:c>
      <x:c r="T25" s="7" t="n">
        <x:f>2*3958.7613*ASIN(SQRT(SIN(RADIANS(F25-35.79847)/2)^2+COS(RADIANS(35.79847))*COS(RADIANS(F25))*SIN(RADIANS(G25-(-78.70408))/2)^2))</x:f>
        <x:v>1.3942598754990863</x:v>
      </x:c>
      <x:c r="U25" s="1" t="str">
        <x:f>IF(T25&lt;=1,"0–1 mi",IF(T25&lt;=3,"&gt;1–3 mi",IF(T25&lt;=5,"&gt;3–5 mi","Outside 5 mi")))</x:f>
        <x:v>&gt;1–3 mi</x:v>
      </x:c>
      <x:c r="V25" s="1" t="n">
        <x:f>IF(MIN(P25,R25,T25)&lt;=5,1,0)</x:f>
        <x:v>1</x:v>
      </x:c>
      <x:c r="W25" s="6" t="n">
        <x:f>IF(O25=1,(H25+I25)/2,"")</x:f>
        <x:v>725</x:v>
      </x:c>
      <x:c r="X25" s="1" t="n">
        <x:f>O25*V25</x:f>
        <x:v>1</x:v>
      </x:c>
      <x:c r="Y25" s="1" t="n">
        <x:v>0</x:v>
      </x:c>
      <x:c r="Z25" s="1" t="n">
        <x:v>0</x:v>
      </x:c>
      <x:c r="AA25" s="1" t="n">
        <x:v>0</x:v>
      </x:c>
      <x:c r="AB25" s="1" t="n">
        <x:v>0</x:v>
      </x:c>
      <x:c r="AC25" s="1" t="n">
        <x:v>0</x:v>
      </x:c>
      <x:c r="AD25" s="1" t="str">
        <x:f>IF('Raw properties'!Y25="","",'Raw properties'!Y25)</x:f>
        <x:v>12 Month Lease</x:v>
      </x:c>
      <x:c r="AE25" s="1" t="str">
        <x:v>2026-06-01</x:v>
      </x:c>
      <x:c r="AF25" s="1" t="str">
        <x:v>Included in rent means</x:v>
      </x:c>
      <x:c r="AG25" s="5" t="str">
        <x:v>Source pricing flag retained; automated consistency checks passed. This is not independent landlord verification.</x:v>
      </x:c>
      <x:c r="AH25" s="1" t="str">
        <x:v>$725</x:v>
      </x:c>
      <x:c r="AI25" s="8" t="n">
        <x:f>MIN(ABS(P25-1),ABS(P25-3),ABS(P25-5))*5280</x:f>
        <x:v>2956.631308452232</x:v>
      </x:c>
      <x:c r="AJ25" s="8" t="n">
        <x:f>MIN(ABS(R25-1),ABS(R25-3),ABS(R25-5))*5280</x:f>
        <x:v>793.0851404604296</x:v>
      </x:c>
      <x:c r="AK25" s="8" t="n">
        <x:f>MIN(ABS(T25-1),ABS(T25-3),ABS(T25-5))*5280</x:f>
        <x:v>2081.6921426351755</x:v>
      </x:c>
      <x:c r="AL25" s="1" t="n">
        <x:f>IF(MIN(AI25,AJ25,AK25)&lt;=100,1,0)</x:f>
        <x:v>0</x:v>
      </x:c>
    </x:row>
    <x:row r="26" ht="24" hidden="0" customHeight="1">
      <x:c r="A26" s="1" t="str">
        <x:f>IF('Raw properties'!A26="","",'Raw properties'!A26)</x:f>
        <x:v>fgrbwjv</x:v>
      </x:c>
      <x:c r="B26" s="1" t="str">
        <x:f>IF('Raw properties'!D26="","",'Raw properties'!D26)</x:f>
        <x:v>Stanhope</x:v>
      </x:c>
      <x:c r="C26" s="1" t="str">
        <x:f>IF('Raw properties'!AG26="","",'Raw properties'!AG26)</x:f>
        <x:v>https://offcampus.dasa.ncsu.edu/housing/property/stanhope/fgrbwjv</x:v>
      </x:c>
      <x:c r="D26" s="1" t="str">
        <x:v>Whole unit</x:v>
      </x:c>
      <x:c r="E26" s="1" t="str">
        <x:v>Review</x:v>
      </x:c>
      <x:c r="F26" s="7" t="n">
        <x:f>IF('Raw properties'!I26="","",'Raw properties'!I26)</x:f>
        <x:v>35.789503</x:v>
      </x:c>
      <x:c r="G26" s="7" t="n">
        <x:f>IF('Raw properties'!J26="","",'Raw properties'!J26)</x:f>
        <x:v>-78.676817</x:v>
      </x:c>
      <x:c r="H26" s="6" t="n">
        <x:f>IF('Raw properties'!M26="","",'Raw properties'!M26)</x:f>
        <x:v>845</x:v>
      </x:c>
      <x:c r="I26" s="6" t="n">
        <x:f>IF('Raw properties'!N26="","",'Raw properties'!N26)</x:f>
        <x:v>1695</x:v>
      </x:c>
      <x:c r="J26" s="6" t="n">
        <x:f>IF((IF('Raw floorplans'!H155&gt;0,1,0)+IF('Raw floorplans'!H156&gt;0,1,0)+IF('Raw floorplans'!H157&gt;0,1,0)+IF('Raw floorplans'!H158&gt;0,1,0)+IF('Raw floorplans'!H159&gt;0,1,0)+IF('Raw floorplans'!H160&gt;0,1,0)+IF('Raw floorplans'!H161&gt;0,1,0)+IF('Raw floorplans'!H162&gt;0,1,0)+IF('Raw floorplans'!H163&gt;0,1,0)+IF('Raw floorplans'!H164&gt;0,1,0))=0,"",MIN(IF('Raw floorplans'!H155&gt;0,'Raw floorplans'!H155,1E99),IF('Raw floorplans'!H156&gt;0,'Raw floorplans'!H156,1E99),IF('Raw floorplans'!H157&gt;0,'Raw floorplans'!H157,1E99),IF('Raw floorplans'!H158&gt;0,'Raw floorplans'!H158,1E99),IF('Raw floorplans'!H159&gt;0,'Raw floorplans'!H159,1E99),IF('Raw floorplans'!H160&gt;0,'Raw floorplans'!H160,1E99),IF('Raw floorplans'!H161&gt;0,'Raw floorplans'!H161,1E99),IF('Raw floorplans'!H162&gt;0,'Raw floorplans'!H162,1E99),IF('Raw floorplans'!H163&gt;0,'Raw floorplans'!H163,1E99),IF('Raw floorplans'!H164&gt;0,'Raw floorplans'!H164,1E99)))</x:f>
        <x:v>845</x:v>
      </x:c>
      <x:c r="K26" s="6" t="n">
        <x:f>IF((IF('Raw floorplans'!I155&gt;0,1,0)+IF('Raw floorplans'!I156&gt;0,1,0)+IF('Raw floorplans'!I157&gt;0,1,0)+IF('Raw floorplans'!I158&gt;0,1,0)+IF('Raw floorplans'!I159&gt;0,1,0)+IF('Raw floorplans'!I160&gt;0,1,0)+IF('Raw floorplans'!I161&gt;0,1,0)+IF('Raw floorplans'!I162&gt;0,1,0)+IF('Raw floorplans'!I163&gt;0,1,0)+IF('Raw floorplans'!I164&gt;0,1,0))=0,"",MAX(IF('Raw floorplans'!I155&gt;0,'Raw floorplans'!I155,0),IF('Raw floorplans'!I156&gt;0,'Raw floorplans'!I156,0),IF('Raw floorplans'!I157&gt;0,'Raw floorplans'!I157,0),IF('Raw floorplans'!I158&gt;0,'Raw floorplans'!I158,0),IF('Raw floorplans'!I159&gt;0,'Raw floorplans'!I159,0),IF('Raw floorplans'!I160&gt;0,'Raw floorplans'!I160,0),IF('Raw floorplans'!I161&gt;0,'Raw floorplans'!I161,0),IF('Raw floorplans'!I162&gt;0,'Raw floorplans'!I162,0),IF('Raw floorplans'!I163&gt;0,'Raw floorplans'!I163,0),IF('Raw floorplans'!I164&gt;0,'Raw floorplans'!I164,0)))</x:f>
        <x:v>1695</x:v>
      </x:c>
      <x:c r="L26" s="1" t="n">
        <x:v>1</x:v>
      </x:c>
      <x:c r="M26" s="1" t="n">
        <x:f>IF(AND(ISNUMBER(H26),ISNUMBER(I26),ISNUMBER(J26),ISNUMBER(K26),H26&gt;0,I26&gt;0),IF(OR(H26&lt;&gt;J26,I26&lt;&gt;K26),1,0),0)</x:f>
        <x:v>0</x:v>
      </x:c>
      <x:c r="N26" s="1" t="n">
        <x:f>IF(AND(ISNUMBER(H26),ISNUMBER(I26),H26&gt;0,I26&gt;=H26),1,0)</x:f>
        <x:v>1</x:v>
      </x:c>
      <x:c r="O26" s="1" t="n">
        <x:f>IF(AND(L26=0,M26=0,N26=1),1,0)</x:f>
        <x:v>0</x:v>
      </x:c>
      <x:c r="P26" s="7" t="n">
        <x:f>2*3958.7613*ASIN(SQRT(SIN(RADIANS(F26-35.77951)/2)^2+COS(RADIANS(35.77951))*COS(RADIANS(F26))*SIN(RADIANS(G26-(-78.68168))/2)^2))</x:f>
        <x:v>0.7423053532169329</x:v>
      </x:c>
      <x:c r="Q26" s="1" t="str">
        <x:f>IF(P26&lt;=1,"0–1 mi",IF(P26&lt;=3,"&gt;1–3 mi",IF(P26&lt;=5,"&gt;3–5 mi","Outside 5 mi")))</x:f>
        <x:v>0–1 mi</x:v>
      </x:c>
      <x:c r="R26" s="7" t="n">
        <x:f>2*3958.7613*ASIN(SQRT(SIN(RADIANS(F26-35.7687)/2)^2+COS(RADIANS(35.7687))*COS(RADIANS(F26))*SIN(RADIANS(G26-(-78.6775))/2)^2))</x:f>
        <x:v>1.4378601760673442</x:v>
      </x:c>
      <x:c r="S26" s="1" t="str">
        <x:f>IF(R26&lt;=1,"0–1 mi",IF(R26&lt;=3,"&gt;1–3 mi",IF(R26&lt;=5,"&gt;3–5 mi","Outside 5 mi")))</x:f>
        <x:v>&gt;1–3 mi</x:v>
      </x:c>
      <x:c r="T26" s="7" t="n">
        <x:f>2*3958.7613*ASIN(SQRT(SIN(RADIANS(F26-35.79847)/2)^2+COS(RADIANS(35.79847))*COS(RADIANS(F26))*SIN(RADIANS(G26-(-78.70408))/2)^2))</x:f>
        <x:v>1.6487477843858058</x:v>
      </x:c>
      <x:c r="U26" s="1" t="str">
        <x:f>IF(T26&lt;=1,"0–1 mi",IF(T26&lt;=3,"&gt;1–3 mi",IF(T26&lt;=5,"&gt;3–5 mi","Outside 5 mi")))</x:f>
        <x:v>&gt;1–3 mi</x:v>
      </x:c>
      <x:c r="V26" s="1" t="n">
        <x:f>IF(MIN(P26,R26,T26)&lt;=5,1,0)</x:f>
        <x:v>1</x:v>
      </x:c>
      <x:c r="W26" s="6" t="str">
        <x:f>IF(O26=1,(H26+I26)/2,"")</x:f>
      </x:c>
      <x:c r="X26" s="1" t="n">
        <x:f>O26*V26</x:f>
        <x:v>0</x:v>
      </x:c>
      <x:c r="Y26" s="1" t="n">
        <x:v>0</x:v>
      </x:c>
      <x:c r="Z26" s="1" t="n">
        <x:v>0</x:v>
      </x:c>
      <x:c r="AA26" s="1" t="n">
        <x:v>0</x:v>
      </x:c>
      <x:c r="AB26" s="1" t="n">
        <x:v>1</x:v>
      </x:c>
      <x:c r="AC26" s="1" t="n">
        <x:v>0</x:v>
      </x:c>
      <x:c r="AD26" s="1" t="str">
        <x:f>IF('Raw properties'!Y26="","",'Raw properties'!Y26)</x:f>
        <x:v>11 Month Lease</x:v>
      </x:c>
      <x:c r="AE26" s="1" t="str">
        <x:v>2026-08-13</x:v>
      </x:c>
      <x:c r="AF26" s="1" t="str">
        <x:v>Excluded from rent means</x:v>
      </x:c>
      <x:c r="AG26" s="5" t="str">
        <x:v>Saved floor plans contain both per-bedroom and whole-unit flags. A single property range cannot be assigned a reliable common pricing basis; no division by bedroom count or price substitution.</x:v>
      </x:c>
      <x:c r="AH26" s="1" t="str">
        <x:v>$845 - $1,695</x:v>
      </x:c>
      <x:c r="AI26" s="8" t="n">
        <x:f>MIN(ABS(P26-1),ABS(P26-3),ABS(P26-5))*5280</x:f>
        <x:v>1360.6277350145942</x:v>
      </x:c>
      <x:c r="AJ26" s="8" t="n">
        <x:f>MIN(ABS(R26-1),ABS(R26-3),ABS(R26-5))*5280</x:f>
        <x:v>2311.9017296355773</x:v>
      </x:c>
      <x:c r="AK26" s="8" t="n">
        <x:f>MIN(ABS(T26-1),ABS(T26-3),ABS(T26-5))*5280</x:f>
        <x:v>3425.3883015570545</x:v>
      </x:c>
      <x:c r="AL26" s="1" t="n">
        <x:f>IF(MIN(AI26,AJ26,AK26)&lt;=100,1,0)</x:f>
        <x:v>0</x:v>
      </x:c>
    </x:row>
    <x:row r="27" ht="15" hidden="0" customHeight="1">
      <x:c r="A27" s="1" t="str">
        <x:f>IF('Raw properties'!A27="","",'Raw properties'!A27)</x:f>
        <x:v>ocpvlydr3e</x:v>
      </x:c>
      <x:c r="B27" s="1" t="str">
        <x:f>IF('Raw properties'!D27="","",'Raw properties'!D27)</x:f>
        <x:v>Reavis ---Brand New Luxury Housing within walking distance to NCSU</x:v>
      </x:c>
      <x:c r="C27" s="1" t="str">
        <x:f>IF('Raw properties'!AG27="","",'Raw properties'!AG27)</x:f>
        <x:v>https://offcampus.dasa.ncsu.edu/housing/property/reavis-brand-new-luxury-housing-within-walking-distance-to-ncsu/ocpvlydr3e</x:v>
      </x:c>
      <x:c r="D27" s="1" t="str">
        <x:v>Per bedroom</x:v>
      </x:c>
      <x:c r="E27" s="1" t="str">
        <x:v>Per bedroom</x:v>
      </x:c>
      <x:c r="F27" s="7" t="n">
        <x:f>IF('Raw properties'!I27="","",'Raw properties'!I27)</x:f>
        <x:v>35.785622</x:v>
      </x:c>
      <x:c r="G27" s="7" t="n">
        <x:f>IF('Raw properties'!J27="","",'Raw properties'!J27)</x:f>
        <x:v>-78.69476</x:v>
      </x:c>
      <x:c r="H27" s="6" t="n">
        <x:f>IF('Raw properties'!M27="","",'Raw properties'!M27)</x:f>
        <x:v>925</x:v>
      </x:c>
      <x:c r="I27" s="6" t="n">
        <x:f>IF('Raw properties'!N27="","",'Raw properties'!N27)</x:f>
        <x:v>975</x:v>
      </x:c>
      <x:c r="J27" s="6" t="n">
        <x:f>IF((IF('Raw floorplans'!H165&gt;0,1,0))=0,"",MIN(IF('Raw floorplans'!H165&gt;0,'Raw floorplans'!H165,1E99)))</x:f>
        <x:v>925</x:v>
      </x:c>
      <x:c r="K27" s="6" t="n">
        <x:f>IF((IF('Raw floorplans'!I165&gt;0,1,0))=0,"",MAX(IF('Raw floorplans'!I165&gt;0,'Raw floorplans'!I165,0)))</x:f>
        <x:v>975</x:v>
      </x:c>
      <x:c r="L27" s="1" t="n">
        <x:v>0</x:v>
      </x:c>
      <x:c r="M27" s="1" t="n">
        <x:f>IF(AND(ISNUMBER(H27),ISNUMBER(I27),ISNUMBER(J27),ISNUMBER(K27),H27&gt;0,I27&gt;0),IF(OR(H27&lt;&gt;J27,I27&lt;&gt;K27),1,0),0)</x:f>
        <x:v>0</x:v>
      </x:c>
      <x:c r="N27" s="1" t="n">
        <x:f>IF(AND(ISNUMBER(H27),ISNUMBER(I27),H27&gt;0,I27&gt;=H27),1,0)</x:f>
        <x:v>1</x:v>
      </x:c>
      <x:c r="O27" s="1" t="n">
        <x:f>IF(AND(L27=0,M27=0,N27=1),1,0)</x:f>
        <x:v>1</x:v>
      </x:c>
      <x:c r="P27" s="7" t="n">
        <x:f>2*3958.7613*ASIN(SQRT(SIN(RADIANS(F27-35.77951)/2)^2+COS(RADIANS(35.77951))*COS(RADIANS(F27))*SIN(RADIANS(G27-(-78.68168))/2)^2))</x:f>
        <x:v>0.8460792131088617</x:v>
      </x:c>
      <x:c r="Q27" s="1" t="str">
        <x:f>IF(P27&lt;=1,"0–1 mi",IF(P27&lt;=3,"&gt;1–3 mi",IF(P27&lt;=5,"&gt;3–5 mi","Outside 5 mi")))</x:f>
        <x:v>0–1 mi</x:v>
      </x:c>
      <x:c r="R27" s="7" t="n">
        <x:f>2*3958.7613*ASIN(SQRT(SIN(RADIANS(F27-35.7687)/2)^2+COS(RADIANS(35.7687))*COS(RADIANS(F27))*SIN(RADIANS(G27-(-78.6775))/2)^2))</x:f>
        <x:v>1.517599897051504</x:v>
      </x:c>
      <x:c r="S27" s="1" t="str">
        <x:f>IF(R27&lt;=1,"0–1 mi",IF(R27&lt;=3,"&gt;1–3 mi",IF(R27&lt;=5,"&gt;3–5 mi","Outside 5 mi")))</x:f>
        <x:v>&gt;1–3 mi</x:v>
      </x:c>
      <x:c r="T27" s="7" t="n">
        <x:f>2*3958.7613*ASIN(SQRT(SIN(RADIANS(F27-35.79847)/2)^2+COS(RADIANS(35.79847))*COS(RADIANS(F27))*SIN(RADIANS(G27-(-78.70408))/2)^2))</x:f>
        <x:v>1.0299851270246876</x:v>
      </x:c>
      <x:c r="U27" s="1" t="str">
        <x:f>IF(T27&lt;=1,"0–1 mi",IF(T27&lt;=3,"&gt;1–3 mi",IF(T27&lt;=5,"&gt;3–5 mi","Outside 5 mi")))</x:f>
        <x:v>&gt;1–3 mi</x:v>
      </x:c>
      <x:c r="V27" s="1" t="n">
        <x:f>IF(MIN(P27,R27,T27)&lt;=5,1,0)</x:f>
        <x:v>1</x:v>
      </x:c>
      <x:c r="W27" s="6" t="n">
        <x:f>IF(O27=1,(H27+I27)/2,"")</x:f>
        <x:v>950</x:v>
      </x:c>
      <x:c r="X27" s="1" t="n">
        <x:f>O27*V27</x:f>
        <x:v>1</x:v>
      </x:c>
      <x:c r="Y27" s="1" t="n">
        <x:v>0</x:v>
      </x:c>
      <x:c r="Z27" s="1" t="n">
        <x:v>0</x:v>
      </x:c>
      <x:c r="AA27" s="1" t="n">
        <x:v>0</x:v>
      </x:c>
      <x:c r="AB27" s="1" t="n">
        <x:v>0</x:v>
      </x:c>
      <x:c r="AC27" s="1" t="n">
        <x:v>0</x:v>
      </x:c>
      <x:c r="AD27" s="1" t="str">
        <x:f>IF('Raw properties'!Y27="","",'Raw properties'!Y27)</x:f>
        <x:v>12 Month Lease</x:v>
      </x:c>
      <x:c r="AE27" s="1" t="str">
        <x:v>1970-01-01</x:v>
      </x:c>
      <x:c r="AF27" s="1" t="str">
        <x:v>Included in rent means</x:v>
      </x:c>
      <x:c r="AG27" s="5" t="str">
        <x:v>Source pricing flag retained; automated consistency checks passed. This is not independent landlord verification.</x:v>
      </x:c>
      <x:c r="AH27" s="1" t="str">
        <x:v>$925 - $975</x:v>
      </x:c>
      <x:c r="AI27" s="8" t="n">
        <x:f>MIN(ABS(P27-1),ABS(P27-3),ABS(P27-5))*5280</x:f>
        <x:v>812.7017547852103</x:v>
      </x:c>
      <x:c r="AJ27" s="8" t="n">
        <x:f>MIN(ABS(R27-1),ABS(R27-3),ABS(R27-5))*5280</x:f>
        <x:v>2732.9274564319417</x:v>
      </x:c>
      <x:c r="AK27" s="8" t="n">
        <x:f>MIN(ABS(T27-1),ABS(T27-3),ABS(T27-5))*5280</x:f>
        <x:v>158.32147069035045</x:v>
      </x:c>
      <x:c r="AL27" s="1" t="n">
        <x:f>IF(MIN(AI27,AJ27,AK27)&lt;=100,1,0)</x:f>
        <x:v>0</x:v>
      </x:c>
    </x:row>
    <x:row r="28" ht="15" hidden="0" customHeight="1">
      <x:c r="A28" s="1" t="str">
        <x:f>IF('Raw properties'!A28="","",'Raw properties'!A28)</x:f>
        <x:v>86fjg60</x:v>
      </x:c>
      <x:c r="B28" s="1" t="str">
        <x:f>IF('Raw properties'!D28="","",'Raw properties'!D28)</x:f>
        <x:v>HeyDay Raleigh</x:v>
      </x:c>
      <x:c r="C28" s="1" t="str">
        <x:f>IF('Raw properties'!AG28="","",'Raw properties'!AG28)</x:f>
        <x:v>https://offcampus.dasa.ncsu.edu/housing/property/heyday-raleigh/86fjg60</x:v>
      </x:c>
      <x:c r="D28" s="1" t="str">
        <x:v>Whole unit</x:v>
      </x:c>
      <x:c r="E28" s="1" t="str">
        <x:v>Whole unit</x:v>
      </x:c>
      <x:c r="F28" s="7" t="n">
        <x:f>IF('Raw properties'!I28="","",'Raw properties'!I28)</x:f>
        <x:v>35.789556</x:v>
      </x:c>
      <x:c r="G28" s="7" t="n">
        <x:f>IF('Raw properties'!J28="","",'Raw properties'!J28)</x:f>
        <x:v>-78.674739</x:v>
      </x:c>
      <x:c r="H28" s="6" t="n">
        <x:f>IF('Raw properties'!M28="","",'Raw properties'!M28)</x:f>
        <x:v>1349</x:v>
      </x:c>
      <x:c r="I28" s="6" t="n">
        <x:f>IF('Raw properties'!N28="","",'Raw properties'!N28)</x:f>
        <x:v>2269</x:v>
      </x:c>
      <x:c r="J28" s="6" t="n">
        <x:f>IF((IF('Raw floorplans'!H166&gt;0,1,0)+IF('Raw floorplans'!H167&gt;0,1,0)+IF('Raw floorplans'!H168&gt;0,1,0)+IF('Raw floorplans'!H169&gt;0,1,0)+IF('Raw floorplans'!H170&gt;0,1,0)+IF('Raw floorplans'!H171&gt;0,1,0)+IF('Raw floorplans'!H172&gt;0,1,0)+IF('Raw floorplans'!H173&gt;0,1,0)+IF('Raw floorplans'!H174&gt;0,1,0)+IF('Raw floorplans'!H175&gt;0,1,0)+IF('Raw floorplans'!H176&gt;0,1,0)+IF('Raw floorplans'!H177&gt;0,1,0)+IF('Raw floorplans'!H178&gt;0,1,0)+IF('Raw floorplans'!H179&gt;0,1,0)+IF('Raw floorplans'!H180&gt;0,1,0)+IF('Raw floorplans'!H181&gt;0,1,0)+IF('Raw floorplans'!H182&gt;0,1,0)+IF('Raw floorplans'!H183&gt;0,1,0)+IF('Raw floorplans'!H184&gt;0,1,0)+IF('Raw floorplans'!H185&gt;0,1,0)+IF('Raw floorplans'!H186&gt;0,1,0)+IF('Raw floorplans'!H187&gt;0,1,0)+IF('Raw floorplans'!H188&gt;0,1,0)+IF('Raw floorplans'!H189&gt;0,1,0))=0,"",MIN(IF('Raw floorplans'!H166&gt;0,'Raw floorplans'!H166,1E99),IF('Raw floorplans'!H167&gt;0,'Raw floorplans'!H167,1E99),IF('Raw floorplans'!H168&gt;0,'Raw floorplans'!H168,1E99),IF('Raw floorplans'!H169&gt;0,'Raw floorplans'!H169,1E99),IF('Raw floorplans'!H170&gt;0,'Raw floorplans'!H170,1E99),IF('Raw floorplans'!H171&gt;0,'Raw floorplans'!H171,1E99),IF('Raw floorplans'!H172&gt;0,'Raw floorplans'!H172,1E99),IF('Raw floorplans'!H173&gt;0,'Raw floorplans'!H173,1E99),IF('Raw floorplans'!H174&gt;0,'Raw floorplans'!H174,1E99),IF('Raw floorplans'!H175&gt;0,'Raw floorplans'!H175,1E99),IF('Raw floorplans'!H176&gt;0,'Raw floorplans'!H176,1E99),IF('Raw floorplans'!H177&gt;0,'Raw floorplans'!H177,1E99),IF('Raw floorplans'!H178&gt;0,'Raw floorplans'!H178,1E99),IF('Raw floorplans'!H179&gt;0,'Raw floorplans'!H179,1E99),IF('Raw floorplans'!H180&gt;0,'Raw floorplans'!H180,1E99),IF('Raw floorplans'!H181&gt;0,'Raw floorplans'!H181,1E99),IF('Raw floorplans'!H182&gt;0,'Raw floorplans'!H182,1E99),IF('Raw floorplans'!H183&gt;0,'Raw floorplans'!H183,1E99),IF('Raw floorplans'!H184&gt;0,'Raw floorplans'!H184,1E99),IF('Raw floorplans'!H185&gt;0,'Raw floorplans'!H185,1E99),IF('Raw floorplans'!H186&gt;0,'Raw floorplans'!H186,1E99),IF('Raw floorplans'!H187&gt;0,'Raw floorplans'!H187,1E99),IF('Raw floorplans'!H188&gt;0,'Raw floorplans'!H188,1E99),IF('Raw floorplans'!H189&gt;0,'Raw floorplans'!H189,1E99)))</x:f>
        <x:v>1349</x:v>
      </x:c>
      <x:c r="K28" s="6" t="n">
        <x:f>IF((IF('Raw floorplans'!I166&gt;0,1,0)+IF('Raw floorplans'!I167&gt;0,1,0)+IF('Raw floorplans'!I168&gt;0,1,0)+IF('Raw floorplans'!I169&gt;0,1,0)+IF('Raw floorplans'!I170&gt;0,1,0)+IF('Raw floorplans'!I171&gt;0,1,0)+IF('Raw floorplans'!I172&gt;0,1,0)+IF('Raw floorplans'!I173&gt;0,1,0)+IF('Raw floorplans'!I174&gt;0,1,0)+IF('Raw floorplans'!I175&gt;0,1,0)+IF('Raw floorplans'!I176&gt;0,1,0)+IF('Raw floorplans'!I177&gt;0,1,0)+IF('Raw floorplans'!I178&gt;0,1,0)+IF('Raw floorplans'!I179&gt;0,1,0)+IF('Raw floorplans'!I180&gt;0,1,0)+IF('Raw floorplans'!I181&gt;0,1,0)+IF('Raw floorplans'!I182&gt;0,1,0)+IF('Raw floorplans'!I183&gt;0,1,0)+IF('Raw floorplans'!I184&gt;0,1,0)+IF('Raw floorplans'!I185&gt;0,1,0)+IF('Raw floorplans'!I186&gt;0,1,0)+IF('Raw floorplans'!I187&gt;0,1,0)+IF('Raw floorplans'!I188&gt;0,1,0)+IF('Raw floorplans'!I189&gt;0,1,0))=0,"",MAX(IF('Raw floorplans'!I166&gt;0,'Raw floorplans'!I166,0),IF('Raw floorplans'!I167&gt;0,'Raw floorplans'!I167,0),IF('Raw floorplans'!I168&gt;0,'Raw floorplans'!I168,0),IF('Raw floorplans'!I169&gt;0,'Raw floorplans'!I169,0),IF('Raw floorplans'!I170&gt;0,'Raw floorplans'!I170,0),IF('Raw floorplans'!I171&gt;0,'Raw floorplans'!I171,0),IF('Raw floorplans'!I172&gt;0,'Raw floorplans'!I172,0),IF('Raw floorplans'!I173&gt;0,'Raw floorplans'!I173,0),IF('Raw floorplans'!I174&gt;0,'Raw floorplans'!I174,0),IF('Raw floorplans'!I175&gt;0,'Raw floorplans'!I175,0),IF('Raw floorplans'!I176&gt;0,'Raw floorplans'!I176,0),IF('Raw floorplans'!I177&gt;0,'Raw floorplans'!I177,0),IF('Raw floorplans'!I178&gt;0,'Raw floorplans'!I178,0),IF('Raw floorplans'!I179&gt;0,'Raw floorplans'!I179,0),IF('Raw floorplans'!I180&gt;0,'Raw floorplans'!I180,0),IF('Raw floorplans'!I181&gt;0,'Raw floorplans'!I181,0),IF('Raw floorplans'!I182&gt;0,'Raw floorplans'!I182,0),IF('Raw floorplans'!I183&gt;0,'Raw floorplans'!I183,0),IF('Raw floorplans'!I184&gt;0,'Raw floorplans'!I184,0),IF('Raw floorplans'!I185&gt;0,'Raw floorplans'!I185,0),IF('Raw floorplans'!I186&gt;0,'Raw floorplans'!I186,0),IF('Raw floorplans'!I187&gt;0,'Raw floorplans'!I187,0),IF('Raw floorplans'!I188&gt;0,'Raw floorplans'!I188,0),IF('Raw floorplans'!I189&gt;0,'Raw floorplans'!I189,0)))</x:f>
        <x:v>2269</x:v>
      </x:c>
      <x:c r="L28" s="1" t="n">
        <x:v>0</x:v>
      </x:c>
      <x:c r="M28" s="1" t="n">
        <x:f>IF(AND(ISNUMBER(H28),ISNUMBER(I28),ISNUMBER(J28),ISNUMBER(K28),H28&gt;0,I28&gt;0),IF(OR(H28&lt;&gt;J28,I28&lt;&gt;K28),1,0),0)</x:f>
        <x:v>0</x:v>
      </x:c>
      <x:c r="N28" s="1" t="n">
        <x:f>IF(AND(ISNUMBER(H28),ISNUMBER(I28),H28&gt;0,I28&gt;=H28),1,0)</x:f>
        <x:v>1</x:v>
      </x:c>
      <x:c r="O28" s="1" t="n">
        <x:f>IF(AND(L28=0,M28=0,N28=1),1,0)</x:f>
        <x:v>1</x:v>
      </x:c>
      <x:c r="P28" s="7" t="n">
        <x:f>2*3958.7613*ASIN(SQRT(SIN(RADIANS(F28-35.77951)/2)^2+COS(RADIANS(35.77951))*COS(RADIANS(F28))*SIN(RADIANS(G28-(-78.68168))/2)^2))</x:f>
        <x:v>0.7957053942634063</x:v>
      </x:c>
      <x:c r="Q28" s="1" t="str">
        <x:f>IF(P28&lt;=1,"0–1 mi",IF(P28&lt;=3,"&gt;1–3 mi",IF(P28&lt;=5,"&gt;3–5 mi","Outside 5 mi")))</x:f>
        <x:v>0–1 mi</x:v>
      </x:c>
      <x:c r="R28" s="7" t="n">
        <x:f>2*3958.7613*ASIN(SQRT(SIN(RADIANS(F28-35.7687)/2)^2+COS(RADIANS(35.7687))*COS(RADIANS(F28))*SIN(RADIANS(G28-(-78.6775))/2)^2))</x:f>
        <x:v>1.4492993905708373</x:v>
      </x:c>
      <x:c r="S28" s="1" t="str">
        <x:f>IF(R28&lt;=1,"0–1 mi",IF(R28&lt;=3,"&gt;1–3 mi",IF(R28&lt;=5,"&gt;3–5 mi","Outside 5 mi")))</x:f>
        <x:v>&gt;1–3 mi</x:v>
      </x:c>
      <x:c r="T28" s="7" t="n">
        <x:f>2*3958.7613*ASIN(SQRT(SIN(RADIANS(F28-35.79847)/2)^2+COS(RADIANS(35.79847))*COS(RADIANS(F28))*SIN(RADIANS(G28-(-78.70408))/2)^2))</x:f>
        <x:v>1.7559275271421055</x:v>
      </x:c>
      <x:c r="U28" s="1" t="str">
        <x:f>IF(T28&lt;=1,"0–1 mi",IF(T28&lt;=3,"&gt;1–3 mi",IF(T28&lt;=5,"&gt;3–5 mi","Outside 5 mi")))</x:f>
        <x:v>&gt;1–3 mi</x:v>
      </x:c>
      <x:c r="V28" s="1" t="n">
        <x:f>IF(MIN(P28,R28,T28)&lt;=5,1,0)</x:f>
        <x:v>1</x:v>
      </x:c>
      <x:c r="W28" s="6" t="n">
        <x:f>IF(O28=1,(H28+I28)/2,"")</x:f>
        <x:v>1809</x:v>
      </x:c>
      <x:c r="X28" s="1" t="n">
        <x:f>O28*V28</x:f>
        <x:v>1</x:v>
      </x:c>
      <x:c r="Y28" s="1" t="n">
        <x:v>1</x:v>
      </x:c>
      <x:c r="Z28" s="1" t="n">
        <x:v>0</x:v>
      </x:c>
      <x:c r="AA28" s="1" t="n">
        <x:v>0</x:v>
      </x:c>
      <x:c r="AB28" s="1" t="n">
        <x:v>0</x:v>
      </x:c>
      <x:c r="AC28" s="1" t="n">
        <x:v>0</x:v>
      </x:c>
      <x:c r="AD28" s="1" t="str">
        <x:f>IF('Raw properties'!Y28="","",'Raw properties'!Y28)</x:f>
        <x:v>11 Month Lease</x:v>
      </x:c>
      <x:c r="AE28" s="1" t="str">
        <x:v>2027-08-14</x:v>
      </x:c>
      <x:c r="AF28" s="1" t="str">
        <x:v>Included in rent means</x:v>
      </x:c>
      <x:c r="AG28" s="5" t="str">
        <x:v>Source pricing flag retained; automated consistency checks passed. This is not independent landlord verification.</x:v>
      </x:c>
      <x:c r="AH28" s="1" t="str">
        <x:v>$1,349 - $2,269</x:v>
      </x:c>
      <x:c r="AI28" s="8" t="n">
        <x:f>MIN(ABS(P28-1),ABS(P28-3),ABS(P28-5))*5280</x:f>
        <x:v>1078.675518289215</x:v>
      </x:c>
      <x:c r="AJ28" s="8" t="n">
        <x:f>MIN(ABS(R28-1),ABS(R28-3),ABS(R28-5))*5280</x:f>
        <x:v>2372.300782214021</x:v>
      </x:c>
      <x:c r="AK28" s="8" t="n">
        <x:f>MIN(ABS(T28-1),ABS(T28-3),ABS(T28-5))*5280</x:f>
        <x:v>3991.297343310317</x:v>
      </x:c>
      <x:c r="AL28" s="1" t="n">
        <x:f>IF(MIN(AI28,AJ28,AK28)&lt;=100,1,0)</x:f>
        <x:v>0</x:v>
      </x:c>
    </x:row>
    <x:row r="29" ht="15" hidden="0" customHeight="1">
      <x:c r="A29" s="1" t="str">
        <x:f>IF('Raw properties'!A29="","",'Raw properties'!A29)</x:f>
        <x:v>ocpxdxd79p</x:v>
      </x:c>
      <x:c r="B29" s="1" t="str">
        <x:f>IF('Raw properties'!D29="","",'Raw properties'!D29)</x:f>
        <x:v>4BR/4BA Condo| On Wolfline | Preleasing 27-28 Special $850 Util/Parking Incld | Mile to Campus</x:v>
      </x:c>
      <x:c r="C29" s="1" t="str">
        <x:f>IF('Raw properties'!AG29="","",'Raw properties'!AG29)</x:f>
        <x:v>https://offcampus.dasa.ncsu.edu/housing/property/4br-4ba-condo-on-wolfline-preleasing-27-28-special-850-util-parking-incld-mile-to-campus/ocpxdxd79p</x:v>
      </x:c>
      <x:c r="D29" s="1" t="str">
        <x:v>Per bedroom</x:v>
      </x:c>
      <x:c r="E29" s="1" t="str">
        <x:v>Per bedroom</x:v>
      </x:c>
      <x:c r="F29" s="7" t="n">
        <x:f>IF('Raw properties'!I29="","",'Raw properties'!I29)</x:f>
        <x:v>35.773343</x:v>
      </x:c>
      <x:c r="G29" s="7" t="n">
        <x:f>IF('Raw properties'!J29="","",'Raw properties'!J29)</x:f>
        <x:v>-78.690564</x:v>
      </x:c>
      <x:c r="H29" s="6" t="n">
        <x:f>IF('Raw properties'!M29="","",'Raw properties'!M29)</x:f>
        <x:v>875</x:v>
      </x:c>
      <x:c r="I29" s="6" t="n">
        <x:f>IF('Raw properties'!N29="","",'Raw properties'!N29)</x:f>
        <x:v>875</x:v>
      </x:c>
      <x:c r="J29" s="6" t="n">
        <x:f>IF((IF('Raw floorplans'!H190&gt;0,1,0))=0,"",MIN(IF('Raw floorplans'!H190&gt;0,'Raw floorplans'!H190,1E99)))</x:f>
        <x:v>875</x:v>
      </x:c>
      <x:c r="K29" s="6" t="n">
        <x:f>IF((IF('Raw floorplans'!I190&gt;0,1,0))=0,"",MAX(IF('Raw floorplans'!I190&gt;0,'Raw floorplans'!I190,0)))</x:f>
        <x:v>875</x:v>
      </x:c>
      <x:c r="L29" s="1" t="n">
        <x:v>0</x:v>
      </x:c>
      <x:c r="M29" s="1" t="n">
        <x:f>IF(AND(ISNUMBER(H29),ISNUMBER(I29),ISNUMBER(J29),ISNUMBER(K29),H29&gt;0,I29&gt;0),IF(OR(H29&lt;&gt;J29,I29&lt;&gt;K29),1,0),0)</x:f>
        <x:v>0</x:v>
      </x:c>
      <x:c r="N29" s="1" t="n">
        <x:f>IF(AND(ISNUMBER(H29),ISNUMBER(I29),H29&gt;0,I29&gt;=H29),1,0)</x:f>
        <x:v>1</x:v>
      </x:c>
      <x:c r="O29" s="1" t="n">
        <x:f>IF(AND(L29=0,M29=0,N29=1),1,0)</x:f>
        <x:v>1</x:v>
      </x:c>
      <x:c r="P29" s="7" t="n">
        <x:f>2*3958.7613*ASIN(SQRT(SIN(RADIANS(F29-35.77951)/2)^2+COS(RADIANS(35.77951))*COS(RADIANS(F29))*SIN(RADIANS(G29-(-78.68168))/2)^2))</x:f>
        <x:v>0.6554114366281895</x:v>
      </x:c>
      <x:c r="Q29" s="1" t="str">
        <x:f>IF(P29&lt;=1,"0–1 mi",IF(P29&lt;=3,"&gt;1–3 mi",IF(P29&lt;=5,"&gt;3–5 mi","Outside 5 mi")))</x:f>
        <x:v>0–1 mi</x:v>
      </x:c>
      <x:c r="R29" s="7" t="n">
        <x:f>2*3958.7613*ASIN(SQRT(SIN(RADIANS(F29-35.7687)/2)^2+COS(RADIANS(35.7687))*COS(RADIANS(F29))*SIN(RADIANS(G29-(-78.6775))/2)^2))</x:f>
        <x:v>0.7995425209370473</x:v>
      </x:c>
      <x:c r="S29" s="1" t="str">
        <x:f>IF(R29&lt;=1,"0–1 mi",IF(R29&lt;=3,"&gt;1–3 mi",IF(R29&lt;=5,"&gt;3–5 mi","Outside 5 mi")))</x:f>
        <x:v>0–1 mi</x:v>
      </x:c>
      <x:c r="T29" s="7" t="n">
        <x:f>2*3958.7613*ASIN(SQRT(SIN(RADIANS(F29-35.79847)/2)^2+COS(RADIANS(35.79847))*COS(RADIANS(F29))*SIN(RADIANS(G29-(-78.70408))/2)^2))</x:f>
        <x:v>1.8941953266521563</x:v>
      </x:c>
      <x:c r="U29" s="1" t="str">
        <x:f>IF(T29&lt;=1,"0–1 mi",IF(T29&lt;=3,"&gt;1–3 mi",IF(T29&lt;=5,"&gt;3–5 mi","Outside 5 mi")))</x:f>
        <x:v>&gt;1–3 mi</x:v>
      </x:c>
      <x:c r="V29" s="1" t="n">
        <x:f>IF(MIN(P29,R29,T29)&lt;=5,1,0)</x:f>
        <x:v>1</x:v>
      </x:c>
      <x:c r="W29" s="6" t="n">
        <x:f>IF(O29=1,(H29+I29)/2,"")</x:f>
        <x:v>875</x:v>
      </x:c>
      <x:c r="X29" s="1" t="n">
        <x:f>O29*V29</x:f>
        <x:v>1</x:v>
      </x:c>
      <x:c r="Y29" s="1" t="n">
        <x:v>1</x:v>
      </x:c>
      <x:c r="Z29" s="1" t="n">
        <x:v>0</x:v>
      </x:c>
      <x:c r="AA29" s="1" t="n">
        <x:v>0</x:v>
      </x:c>
      <x:c r="AB29" s="1" t="n">
        <x:v>0</x:v>
      </x:c>
      <x:c r="AC29" s="1" t="n">
        <x:v>0</x:v>
      </x:c>
      <x:c r="AD29" s="1" t="str">
        <x:f>IF('Raw properties'!Y29="","",'Raw properties'!Y29)</x:f>
        <x:v>12 Month Lease</x:v>
      </x:c>
      <x:c r="AE29" s="1" t="str">
        <x:v>2027-08-01</x:v>
      </x:c>
      <x:c r="AF29" s="1" t="str">
        <x:v>Included in rent means</x:v>
      </x:c>
      <x:c r="AG29" s="5" t="str">
        <x:v>Source pricing flag retained; automated consistency checks passed. This is not independent landlord verification.</x:v>
      </x:c>
      <x:c r="AH29" s="1" t="str">
        <x:v>$875</x:v>
      </x:c>
      <x:c r="AI29" s="8" t="n">
        <x:f>MIN(ABS(P29-1),ABS(P29-3),ABS(P29-5))*5280</x:f>
        <x:v>1819.4276146031596</x:v>
      </x:c>
      <x:c r="AJ29" s="8" t="n">
        <x:f>MIN(ABS(R29-1),ABS(R29-3),ABS(R29-5))*5280</x:f>
        <x:v>1058.4154894523906</x:v>
      </x:c>
      <x:c r="AK29" s="8" t="n">
        <x:f>MIN(ABS(T29-1),ABS(T29-3),ABS(T29-5))*5280</x:f>
        <x:v>4721.351324723385</x:v>
      </x:c>
      <x:c r="AL29" s="1" t="n">
        <x:f>IF(MIN(AI29,AJ29,AK29)&lt;=100,1,0)</x:f>
        <x:v>0</x:v>
      </x:c>
    </x:row>
    <x:row r="30" ht="15" hidden="0" customHeight="1">
      <x:c r="A30" s="1" t="str">
        <x:f>IF('Raw properties'!A30="","",'Raw properties'!A30)</x:f>
        <x:v>9de4we5</x:v>
      </x:c>
      <x:c r="B30" s="1" t="str">
        <x:f>IF('Raw properties'!D30="","",'Raw properties'!D30)</x:f>
        <x:v>LYV Woodcroft at Southpoint</x:v>
      </x:c>
      <x:c r="C30" s="1" t="str">
        <x:f>IF('Raw properties'!AG30="","",'Raw properties'!AG30)</x:f>
        <x:v>https://offcampus.dasa.ncsu.edu/housing/property/lyv-woodcroft-at-southpoint/9de4we5</x:v>
      </x:c>
      <x:c r="D30" s="1" t="str">
        <x:v>Whole unit</x:v>
      </x:c>
      <x:c r="E30" s="1" t="str">
        <x:v>Whole unit</x:v>
      </x:c>
      <x:c r="F30" s="7" t="n">
        <x:f>IF('Raw properties'!I30="","",'Raw properties'!I30)</x:f>
        <x:v>35.924925</x:v>
      </x:c>
      <x:c r="G30" s="7" t="n">
        <x:f>IF('Raw properties'!J30="","",'Raw properties'!J30)</x:f>
        <x:v>-78.953214</x:v>
      </x:c>
      <x:c r="H30" s="6" t="n">
        <x:f>IF('Raw properties'!M30="","",'Raw properties'!M30)</x:f>
        <x:v>1200</x:v>
      </x:c>
      <x:c r="I30" s="6" t="n">
        <x:f>IF('Raw properties'!N30="","",'Raw properties'!N30)</x:f>
        <x:v>1400</x:v>
      </x:c>
      <x:c r="J30" s="6" t="n">
        <x:f>IF((IF('Raw floorplans'!H191&gt;0,1,0)+IF('Raw floorplans'!H192&gt;0,1,0)+IF('Raw floorplans'!H193&gt;0,1,0)+IF('Raw floorplans'!H194&gt;0,1,0)+IF('Raw floorplans'!H195&gt;0,1,0)+IF('Raw floorplans'!H196&gt;0,1,0)+IF('Raw floorplans'!H197&gt;0,1,0)+IF('Raw floorplans'!H198&gt;0,1,0))=0,"",MIN(IF('Raw floorplans'!H191&gt;0,'Raw floorplans'!H191,1E99),IF('Raw floorplans'!H192&gt;0,'Raw floorplans'!H192,1E99),IF('Raw floorplans'!H193&gt;0,'Raw floorplans'!H193,1E99),IF('Raw floorplans'!H194&gt;0,'Raw floorplans'!H194,1E99),IF('Raw floorplans'!H195&gt;0,'Raw floorplans'!H195,1E99),IF('Raw floorplans'!H196&gt;0,'Raw floorplans'!H196,1E99),IF('Raw floorplans'!H197&gt;0,'Raw floorplans'!H197,1E99),IF('Raw floorplans'!H198&gt;0,'Raw floorplans'!H198,1E99)))</x:f>
        <x:v>1200</x:v>
      </x:c>
      <x:c r="K30" s="6" t="n">
        <x:f>IF((IF('Raw floorplans'!I191&gt;0,1,0)+IF('Raw floorplans'!I192&gt;0,1,0)+IF('Raw floorplans'!I193&gt;0,1,0)+IF('Raw floorplans'!I194&gt;0,1,0)+IF('Raw floorplans'!I195&gt;0,1,0)+IF('Raw floorplans'!I196&gt;0,1,0)+IF('Raw floorplans'!I197&gt;0,1,0)+IF('Raw floorplans'!I198&gt;0,1,0))=0,"",MAX(IF('Raw floorplans'!I191&gt;0,'Raw floorplans'!I191,0),IF('Raw floorplans'!I192&gt;0,'Raw floorplans'!I192,0),IF('Raw floorplans'!I193&gt;0,'Raw floorplans'!I193,0),IF('Raw floorplans'!I194&gt;0,'Raw floorplans'!I194,0),IF('Raw floorplans'!I195&gt;0,'Raw floorplans'!I195,0),IF('Raw floorplans'!I196&gt;0,'Raw floorplans'!I196,0),IF('Raw floorplans'!I197&gt;0,'Raw floorplans'!I197,0),IF('Raw floorplans'!I198&gt;0,'Raw floorplans'!I198,0)))</x:f>
        <x:v>1400</x:v>
      </x:c>
      <x:c r="L30" s="1" t="n">
        <x:v>0</x:v>
      </x:c>
      <x:c r="M30" s="1" t="n">
        <x:f>IF(AND(ISNUMBER(H30),ISNUMBER(I30),ISNUMBER(J30),ISNUMBER(K30),H30&gt;0,I30&gt;0),IF(OR(H30&lt;&gt;J30,I30&lt;&gt;K30),1,0),0)</x:f>
        <x:v>0</x:v>
      </x:c>
      <x:c r="N30" s="1" t="n">
        <x:f>IF(AND(ISNUMBER(H30),ISNUMBER(I30),H30&gt;0,I30&gt;=H30),1,0)</x:f>
        <x:v>1</x:v>
      </x:c>
      <x:c r="O30" s="1" t="n">
        <x:f>IF(AND(L30=0,M30=0,N30=1),1,0)</x:f>
        <x:v>1</x:v>
      </x:c>
      <x:c r="P30" s="7" t="n">
        <x:f>2*3958.7613*ASIN(SQRT(SIN(RADIANS(F30-35.77951)/2)^2+COS(RADIANS(35.77951))*COS(RADIANS(F30))*SIN(RADIANS(G30-(-78.68168))/2)^2))</x:f>
        <x:v>18.225937091814313</x:v>
      </x:c>
      <x:c r="Q30" s="1" t="str">
        <x:f>IF(P30&lt;=1,"0–1 mi",IF(P30&lt;=3,"&gt;1–3 mi",IF(P30&lt;=5,"&gt;3–5 mi","Outside 5 mi")))</x:f>
        <x:v>Outside 5 mi</x:v>
      </x:c>
      <x:c r="R30" s="7" t="n">
        <x:f>2*3958.7613*ASIN(SQRT(SIN(RADIANS(F30-35.7687)/2)^2+COS(RADIANS(35.7687))*COS(RADIANS(F30))*SIN(RADIANS(G30-(-78.6775))/2)^2))</x:f>
        <x:v>18.84032355152831</x:v>
      </x:c>
      <x:c r="S30" s="1" t="str">
        <x:f>IF(R30&lt;=1,"0–1 mi",IF(R30&lt;=3,"&gt;1–3 mi",IF(R30&lt;=5,"&gt;3–5 mi","Outside 5 mi")))</x:f>
        <x:v>Outside 5 mi</x:v>
      </x:c>
      <x:c r="T30" s="7" t="n">
        <x:f>2*3958.7613*ASIN(SQRT(SIN(RADIANS(F30-35.79847)/2)^2+COS(RADIANS(35.79847))*COS(RADIANS(F30))*SIN(RADIANS(G30-(-78.70408))/2)^2))</x:f>
        <x:v>16.460634994661486</x:v>
      </x:c>
      <x:c r="U30" s="1" t="str">
        <x:f>IF(T30&lt;=1,"0–1 mi",IF(T30&lt;=3,"&gt;1–3 mi",IF(T30&lt;=5,"&gt;3–5 mi","Outside 5 mi")))</x:f>
        <x:v>Outside 5 mi</x:v>
      </x:c>
      <x:c r="V30" s="1" t="n">
        <x:f>IF(MIN(P30,R30,T30)&lt;=5,1,0)</x:f>
        <x:v>0</x:v>
      </x:c>
      <x:c r="W30" s="6" t="n">
        <x:f>IF(O30=1,(H30+I30)/2,"")</x:f>
        <x:v>1300</x:v>
      </x:c>
      <x:c r="X30" s="1" t="n">
        <x:f>O30*V30</x:f>
        <x:v>0</x:v>
      </x:c>
      <x:c r="Y30" s="1" t="n">
        <x:v>0</x:v>
      </x:c>
      <x:c r="Z30" s="1" t="n">
        <x:v>0</x:v>
      </x:c>
      <x:c r="AA30" s="1" t="n">
        <x:v>0</x:v>
      </x:c>
      <x:c r="AB30" s="1" t="n">
        <x:v>0</x:v>
      </x:c>
      <x:c r="AC30" s="1" t="n">
        <x:v>0</x:v>
      </x:c>
      <x:c r="AD30" s="1" t="str">
        <x:f>IF('Raw properties'!Y30="","",'Raw properties'!Y30)</x:f>
        <x:v>12 Month Lease</x:v>
      </x:c>
      <x:c r="AE30" s="1" t="str">
        <x:v>2026-08-28</x:v>
      </x:c>
      <x:c r="AF30" s="1" t="str">
        <x:v>Included in rent means</x:v>
      </x:c>
      <x:c r="AG30" s="5" t="str">
        <x:v>Source pricing flag retained; automated consistency checks passed. This is not independent landlord verification.</x:v>
      </x:c>
      <x:c r="AH30" s="1" t="str">
        <x:v>$1,200 - $1,400</x:v>
      </x:c>
      <x:c r="AI30" s="8" t="n">
        <x:f>MIN(ABS(P30-1),ABS(P30-3),ABS(P30-5))*5280</x:f>
        <x:v>69832.94784477957</x:v>
      </x:c>
      <x:c r="AJ30" s="8" t="n">
        <x:f>MIN(ABS(R30-1),ABS(R30-3),ABS(R30-5))*5280</x:f>
        <x:v>73076.90835206948</x:v>
      </x:c>
      <x:c r="AK30" s="8" t="n">
        <x:f>MIN(ABS(T30-1),ABS(T30-3),ABS(T30-5))*5280</x:f>
        <x:v>60512.152771812645</x:v>
      </x:c>
      <x:c r="AL30" s="1" t="n">
        <x:f>IF(MIN(AI30,AJ30,AK30)&lt;=100,1,0)</x:f>
        <x:v>0</x:v>
      </x:c>
    </x:row>
    <x:row r="31" ht="15" hidden="0" customHeight="1">
      <x:c r="A31" s="1" t="str">
        <x:f>IF('Raw properties'!A31="","",'Raw properties'!A31)</x:f>
        <x:v>ocpm68s5sh</x:v>
      </x:c>
      <x:c r="B31" s="1" t="str">
        <x:f>IF('Raw properties'!D31="","",'Raw properties'!D31)</x:f>
        <x:v>Burt Drive Townhouses---Brand New Luxury Housing within walking distance to NCSU</x:v>
      </x:c>
      <x:c r="C31" s="1" t="str">
        <x:f>IF('Raw properties'!AG31="","",'Raw properties'!AG31)</x:f>
        <x:v>https://offcampus.dasa.ncsu.edu/housing/property/burt-drive-townhouses-brand-new-luxury-housing-within-walking-distance-to-ncsu/ocpm68s5sh</x:v>
      </x:c>
      <x:c r="D31" s="1" t="str">
        <x:v>Per bedroom</x:v>
      </x:c>
      <x:c r="E31" s="1" t="str">
        <x:v>Per bedroom</x:v>
      </x:c>
      <x:c r="F31" s="7" t="n">
        <x:f>IF('Raw properties'!I31="","",'Raw properties'!I31)</x:f>
        <x:v>35.776121</x:v>
      </x:c>
      <x:c r="G31" s="7" t="n">
        <x:f>IF('Raw properties'!J31="","",'Raw properties'!J31)</x:f>
        <x:v>-78.686075</x:v>
      </x:c>
      <x:c r="H31" s="6" t="n">
        <x:f>IF('Raw properties'!M31="","",'Raw properties'!M31)</x:f>
        <x:v>1050</x:v>
      </x:c>
      <x:c r="I31" s="6" t="n">
        <x:f>IF('Raw properties'!N31="","",'Raw properties'!N31)</x:f>
        <x:v>1050</x:v>
      </x:c>
      <x:c r="J31" s="6" t="n">
        <x:f>IF((IF('Raw floorplans'!H199&gt;0,1,0))=0,"",MIN(IF('Raw floorplans'!H199&gt;0,'Raw floorplans'!H199,1E99)))</x:f>
        <x:v>1050</x:v>
      </x:c>
      <x:c r="K31" s="6" t="n">
        <x:f>IF((IF('Raw floorplans'!I199&gt;0,1,0))=0,"",MAX(IF('Raw floorplans'!I199&gt;0,'Raw floorplans'!I199,0)))</x:f>
        <x:v>1050</x:v>
      </x:c>
      <x:c r="L31" s="1" t="n">
        <x:v>0</x:v>
      </x:c>
      <x:c r="M31" s="1" t="n">
        <x:f>IF(AND(ISNUMBER(H31),ISNUMBER(I31),ISNUMBER(J31),ISNUMBER(K31),H31&gt;0,I31&gt;0),IF(OR(H31&lt;&gt;J31,I31&lt;&gt;K31),1,0),0)</x:f>
        <x:v>0</x:v>
      </x:c>
      <x:c r="N31" s="1" t="n">
        <x:f>IF(AND(ISNUMBER(H31),ISNUMBER(I31),H31&gt;0,I31&gt;=H31),1,0)</x:f>
        <x:v>1</x:v>
      </x:c>
      <x:c r="O31" s="1" t="n">
        <x:f>IF(AND(L31=0,M31=0,N31=1),1,0)</x:f>
        <x:v>1</x:v>
      </x:c>
      <x:c r="P31" s="7" t="n">
        <x:f>2*3958.7613*ASIN(SQRT(SIN(RADIANS(F31-35.77951)/2)^2+COS(RADIANS(35.77951))*COS(RADIANS(F31))*SIN(RADIANS(G31-(-78.68168))/2)^2))</x:f>
        <x:v>0.3398874573660564</x:v>
      </x:c>
      <x:c r="Q31" s="1" t="str">
        <x:f>IF(P31&lt;=1,"0–1 mi",IF(P31&lt;=3,"&gt;1–3 mi",IF(P31&lt;=5,"&gt;3–5 mi","Outside 5 mi")))</x:f>
        <x:v>0–1 mi</x:v>
      </x:c>
      <x:c r="R31" s="7" t="n">
        <x:f>2*3958.7613*ASIN(SQRT(SIN(RADIANS(F31-35.7687)/2)^2+COS(RADIANS(35.7687))*COS(RADIANS(F31))*SIN(RADIANS(G31-(-78.6775))/2)^2))</x:f>
        <x:v>0.7028369244128526</x:v>
      </x:c>
      <x:c r="S31" s="1" t="str">
        <x:f>IF(R31&lt;=1,"0–1 mi",IF(R31&lt;=3,"&gt;1–3 mi",IF(R31&lt;=5,"&gt;3–5 mi","Outside 5 mi")))</x:f>
        <x:v>0–1 mi</x:v>
      </x:c>
      <x:c r="T31" s="7" t="n">
        <x:f>2*3958.7613*ASIN(SQRT(SIN(RADIANS(F31-35.79847)/2)^2+COS(RADIANS(35.79847))*COS(RADIANS(F31))*SIN(RADIANS(G31-(-78.70408))/2)^2))</x:f>
        <x:v>1.8446772702092928</x:v>
      </x:c>
      <x:c r="U31" s="1" t="str">
        <x:f>IF(T31&lt;=1,"0–1 mi",IF(T31&lt;=3,"&gt;1–3 mi",IF(T31&lt;=5,"&gt;3–5 mi","Outside 5 mi")))</x:f>
        <x:v>&gt;1–3 mi</x:v>
      </x:c>
      <x:c r="V31" s="1" t="n">
        <x:f>IF(MIN(P31,R31,T31)&lt;=5,1,0)</x:f>
        <x:v>1</x:v>
      </x:c>
      <x:c r="W31" s="6" t="n">
        <x:f>IF(O31=1,(H31+I31)/2,"")</x:f>
        <x:v>1050</x:v>
      </x:c>
      <x:c r="X31" s="1" t="n">
        <x:f>O31*V31</x:f>
        <x:v>1</x:v>
      </x:c>
      <x:c r="Y31" s="1" t="n">
        <x:v>0</x:v>
      </x:c>
      <x:c r="Z31" s="1" t="n">
        <x:v>0</x:v>
      </x:c>
      <x:c r="AA31" s="1" t="n">
        <x:v>0</x:v>
      </x:c>
      <x:c r="AB31" s="1" t="n">
        <x:v>0</x:v>
      </x:c>
      <x:c r="AC31" s="1" t="n">
        <x:v>0</x:v>
      </x:c>
      <x:c r="AD31" s="1" t="str">
        <x:f>IF('Raw properties'!Y31="","",'Raw properties'!Y31)</x:f>
        <x:v>12 Month Lease</x:v>
      </x:c>
      <x:c r="AE31" s="1" t="str">
        <x:v>1970-01-01</x:v>
      </x:c>
      <x:c r="AF31" s="1" t="str">
        <x:v>Included in rent means</x:v>
      </x:c>
      <x:c r="AG31" s="5" t="str">
        <x:v>Source pricing flag retained; automated consistency checks passed. This is not independent landlord verification.</x:v>
      </x:c>
      <x:c r="AH31" s="1" t="str">
        <x:v>$1,050</x:v>
      </x:c>
      <x:c r="AI31" s="8" t="n">
        <x:f>MIN(ABS(P31-1),ABS(P31-3),ABS(P31-5))*5280</x:f>
        <x:v>3485.394225107222</x:v>
      </x:c>
      <x:c r="AJ31" s="8" t="n">
        <x:f>MIN(ABS(R31-1),ABS(R31-3),ABS(R31-5))*5280</x:f>
        <x:v>1569.0210391001383</x:v>
      </x:c>
      <x:c r="AK31" s="8" t="n">
        <x:f>MIN(ABS(T31-1),ABS(T31-3),ABS(T31-5))*5280</x:f>
        <x:v>4459.895986705066</x:v>
      </x:c>
      <x:c r="AL31" s="1" t="n">
        <x:f>IF(MIN(AI31,AJ31,AK31)&lt;=100,1,0)</x:f>
        <x:v>0</x:v>
      </x:c>
    </x:row>
    <x:row r="32" ht="15" hidden="0" customHeight="1">
      <x:c r="A32" s="1" t="str">
        <x:f>IF('Raw properties'!A32="","",'Raw properties'!A32)</x:f>
        <x:v>gky0hgw</x:v>
      </x:c>
      <x:c r="B32" s="1" t="str">
        <x:f>IF('Raw properties'!D32="","",'Raw properties'!D32)</x:f>
        <x:v>Willow Bend Apartments</x:v>
      </x:c>
      <x:c r="C32" s="1" t="str">
        <x:f>IF('Raw properties'!AG32="","",'Raw properties'!AG32)</x:f>
        <x:v>https://offcampus.dasa.ncsu.edu/housing/property/willow-bend-apartments/gky0hgw</x:v>
      </x:c>
      <x:c r="D32" s="1" t="str">
        <x:v>Whole unit</x:v>
      </x:c>
      <x:c r="E32" s="1" t="str">
        <x:v>Whole unit</x:v>
      </x:c>
      <x:c r="F32" s="7" t="n">
        <x:f>IF('Raw properties'!I32="","",'Raw properties'!I32)</x:f>
        <x:v>35.987772</x:v>
      </x:c>
      <x:c r="G32" s="7" t="n">
        <x:f>IF('Raw properties'!J32="","",'Raw properties'!J32)</x:f>
        <x:v>-78.923142</x:v>
      </x:c>
      <x:c r="H32" s="6" t="n">
        <x:f>IF('Raw properties'!M32="","",'Raw properties'!M32)</x:f>
        <x:v>1312</x:v>
      </x:c>
      <x:c r="I32" s="6" t="n">
        <x:f>IF('Raw properties'!N32="","",'Raw properties'!N32)</x:f>
        <x:v>1357</x:v>
      </x:c>
      <x:c r="J32" s="6" t="n">
        <x:f>IF((IF('Raw floorplans'!H200&gt;0,1,0))=0,"",MIN(IF('Raw floorplans'!H200&gt;0,'Raw floorplans'!H200,1E99)))</x:f>
        <x:v>1312</x:v>
      </x:c>
      <x:c r="K32" s="6" t="n">
        <x:f>IF((IF('Raw floorplans'!I200&gt;0,1,0))=0,"",MAX(IF('Raw floorplans'!I200&gt;0,'Raw floorplans'!I200,0)))</x:f>
        <x:v>1357</x:v>
      </x:c>
      <x:c r="L32" s="1" t="n">
        <x:v>0</x:v>
      </x:c>
      <x:c r="M32" s="1" t="n">
        <x:f>IF(AND(ISNUMBER(H32),ISNUMBER(I32),ISNUMBER(J32),ISNUMBER(K32),H32&gt;0,I32&gt;0),IF(OR(H32&lt;&gt;J32,I32&lt;&gt;K32),1,0),0)</x:f>
        <x:v>0</x:v>
      </x:c>
      <x:c r="N32" s="1" t="n">
        <x:f>IF(AND(ISNUMBER(H32),ISNUMBER(I32),H32&gt;0,I32&gt;=H32),1,0)</x:f>
        <x:v>1</x:v>
      </x:c>
      <x:c r="O32" s="1" t="n">
        <x:f>IF(AND(L32=0,M32=0,N32=1),1,0)</x:f>
        <x:v>1</x:v>
      </x:c>
      <x:c r="P32" s="7" t="n">
        <x:f>2*3958.7613*ASIN(SQRT(SIN(RADIANS(F32-35.77951)/2)^2+COS(RADIANS(35.77951))*COS(RADIANS(F32))*SIN(RADIANS(G32-(-78.68168))/2)^2))</x:f>
        <x:v>19.74257437150072</x:v>
      </x:c>
      <x:c r="Q32" s="1" t="str">
        <x:f>IF(P32&lt;=1,"0–1 mi",IF(P32&lt;=3,"&gt;1–3 mi",IF(P32&lt;=5,"&gt;3–5 mi","Outside 5 mi")))</x:f>
        <x:v>Outside 5 mi</x:v>
      </x:c>
      <x:c r="R32" s="7" t="n">
        <x:f>2*3958.7613*ASIN(SQRT(SIN(RADIANS(F32-35.7687)/2)^2+COS(RADIANS(35.7687))*COS(RADIANS(F32))*SIN(RADIANS(G32-(-78.6775))/2)^2))</x:f>
        <x:v>20.450637378488516</x:v>
      </x:c>
      <x:c r="S32" s="1" t="str">
        <x:f>IF(R32&lt;=1,"0–1 mi",IF(R32&lt;=3,"&gt;1–3 mi",IF(R32&lt;=5,"&gt;3–5 mi","Outside 5 mi")))</x:f>
        <x:v>Outside 5 mi</x:v>
      </x:c>
      <x:c r="T32" s="7" t="n">
        <x:f>2*3958.7613*ASIN(SQRT(SIN(RADIANS(F32-35.79847)/2)^2+COS(RADIANS(35.79847))*COS(RADIANS(F32))*SIN(RADIANS(G32-(-78.70408))/2)^2))</x:f>
        <x:v>17.928231471732442</x:v>
      </x:c>
      <x:c r="U32" s="1" t="str">
        <x:f>IF(T32&lt;=1,"0–1 mi",IF(T32&lt;=3,"&gt;1–3 mi",IF(T32&lt;=5,"&gt;3–5 mi","Outside 5 mi")))</x:f>
        <x:v>Outside 5 mi</x:v>
      </x:c>
      <x:c r="V32" s="1" t="n">
        <x:f>IF(MIN(P32,R32,T32)&lt;=5,1,0)</x:f>
        <x:v>0</x:v>
      </x:c>
      <x:c r="W32" s="6" t="n">
        <x:f>IF(O32=1,(H32+I32)/2,"")</x:f>
        <x:v>1334.5</x:v>
      </x:c>
      <x:c r="X32" s="1" t="n">
        <x:f>O32*V32</x:f>
        <x:v>0</x:v>
      </x:c>
      <x:c r="Y32" s="1" t="n">
        <x:v>0</x:v>
      </x:c>
      <x:c r="Z32" s="1" t="n">
        <x:v>0</x:v>
      </x:c>
      <x:c r="AA32" s="1" t="n">
        <x:v>0</x:v>
      </x:c>
      <x:c r="AB32" s="1" t="n">
        <x:v>0</x:v>
      </x:c>
      <x:c r="AC32" s="1" t="n">
        <x:v>0</x:v>
      </x:c>
      <x:c r="AD32" s="1" t="str">
        <x:f>IF('Raw properties'!Y32="","",'Raw properties'!Y32)</x:f>
      </x:c>
      <x:c r="AE32" s="1" t="str">
        <x:v>2026-10-02</x:v>
      </x:c>
      <x:c r="AF32" s="1" t="str">
        <x:v>Included in rent means</x:v>
      </x:c>
      <x:c r="AG32" s="5" t="str">
        <x:v>Source pricing flag retained; automated consistency checks passed. This is not independent landlord verification.</x:v>
      </x:c>
      <x:c r="AH32" s="1" t="str">
        <x:v>$1,312 - $1,357</x:v>
      </x:c>
      <x:c r="AI32" s="8" t="n">
        <x:f>MIN(ABS(P32-1),ABS(P32-3),ABS(P32-5))*5280</x:f>
        <x:v>77840.7926815238</x:v>
      </x:c>
      <x:c r="AJ32" s="8" t="n">
        <x:f>MIN(ABS(R32-1),ABS(R32-3),ABS(R32-5))*5280</x:f>
        <x:v>81579.36535841937</x:v>
      </x:c>
      <x:c r="AK32" s="8" t="n">
        <x:f>MIN(ABS(T32-1),ABS(T32-3),ABS(T32-5))*5280</x:f>
        <x:v>68261.06217074729</x:v>
      </x:c>
      <x:c r="AL32" s="1" t="n">
        <x:f>IF(MIN(AI32,AJ32,AK32)&lt;=100,1,0)</x:f>
        <x:v>0</x:v>
      </x:c>
    </x:row>
    <x:row r="33" ht="15" hidden="0" customHeight="1">
      <x:c r="A33" s="1" t="str">
        <x:f>IF('Raw properties'!A33="","",'Raw properties'!A33)</x:f>
        <x:v>ocpd8x87kh</x:v>
      </x:c>
      <x:c r="B33" s="1" t="str">
        <x:f>IF('Raw properties'!D33="","",'Raw properties'!D33)</x:f>
        <x:v>New Construction: 4 Bed 4.5 Bath Townhomes</x:v>
      </x:c>
      <x:c r="C33" s="1" t="str">
        <x:f>IF('Raw properties'!AG33="","",'Raw properties'!AG33)</x:f>
        <x:v>https://offcampus.dasa.ncsu.edu/housing/property/new-construction-4-bed-4-5-bath-townhomes/ocpd8x87kh</x:v>
      </x:c>
      <x:c r="D33" s="1" t="str">
        <x:v>Whole unit</x:v>
      </x:c>
      <x:c r="E33" s="1" t="str">
        <x:v>Whole unit</x:v>
      </x:c>
      <x:c r="F33" s="7" t="n">
        <x:f>IF('Raw properties'!I33="","",'Raw properties'!I33)</x:f>
        <x:v>35.778062</x:v>
      </x:c>
      <x:c r="G33" s="7" t="n">
        <x:f>IF('Raw properties'!J33="","",'Raw properties'!J33)</x:f>
        <x:v>-78.689907</x:v>
      </x:c>
      <x:c r="H33" s="6" t="n">
        <x:f>IF('Raw properties'!M33="","",'Raw properties'!M33)</x:f>
        <x:v>4000</x:v>
      </x:c>
      <x:c r="I33" s="6" t="n">
        <x:f>IF('Raw properties'!N33="","",'Raw properties'!N33)</x:f>
        <x:v>4000</x:v>
      </x:c>
      <x:c r="J33" s="6" t="n">
        <x:f>IF((IF('Raw floorplans'!H201&gt;0,1,0))=0,"",MIN(IF('Raw floorplans'!H201&gt;0,'Raw floorplans'!H201,1E99)))</x:f>
        <x:v>4000</x:v>
      </x:c>
      <x:c r="K33" s="6" t="n">
        <x:f>IF((IF('Raw floorplans'!I201&gt;0,1,0))=0,"",MAX(IF('Raw floorplans'!I201&gt;0,'Raw floorplans'!I201,0)))</x:f>
        <x:v>4000</x:v>
      </x:c>
      <x:c r="L33" s="1" t="n">
        <x:v>0</x:v>
      </x:c>
      <x:c r="M33" s="1" t="n">
        <x:f>IF(AND(ISNUMBER(H33),ISNUMBER(I33),ISNUMBER(J33),ISNUMBER(K33),H33&gt;0,I33&gt;0),IF(OR(H33&lt;&gt;J33,I33&lt;&gt;K33),1,0),0)</x:f>
        <x:v>0</x:v>
      </x:c>
      <x:c r="N33" s="1" t="n">
        <x:f>IF(AND(ISNUMBER(H33),ISNUMBER(I33),H33&gt;0,I33&gt;=H33),1,0)</x:f>
        <x:v>1</x:v>
      </x:c>
      <x:c r="O33" s="1" t="n">
        <x:f>IF(AND(L33=0,M33=0,N33=1),1,0)</x:f>
        <x:v>1</x:v>
      </x:c>
      <x:c r="P33" s="7" t="n">
        <x:f>2*3958.7613*ASIN(SQRT(SIN(RADIANS(F33-35.77951)/2)^2+COS(RADIANS(35.77951))*COS(RADIANS(F33))*SIN(RADIANS(G33-(-78.68168))/2)^2))</x:f>
        <x:v>0.47188511191941546</x:v>
      </x:c>
      <x:c r="Q33" s="1" t="str">
        <x:f>IF(P33&lt;=1,"0–1 mi",IF(P33&lt;=3,"&gt;1–3 mi",IF(P33&lt;=5,"&gt;3–5 mi","Outside 5 mi")))</x:f>
        <x:v>0–1 mi</x:v>
      </x:c>
      <x:c r="R33" s="7" t="n">
        <x:f>2*3958.7613*ASIN(SQRT(SIN(RADIANS(F33-35.7687)/2)^2+COS(RADIANS(35.7687))*COS(RADIANS(F33))*SIN(RADIANS(G33-(-78.6775))/2)^2))</x:f>
        <x:v>0.9498177114968678</x:v>
      </x:c>
      <x:c r="S33" s="1" t="str">
        <x:f>IF(R33&lt;=1,"0–1 mi",IF(R33&lt;=3,"&gt;1–3 mi",IF(R33&lt;=5,"&gt;3–5 mi","Outside 5 mi")))</x:f>
        <x:v>0–1 mi</x:v>
      </x:c>
      <x:c r="T33" s="7" t="n">
        <x:f>2*3958.7613*ASIN(SQRT(SIN(RADIANS(F33-35.79847)/2)^2+COS(RADIANS(35.79847))*COS(RADIANS(F33))*SIN(RADIANS(G33-(-78.70408))/2)^2))</x:f>
        <x:v>1.6184169797294217</x:v>
      </x:c>
      <x:c r="U33" s="1" t="str">
        <x:f>IF(T33&lt;=1,"0–1 mi",IF(T33&lt;=3,"&gt;1–3 mi",IF(T33&lt;=5,"&gt;3–5 mi","Outside 5 mi")))</x:f>
        <x:v>&gt;1–3 mi</x:v>
      </x:c>
      <x:c r="V33" s="1" t="n">
        <x:f>IF(MIN(P33,R33,T33)&lt;=5,1,0)</x:f>
        <x:v>1</x:v>
      </x:c>
      <x:c r="W33" s="6" t="n">
        <x:f>IF(O33=1,(H33+I33)/2,"")</x:f>
        <x:v>4000</x:v>
      </x:c>
      <x:c r="X33" s="1" t="n">
        <x:f>O33*V33</x:f>
        <x:v>1</x:v>
      </x:c>
      <x:c r="Y33" s="1" t="n">
        <x:v>0</x:v>
      </x:c>
      <x:c r="Z33" s="1" t="n">
        <x:v>0</x:v>
      </x:c>
      <x:c r="AA33" s="1" t="n">
        <x:v>0</x:v>
      </x:c>
      <x:c r="AB33" s="1" t="n">
        <x:v>0</x:v>
      </x:c>
      <x:c r="AC33" s="1" t="n">
        <x:v>0</x:v>
      </x:c>
      <x:c r="AD33" s="1" t="str">
        <x:f>IF('Raw properties'!Y33="","",'Raw properties'!Y33)</x:f>
        <x:v>12 Month Lease</x:v>
      </x:c>
      <x:c r="AE33" s="1" t="str">
        <x:v>2026-06-01</x:v>
      </x:c>
      <x:c r="AF33" s="1" t="str">
        <x:v>Included in rent means</x:v>
      </x:c>
      <x:c r="AG33" s="5" t="str">
        <x:v>Source pricing flag retained; automated consistency checks passed. This is not independent landlord verification.</x:v>
      </x:c>
      <x:c r="AH33" s="1" t="str">
        <x:v>$4,000</x:v>
      </x:c>
      <x:c r="AI33" s="8" t="n">
        <x:f>MIN(ABS(P33-1),ABS(P33-3),ABS(P33-5))*5280</x:f>
        <x:v>2788.446609065487</x:v>
      </x:c>
      <x:c r="AJ33" s="8" t="n">
        <x:f>MIN(ABS(R33-1),ABS(R33-3),ABS(R33-5))*5280</x:f>
        <x:v>264.96248329653815</x:v>
      </x:c>
      <x:c r="AK33" s="8" t="n">
        <x:f>MIN(ABS(T33-1),ABS(T33-3),ABS(T33-5))*5280</x:f>
        <x:v>3265.2416529713464</x:v>
      </x:c>
      <x:c r="AL33" s="1" t="n">
        <x:f>IF(MIN(AI33,AJ33,AK33)&lt;=100,1,0)</x:f>
        <x:v>0</x:v>
      </x:c>
    </x:row>
    <x:row r="34" ht="15" hidden="0" customHeight="1">
      <x:c r="A34" s="1" t="str">
        <x:f>IF('Raw properties'!A34="","",'Raw properties'!A34)</x:f>
        <x:v>v534e5d</x:v>
      </x:c>
      <x:c r="B34" s="1" t="str">
        <x:f>IF('Raw properties'!D34="","",'Raw properties'!D34)</x:f>
        <x:v>Kensington Park</x:v>
      </x:c>
      <x:c r="C34" s="1" t="str">
        <x:f>IF('Raw properties'!AG34="","",'Raw properties'!AG34)</x:f>
        <x:v>https://offcampus.dasa.ncsu.edu/housing/property/kensington-park/v534e5d</x:v>
      </x:c>
      <x:c r="D34" s="1" t="str">
        <x:v>Whole unit</x:v>
      </x:c>
      <x:c r="E34" s="1" t="str">
        <x:v>Whole unit</x:v>
      </x:c>
      <x:c r="F34" s="7" t="n">
        <x:f>IF('Raw properties'!I34="","",'Raw properties'!I34)</x:f>
        <x:v>35.771483</x:v>
      </x:c>
      <x:c r="G34" s="7" t="n">
        <x:f>IF('Raw properties'!J34="","",'Raw properties'!J34)</x:f>
        <x:v>-78.687069</x:v>
      </x:c>
      <x:c r="H34" s="6" t="n">
        <x:f>IF('Raw properties'!M34="","",'Raw properties'!M34)</x:f>
        <x:v>1175</x:v>
      </x:c>
      <x:c r="I34" s="6" t="n">
        <x:f>IF('Raw properties'!N34="","",'Raw properties'!N34)</x:f>
        <x:v>1945</x:v>
      </x:c>
      <x:c r="J34" s="6" t="n">
        <x:f>IF((IF('Raw floorplans'!H202&gt;0,1,0)+IF('Raw floorplans'!H203&gt;0,1,0)+IF('Raw floorplans'!H204&gt;0,1,0)+IF('Raw floorplans'!H205&gt;0,1,0)+IF('Raw floorplans'!H206&gt;0,1,0)+IF('Raw floorplans'!H207&gt;0,1,0)+IF('Raw floorplans'!H208&gt;0,1,0)+IF('Raw floorplans'!H209&gt;0,1,0)+IF('Raw floorplans'!H210&gt;0,1,0)+IF('Raw floorplans'!H211&gt;0,1,0)+IF('Raw floorplans'!H212&gt;0,1,0)+IF('Raw floorplans'!H213&gt;0,1,0)+IF('Raw floorplans'!H214&gt;0,1,0)+IF('Raw floorplans'!H215&gt;0,1,0)+IF('Raw floorplans'!H216&gt;0,1,0))=0,"",MIN(IF('Raw floorplans'!H202&gt;0,'Raw floorplans'!H202,1E99),IF('Raw floorplans'!H203&gt;0,'Raw floorplans'!H203,1E99),IF('Raw floorplans'!H204&gt;0,'Raw floorplans'!H204,1E99),IF('Raw floorplans'!H205&gt;0,'Raw floorplans'!H205,1E99),IF('Raw floorplans'!H206&gt;0,'Raw floorplans'!H206,1E99),IF('Raw floorplans'!H207&gt;0,'Raw floorplans'!H207,1E99),IF('Raw floorplans'!H208&gt;0,'Raw floorplans'!H208,1E99),IF('Raw floorplans'!H209&gt;0,'Raw floorplans'!H209,1E99),IF('Raw floorplans'!H210&gt;0,'Raw floorplans'!H210,1E99),IF('Raw floorplans'!H211&gt;0,'Raw floorplans'!H211,1E99),IF('Raw floorplans'!H212&gt;0,'Raw floorplans'!H212,1E99),IF('Raw floorplans'!H213&gt;0,'Raw floorplans'!H213,1E99),IF('Raw floorplans'!H214&gt;0,'Raw floorplans'!H214,1E99),IF('Raw floorplans'!H215&gt;0,'Raw floorplans'!H215,1E99),IF('Raw floorplans'!H216&gt;0,'Raw floorplans'!H216,1E99)))</x:f>
        <x:v>1175</x:v>
      </x:c>
      <x:c r="K34" s="6" t="n">
        <x:f>IF((IF('Raw floorplans'!I202&gt;0,1,0)+IF('Raw floorplans'!I203&gt;0,1,0)+IF('Raw floorplans'!I204&gt;0,1,0)+IF('Raw floorplans'!I205&gt;0,1,0)+IF('Raw floorplans'!I206&gt;0,1,0)+IF('Raw floorplans'!I207&gt;0,1,0)+IF('Raw floorplans'!I208&gt;0,1,0)+IF('Raw floorplans'!I209&gt;0,1,0)+IF('Raw floorplans'!I210&gt;0,1,0)+IF('Raw floorplans'!I211&gt;0,1,0)+IF('Raw floorplans'!I212&gt;0,1,0)+IF('Raw floorplans'!I213&gt;0,1,0)+IF('Raw floorplans'!I214&gt;0,1,0)+IF('Raw floorplans'!I215&gt;0,1,0)+IF('Raw floorplans'!I216&gt;0,1,0))=0,"",MAX(IF('Raw floorplans'!I202&gt;0,'Raw floorplans'!I202,0),IF('Raw floorplans'!I203&gt;0,'Raw floorplans'!I203,0),IF('Raw floorplans'!I204&gt;0,'Raw floorplans'!I204,0),IF('Raw floorplans'!I205&gt;0,'Raw floorplans'!I205,0),IF('Raw floorplans'!I206&gt;0,'Raw floorplans'!I206,0),IF('Raw floorplans'!I207&gt;0,'Raw floorplans'!I207,0),IF('Raw floorplans'!I208&gt;0,'Raw floorplans'!I208,0),IF('Raw floorplans'!I209&gt;0,'Raw floorplans'!I209,0),IF('Raw floorplans'!I210&gt;0,'Raw floorplans'!I210,0),IF('Raw floorplans'!I211&gt;0,'Raw floorplans'!I211,0),IF('Raw floorplans'!I212&gt;0,'Raw floorplans'!I212,0),IF('Raw floorplans'!I213&gt;0,'Raw floorplans'!I213,0),IF('Raw floorplans'!I214&gt;0,'Raw floorplans'!I214,0),IF('Raw floorplans'!I215&gt;0,'Raw floorplans'!I215,0),IF('Raw floorplans'!I216&gt;0,'Raw floorplans'!I216,0)))</x:f>
        <x:v>1945</x:v>
      </x:c>
      <x:c r="L34" s="1" t="n">
        <x:v>0</x:v>
      </x:c>
      <x:c r="M34" s="1" t="n">
        <x:f>IF(AND(ISNUMBER(H34),ISNUMBER(I34),ISNUMBER(J34),ISNUMBER(K34),H34&gt;0,I34&gt;0),IF(OR(H34&lt;&gt;J34,I34&lt;&gt;K34),1,0),0)</x:f>
        <x:v>0</x:v>
      </x:c>
      <x:c r="N34" s="1" t="n">
        <x:f>IF(AND(ISNUMBER(H34),ISNUMBER(I34),H34&gt;0,I34&gt;=H34),1,0)</x:f>
        <x:v>1</x:v>
      </x:c>
      <x:c r="O34" s="1" t="n">
        <x:f>IF(AND(L34=0,M34=0,N34=1),1,0)</x:f>
        <x:v>1</x:v>
      </x:c>
      <x:c r="P34" s="7" t="n">
        <x:f>2*3958.7613*ASIN(SQRT(SIN(RADIANS(F34-35.77951)/2)^2+COS(RADIANS(35.77951))*COS(RADIANS(F34))*SIN(RADIANS(G34-(-78.68168))/2)^2))</x:f>
        <x:v>0.6315478861412291</x:v>
      </x:c>
      <x:c r="Q34" s="1" t="str">
        <x:f>IF(P34&lt;=1,"0–1 mi",IF(P34&lt;=3,"&gt;1–3 mi",IF(P34&lt;=5,"&gt;3–5 mi","Outside 5 mi")))</x:f>
        <x:v>0–1 mi</x:v>
      </x:c>
      <x:c r="R34" s="7" t="n">
        <x:f>2*3958.7613*ASIN(SQRT(SIN(RADIANS(F34-35.7687)/2)^2+COS(RADIANS(35.7687))*COS(RADIANS(F34))*SIN(RADIANS(G34-(-78.6775))/2)^2))</x:f>
        <x:v>0.5698621364091182</x:v>
      </x:c>
      <x:c r="S34" s="1" t="str">
        <x:f>IF(R34&lt;=1,"0–1 mi",IF(R34&lt;=3,"&gt;1–3 mi",IF(R34&lt;=5,"&gt;3–5 mi","Outside 5 mi")))</x:f>
        <x:v>0–1 mi</x:v>
      </x:c>
      <x:c r="T34" s="7" t="n">
        <x:f>2*3958.7613*ASIN(SQRT(SIN(RADIANS(F34-35.79847)/2)^2+COS(RADIANS(35.79847))*COS(RADIANS(F34))*SIN(RADIANS(G34-(-78.70408))/2)^2))</x:f>
        <x:v>2.0942573667382662</x:v>
      </x:c>
      <x:c r="U34" s="1" t="str">
        <x:f>IF(T34&lt;=1,"0–1 mi",IF(T34&lt;=3,"&gt;1–3 mi",IF(T34&lt;=5,"&gt;3–5 mi","Outside 5 mi")))</x:f>
        <x:v>&gt;1–3 mi</x:v>
      </x:c>
      <x:c r="V34" s="1" t="n">
        <x:f>IF(MIN(P34,R34,T34)&lt;=5,1,0)</x:f>
        <x:v>1</x:v>
      </x:c>
      <x:c r="W34" s="6" t="n">
        <x:f>IF(O34=1,(H34+I34)/2,"")</x:f>
        <x:v>1560</x:v>
      </x:c>
      <x:c r="X34" s="1" t="n">
        <x:f>O34*V34</x:f>
        <x:v>1</x:v>
      </x:c>
      <x:c r="Y34" s="1" t="n">
        <x:v>0</x:v>
      </x:c>
      <x:c r="Z34" s="1" t="n">
        <x:v>0</x:v>
      </x:c>
      <x:c r="AA34" s="1" t="n">
        <x:v>0</x:v>
      </x:c>
      <x:c r="AB34" s="1" t="n">
        <x:v>0</x:v>
      </x:c>
      <x:c r="AC34" s="1" t="n">
        <x:v>0</x:v>
      </x:c>
      <x:c r="AD34" s="1" t="str">
        <x:f>IF('Raw properties'!Y34="","",'Raw properties'!Y34)</x:f>
      </x:c>
      <x:c r="AE34" s="1" t="str">
        <x:v>2026-08-01</x:v>
      </x:c>
      <x:c r="AF34" s="1" t="str">
        <x:v>Included in rent means</x:v>
      </x:c>
      <x:c r="AG34" s="5" t="str">
        <x:v>Source pricing flag retained; automated consistency checks passed. This is not independent landlord verification.</x:v>
      </x:c>
      <x:c r="AH34" s="1" t="str">
        <x:v>$1,175 - $1,945</x:v>
      </x:c>
      <x:c r="AI34" s="8" t="n">
        <x:f>MIN(ABS(P34-1),ABS(P34-3),ABS(P34-5))*5280</x:f>
        <x:v>1945.4271611743102</x:v>
      </x:c>
      <x:c r="AJ34" s="8" t="n">
        <x:f>MIN(ABS(R34-1),ABS(R34-3),ABS(R34-5))*5280</x:f>
        <x:v>2271.127919759856</x:v>
      </x:c>
      <x:c r="AK34" s="8" t="n">
        <x:f>MIN(ABS(T34-1),ABS(T34-3),ABS(T34-5))*5280</x:f>
        <x:v>4782.3211036219545</x:v>
      </x:c>
      <x:c r="AL34" s="1" t="n">
        <x:f>IF(MIN(AI34,AJ34,AK34)&lt;=100,1,0)</x:f>
        <x:v>0</x:v>
      </x:c>
    </x:row>
    <x:row r="35" ht="15" hidden="0" customHeight="1">
      <x:c r="A35" s="1" t="str">
        <x:f>IF('Raw properties'!A35="","",'Raw properties'!A35)</x:f>
        <x:v>ocp913l1z6</x:v>
      </x:c>
      <x:c r="B35" s="1" t="str">
        <x:f>IF('Raw properties'!D35="","",'Raw properties'!D35)</x:f>
        <x:v>** WAITLIST for 2026-2027 ** 4 Bedroom, 4.5 Bathroom Unit Near NCSU Campus and Cup A Joe</x:v>
      </x:c>
      <x:c r="C35" s="1" t="str">
        <x:f>IF('Raw properties'!AG35="","",'Raw properties'!AG35)</x:f>
        <x:v>https://offcampus.dasa.ncsu.edu/housing/property/waitlist-for-2026-2027-4-bedroom-4-5-bathroom-unit-near-ncsu-campus-and-cup-a-joe/ocp913l1z6</x:v>
      </x:c>
      <x:c r="D35" s="1" t="str">
        <x:v>Whole unit</x:v>
      </x:c>
      <x:c r="E35" s="1" t="str">
        <x:v>Whole unit</x:v>
      </x:c>
      <x:c r="F35" s="7" t="n">
        <x:f>IF('Raw properties'!I35="","",'Raw properties'!I35)</x:f>
        <x:v>35.791166</x:v>
      </x:c>
      <x:c r="G35" s="7" t="n">
        <x:f>IF('Raw properties'!J35="","",'Raw properties'!J35)</x:f>
        <x:v>-78.677347</x:v>
      </x:c>
      <x:c r="H35" s="6" t="n">
        <x:f>IF('Raw properties'!M35="","",'Raw properties'!M35)</x:f>
        <x:v>4400</x:v>
      </x:c>
      <x:c r="I35" s="6" t="n">
        <x:f>IF('Raw properties'!N35="","",'Raw properties'!N35)</x:f>
        <x:v>4400</x:v>
      </x:c>
      <x:c r="J35" s="6" t="n">
        <x:f>IF((IF('Raw floorplans'!H217&gt;0,1,0))=0,"",MIN(IF('Raw floorplans'!H217&gt;0,'Raw floorplans'!H217,1E99)))</x:f>
        <x:v>4400</x:v>
      </x:c>
      <x:c r="K35" s="6" t="n">
        <x:f>IF((IF('Raw floorplans'!I217&gt;0,1,0))=0,"",MAX(IF('Raw floorplans'!I217&gt;0,'Raw floorplans'!I217,0)))</x:f>
        <x:v>4400</x:v>
      </x:c>
      <x:c r="L35" s="1" t="n">
        <x:v>0</x:v>
      </x:c>
      <x:c r="M35" s="1" t="n">
        <x:f>IF(AND(ISNUMBER(H35),ISNUMBER(I35),ISNUMBER(J35),ISNUMBER(K35),H35&gt;0,I35&gt;0),IF(OR(H35&lt;&gt;J35,I35&lt;&gt;K35),1,0),0)</x:f>
        <x:v>0</x:v>
      </x:c>
      <x:c r="N35" s="1" t="n">
        <x:f>IF(AND(ISNUMBER(H35),ISNUMBER(I35),H35&gt;0,I35&gt;=H35),1,0)</x:f>
        <x:v>1</x:v>
      </x:c>
      <x:c r="O35" s="1" t="n">
        <x:f>IF(AND(L35=0,M35=0,N35=1),1,0)</x:f>
        <x:v>1</x:v>
      </x:c>
      <x:c r="P35" s="7" t="n">
        <x:f>2*3958.7613*ASIN(SQRT(SIN(RADIANS(F35-35.77951)/2)^2+COS(RADIANS(35.77951))*COS(RADIANS(F35))*SIN(RADIANS(G35-(-78.68168))/2)^2))</x:f>
        <x:v>0.8411750668294197</x:v>
      </x:c>
      <x:c r="Q35" s="1" t="str">
        <x:f>IF(P35&lt;=1,"0–1 mi",IF(P35&lt;=3,"&gt;1–3 mi",IF(P35&lt;=5,"&gt;3–5 mi","Outside 5 mi")))</x:f>
        <x:v>0–1 mi</x:v>
      </x:c>
      <x:c r="R35" s="7" t="n">
        <x:f>2*3958.7613*ASIN(SQRT(SIN(RADIANS(F35-35.7687)/2)^2+COS(RADIANS(35.7687))*COS(RADIANS(F35))*SIN(RADIANS(G35-(-78.6775))/2)^2))</x:f>
        <x:v>1.5522764422805584</x:v>
      </x:c>
      <x:c r="S35" s="1" t="str">
        <x:f>IF(R35&lt;=1,"0–1 mi",IF(R35&lt;=3,"&gt;1–3 mi",IF(R35&lt;=5,"&gt;3–5 mi","Outside 5 mi")))</x:f>
        <x:v>&gt;1–3 mi</x:v>
      </x:c>
      <x:c r="T35" s="7" t="n">
        <x:f>2*3958.7613*ASIN(SQRT(SIN(RADIANS(F35-35.79847)/2)^2+COS(RADIANS(35.79847))*COS(RADIANS(F35))*SIN(RADIANS(G35-(-78.70408))/2)^2))</x:f>
        <x:v>1.580905435109818</x:v>
      </x:c>
      <x:c r="U35" s="1" t="str">
        <x:f>IF(T35&lt;=1,"0–1 mi",IF(T35&lt;=3,"&gt;1–3 mi",IF(T35&lt;=5,"&gt;3–5 mi","Outside 5 mi")))</x:f>
        <x:v>&gt;1–3 mi</x:v>
      </x:c>
      <x:c r="V35" s="1" t="n">
        <x:f>IF(MIN(P35,R35,T35)&lt;=5,1,0)</x:f>
        <x:v>1</x:v>
      </x:c>
      <x:c r="W35" s="6" t="n">
        <x:f>IF(O35=1,(H35+I35)/2,"")</x:f>
        <x:v>4400</x:v>
      </x:c>
      <x:c r="X35" s="1" t="n">
        <x:f>O35*V35</x:f>
        <x:v>1</x:v>
      </x:c>
      <x:c r="Y35" s="1" t="n">
        <x:v>0</x:v>
      </x:c>
      <x:c r="Z35" s="1" t="n">
        <x:v>1</x:v>
      </x:c>
      <x:c r="AA35" s="1" t="n">
        <x:v>0</x:v>
      </x:c>
      <x:c r="AB35" s="1" t="n">
        <x:v>0</x:v>
      </x:c>
      <x:c r="AC35" s="1" t="n">
        <x:v>0</x:v>
      </x:c>
      <x:c r="AD35" s="1" t="str">
        <x:f>IF('Raw properties'!Y35="","",'Raw properties'!Y35)</x:f>
      </x:c>
      <x:c r="AE35" s="1" t="str">
        <x:v>2026-06-07</x:v>
      </x:c>
      <x:c r="AF35" s="1" t="str">
        <x:v>Included in rent means</x:v>
      </x:c>
      <x:c r="AG35" s="5" t="str">
        <x:v>Source pricing flag retained; automated consistency checks passed. This is not independent landlord verification.</x:v>
      </x:c>
      <x:c r="AH35" s="1" t="str">
        <x:v>$4,400</x:v>
      </x:c>
      <x:c r="AI35" s="8" t="n">
        <x:f>MIN(ABS(P35-1),ABS(P35-3),ABS(P35-5))*5280</x:f>
        <x:v>838.5956471406641</x:v>
      </x:c>
      <x:c r="AJ35" s="8" t="n">
        <x:f>MIN(ABS(R35-1),ABS(R35-3),ABS(R35-5))*5280</x:f>
        <x:v>2916.019615241348</x:v>
      </x:c>
      <x:c r="AK35" s="8" t="n">
        <x:f>MIN(ABS(T35-1),ABS(T35-3),ABS(T35-5))*5280</x:f>
        <x:v>3067.180697379839</x:v>
      </x:c>
      <x:c r="AL35" s="1" t="n">
        <x:f>IF(MIN(AI35,AJ35,AK35)&lt;=100,1,0)</x:f>
        <x:v>0</x:v>
      </x:c>
    </x:row>
    <x:row r="36" ht="36" hidden="0" customHeight="1">
      <x:c r="A36" s="1" t="str">
        <x:f>IF('Raw properties'!A36="","",'Raw properties'!A36)</x:f>
        <x:v>0zm5l03</x:v>
      </x:c>
      <x:c r="B36" s="1" t="str">
        <x:f>IF('Raw properties'!D36="","",'Raw properties'!D36)</x:f>
        <x:v>616 at the Village</x:v>
      </x:c>
      <x:c r="C36" s="1" t="str">
        <x:f>IF('Raw properties'!AG36="","",'Raw properties'!AG36)</x:f>
        <x:v>https://offcampus.dasa.ncsu.edu/housing/property/616-at-the-village/0zm5l03</x:v>
      </x:c>
      <x:c r="D36" s="1" t="str">
        <x:v>Whole unit</x:v>
      </x:c>
      <x:c r="E36" s="1" t="str">
        <x:v>Whole unit</x:v>
      </x:c>
      <x:c r="F36" s="7" t="n">
        <x:f>IF('Raw properties'!I36="","",'Raw properties'!I36)</x:f>
        <x:v>35.792999</x:v>
      </x:c>
      <x:c r="G36" s="7" t="n">
        <x:f>IF('Raw properties'!J36="","",'Raw properties'!J36)</x:f>
        <x:v>-78.662003</x:v>
      </x:c>
      <x:c r="H36" s="6" t="n">
        <x:f>IF('Raw properties'!M36="","",'Raw properties'!M36)</x:f>
        <x:v>1620</x:v>
      </x:c>
      <x:c r="I36" s="6" t="n">
        <x:f>IF('Raw properties'!N36="","",'Raw properties'!N36)</x:f>
        <x:v>3430</x:v>
      </x:c>
      <x:c r="J36" s="6" t="n">
        <x:f>IF((IF('Raw floorplans'!H218&gt;0,1,0)+IF('Raw floorplans'!H219&gt;0,1,0)+IF('Raw floorplans'!H220&gt;0,1,0)+IF('Raw floorplans'!H221&gt;0,1,0)+IF('Raw floorplans'!H222&gt;0,1,0)+IF('Raw floorplans'!H223&gt;0,1,0)+IF('Raw floorplans'!H224&gt;0,1,0)+IF('Raw floorplans'!H225&gt;0,1,0)+IF('Raw floorplans'!H226&gt;0,1,0)+IF('Raw floorplans'!H227&gt;0,1,0)+IF('Raw floorplans'!H228&gt;0,1,0)+IF('Raw floorplans'!H229&gt;0,1,0)+IF('Raw floorplans'!H230&gt;0,1,0)+IF('Raw floorplans'!H231&gt;0,1,0)+IF('Raw floorplans'!H232&gt;0,1,0)+IF('Raw floorplans'!H233&gt;0,1,0)+IF('Raw floorplans'!H234&gt;0,1,0)+IF('Raw floorplans'!H235&gt;0,1,0)+IF('Raw floorplans'!H236&gt;0,1,0)+IF('Raw floorplans'!H237&gt;0,1,0)+IF('Raw floorplans'!H238&gt;0,1,0)+IF('Raw floorplans'!H239&gt;0,1,0))=0,"",MIN(IF('Raw floorplans'!H218&gt;0,'Raw floorplans'!H218,1E99),IF('Raw floorplans'!H219&gt;0,'Raw floorplans'!H219,1E99),IF('Raw floorplans'!H220&gt;0,'Raw floorplans'!H220,1E99),IF('Raw floorplans'!H221&gt;0,'Raw floorplans'!H221,1E99),IF('Raw floorplans'!H222&gt;0,'Raw floorplans'!H222,1E99),IF('Raw floorplans'!H223&gt;0,'Raw floorplans'!H223,1E99),IF('Raw floorplans'!H224&gt;0,'Raw floorplans'!H224,1E99),IF('Raw floorplans'!H225&gt;0,'Raw floorplans'!H225,1E99),IF('Raw floorplans'!H226&gt;0,'Raw floorplans'!H226,1E99),IF('Raw floorplans'!H227&gt;0,'Raw floorplans'!H227,1E99),IF('Raw floorplans'!H228&gt;0,'Raw floorplans'!H228,1E99),IF('Raw floorplans'!H229&gt;0,'Raw floorplans'!H229,1E99),IF('Raw floorplans'!H230&gt;0,'Raw floorplans'!H230,1E99),IF('Raw floorplans'!H231&gt;0,'Raw floorplans'!H231,1E99),IF('Raw floorplans'!H232&gt;0,'Raw floorplans'!H232,1E99),IF('Raw floorplans'!H233&gt;0,'Raw floorplans'!H233,1E99),IF('Raw floorplans'!H234&gt;0,'Raw floorplans'!H234,1E99),IF('Raw floorplans'!H235&gt;0,'Raw floorplans'!H235,1E99),IF('Raw floorplans'!H236&gt;0,'Raw floorplans'!H236,1E99),IF('Raw floorplans'!H237&gt;0,'Raw floorplans'!H237,1E99),IF('Raw floorplans'!H238&gt;0,'Raw floorplans'!H238,1E99),IF('Raw floorplans'!H239&gt;0,'Raw floorplans'!H239,1E99)))</x:f>
        <x:v>1600</x:v>
      </x:c>
      <x:c r="K36" s="6" t="n">
        <x:f>IF((IF('Raw floorplans'!I218&gt;0,1,0)+IF('Raw floorplans'!I219&gt;0,1,0)+IF('Raw floorplans'!I220&gt;0,1,0)+IF('Raw floorplans'!I221&gt;0,1,0)+IF('Raw floorplans'!I222&gt;0,1,0)+IF('Raw floorplans'!I223&gt;0,1,0)+IF('Raw floorplans'!I224&gt;0,1,0)+IF('Raw floorplans'!I225&gt;0,1,0)+IF('Raw floorplans'!I226&gt;0,1,0)+IF('Raw floorplans'!I227&gt;0,1,0)+IF('Raw floorplans'!I228&gt;0,1,0)+IF('Raw floorplans'!I229&gt;0,1,0)+IF('Raw floorplans'!I230&gt;0,1,0)+IF('Raw floorplans'!I231&gt;0,1,0)+IF('Raw floorplans'!I232&gt;0,1,0)+IF('Raw floorplans'!I233&gt;0,1,0)+IF('Raw floorplans'!I234&gt;0,1,0)+IF('Raw floorplans'!I235&gt;0,1,0)+IF('Raw floorplans'!I236&gt;0,1,0)+IF('Raw floorplans'!I237&gt;0,1,0)+IF('Raw floorplans'!I238&gt;0,1,0)+IF('Raw floorplans'!I239&gt;0,1,0))=0,"",MAX(IF('Raw floorplans'!I218&gt;0,'Raw floorplans'!I218,0),IF('Raw floorplans'!I219&gt;0,'Raw floorplans'!I219,0),IF('Raw floorplans'!I220&gt;0,'Raw floorplans'!I220,0),IF('Raw floorplans'!I221&gt;0,'Raw floorplans'!I221,0),IF('Raw floorplans'!I222&gt;0,'Raw floorplans'!I222,0),IF('Raw floorplans'!I223&gt;0,'Raw floorplans'!I223,0),IF('Raw floorplans'!I224&gt;0,'Raw floorplans'!I224,0),IF('Raw floorplans'!I225&gt;0,'Raw floorplans'!I225,0),IF('Raw floorplans'!I226&gt;0,'Raw floorplans'!I226,0),IF('Raw floorplans'!I227&gt;0,'Raw floorplans'!I227,0),IF('Raw floorplans'!I228&gt;0,'Raw floorplans'!I228,0),IF('Raw floorplans'!I229&gt;0,'Raw floorplans'!I229,0),IF('Raw floorplans'!I230&gt;0,'Raw floorplans'!I230,0),IF('Raw floorplans'!I231&gt;0,'Raw floorplans'!I231,0),IF('Raw floorplans'!I232&gt;0,'Raw floorplans'!I232,0),IF('Raw floorplans'!I233&gt;0,'Raw floorplans'!I233,0),IF('Raw floorplans'!I234&gt;0,'Raw floorplans'!I234,0),IF('Raw floorplans'!I235&gt;0,'Raw floorplans'!I235,0),IF('Raw floorplans'!I236&gt;0,'Raw floorplans'!I236,0),IF('Raw floorplans'!I237&gt;0,'Raw floorplans'!I237,0),IF('Raw floorplans'!I238&gt;0,'Raw floorplans'!I238,0),IF('Raw floorplans'!I239&gt;0,'Raw floorplans'!I239,0)))</x:f>
        <x:v>3430</x:v>
      </x:c>
      <x:c r="L36" s="1" t="n">
        <x:v>0</x:v>
      </x:c>
      <x:c r="M36" s="1" t="n">
        <x:f>IF(AND(ISNUMBER(H36),ISNUMBER(I36),ISNUMBER(J36),ISNUMBER(K36),H36&gt;0,I36&gt;0),IF(OR(H36&lt;&gt;J36,I36&lt;&gt;K36),1,0),0)</x:f>
        <x:v>1</x:v>
      </x:c>
      <x:c r="N36" s="1" t="n">
        <x:f>IF(AND(ISNUMBER(H36),ISNUMBER(I36),H36&gt;0,I36&gt;=H36),1,0)</x:f>
        <x:v>1</x:v>
      </x:c>
      <x:c r="O36" s="1" t="n">
        <x:f>IF(AND(L36=0,M36=0,N36=1),1,0)</x:f>
        <x:v>0</x:v>
      </x:c>
      <x:c r="P36" s="7" t="n">
        <x:f>2*3958.7613*ASIN(SQRT(SIN(RADIANS(F36-35.77951)/2)^2+COS(RADIANS(35.77951))*COS(RADIANS(F36))*SIN(RADIANS(G36-(-78.68168))/2)^2))</x:f>
        <x:v>1.4439377262163813</x:v>
      </x:c>
      <x:c r="Q36" s="1" t="str">
        <x:f>IF(P36&lt;=1,"0–1 mi",IF(P36&lt;=3,"&gt;1–3 mi",IF(P36&lt;=5,"&gt;3–5 mi","Outside 5 mi")))</x:f>
        <x:v>&gt;1–3 mi</x:v>
      </x:c>
      <x:c r="R36" s="7" t="n">
        <x:f>2*3958.7613*ASIN(SQRT(SIN(RADIANS(F36-35.7687)/2)^2+COS(RADIANS(35.7687))*COS(RADIANS(F36))*SIN(RADIANS(G36-(-78.6775))/2)^2))</x:f>
        <x:v>1.8903064445475712</x:v>
      </x:c>
      <x:c r="S36" s="1" t="str">
        <x:f>IF(R36&lt;=1,"0–1 mi",IF(R36&lt;=3,"&gt;1–3 mi",IF(R36&lt;=5,"&gt;3–5 mi","Outside 5 mi")))</x:f>
        <x:v>&gt;1–3 mi</x:v>
      </x:c>
      <x:c r="T36" s="7" t="n">
        <x:f>2*3958.7613*ASIN(SQRT(SIN(RADIANS(F36-35.79847)/2)^2+COS(RADIANS(35.79847))*COS(RADIANS(F36))*SIN(RADIANS(G36-(-78.70408))/2)^2))</x:f>
        <x:v>2.388192858923186</x:v>
      </x:c>
      <x:c r="U36" s="1" t="str">
        <x:f>IF(T36&lt;=1,"0–1 mi",IF(T36&lt;=3,"&gt;1–3 mi",IF(T36&lt;=5,"&gt;3–5 mi","Outside 5 mi")))</x:f>
        <x:v>&gt;1–3 mi</x:v>
      </x:c>
      <x:c r="V36" s="1" t="n">
        <x:f>IF(MIN(P36,R36,T36)&lt;=5,1,0)</x:f>
        <x:v>1</x:v>
      </x:c>
      <x:c r="W36" s="6" t="str">
        <x:f>IF(O36=1,(H36+I36)/2,"")</x:f>
      </x:c>
      <x:c r="X36" s="1" t="n">
        <x:f>O36*V36</x:f>
        <x:v>0</x:v>
      </x:c>
      <x:c r="Y36" s="1" t="n">
        <x:v>0</x:v>
      </x:c>
      <x:c r="Z36" s="1" t="n">
        <x:v>0</x:v>
      </x:c>
      <x:c r="AA36" s="1" t="n">
        <x:v>0</x:v>
      </x:c>
      <x:c r="AB36" s="1" t="n">
        <x:v>1</x:v>
      </x:c>
      <x:c r="AC36" s="1" t="n">
        <x:v>0</x:v>
      </x:c>
      <x:c r="AD36" s="1" t="str">
        <x:f>IF('Raw properties'!Y36="","",'Raw properties'!Y36)</x:f>
      </x:c>
      <x:c r="AE36" s="1" t="str">
        <x:v>2026-08-25</x:v>
      </x:c>
      <x:c r="AF36" s="1" t="str">
        <x:v>Excluded from rent means</x:v>
      </x:c>
      <x:c r="AG36" s="5" t="str">
        <x:v>Source pricing flag retained; automated consistency checks passed. This is not independent landlord verification. Search summary: $1620–$3430; saved floor-plan envelope: $1600–$3430. Difference may reflect fees, timing or scope; unresolved snapshot price excluded.</x:v>
      </x:c>
      <x:c r="AH36" s="1" t="str">
        <x:v>$1,620 - $3,430</x:v>
      </x:c>
      <x:c r="AI36" s="8" t="n">
        <x:f>MIN(ABS(P36-1),ABS(P36-3),ABS(P36-5))*5280</x:f>
        <x:v>2343.991194422493</x:v>
      </x:c>
      <x:c r="AJ36" s="8" t="n">
        <x:f>MIN(ABS(R36-1),ABS(R36-3),ABS(R36-5))*5280</x:f>
        <x:v>4700.818027211176</x:v>
      </x:c>
      <x:c r="AK36" s="8" t="n">
        <x:f>MIN(ABS(T36-1),ABS(T36-3),ABS(T36-5))*5280</x:f>
        <x:v>3230.341704885578</x:v>
      </x:c>
      <x:c r="AL36" s="1" t="n">
        <x:f>IF(MIN(AI36,AJ36,AK36)&lt;=100,1,0)</x:f>
        <x:v>0</x:v>
      </x:c>
    </x:row>
    <x:row r="37" ht="15" hidden="0" customHeight="1">
      <x:c r="A37" s="1" t="str">
        <x:f>IF('Raw properties'!A37="","",'Raw properties'!A37)</x:f>
        <x:v>ocp2k0px98</x:v>
      </x:c>
      <x:c r="B37" s="1" t="str">
        <x:f>IF('Raw properties'!D37="","",'Raw properties'!D37)</x:f>
        <x:v>Liberty station male only townhome- 5 miles from Centennial</x:v>
      </x:c>
      <x:c r="C37" s="1" t="str">
        <x:f>IF('Raw properties'!AG37="","",'Raw properties'!AG37)</x:f>
        <x:v>https://offcampus.dasa.ncsu.edu/housing/property/liberty-station-male-only-townhome-5-miles-from-centennial/ocp2k0px98</x:v>
      </x:c>
      <x:c r="D37" s="1" t="str">
        <x:v>Per bedroom</x:v>
      </x:c>
      <x:c r="E37" s="1" t="str">
        <x:v>Per bedroom</x:v>
      </x:c>
      <x:c r="F37" s="7" t="n">
        <x:f>IF('Raw properties'!I37="","",'Raw properties'!I37)</x:f>
        <x:v>35.737912</x:v>
      </x:c>
      <x:c r="G37" s="7" t="n">
        <x:f>IF('Raw properties'!J37="","",'Raw properties'!J37)</x:f>
        <x:v>-78.630411</x:v>
      </x:c>
      <x:c r="H37" s="6" t="n">
        <x:f>IF('Raw properties'!M37="","",'Raw properties'!M37)</x:f>
        <x:v>900</x:v>
      </x:c>
      <x:c r="I37" s="6" t="n">
        <x:f>IF('Raw properties'!N37="","",'Raw properties'!N37)</x:f>
        <x:v>900</x:v>
      </x:c>
      <x:c r="J37" s="6" t="n">
        <x:f>IF((IF('Raw floorplans'!H240&gt;0,1,0))=0,"",MIN(IF('Raw floorplans'!H240&gt;0,'Raw floorplans'!H240,1E99)))</x:f>
        <x:v>900</x:v>
      </x:c>
      <x:c r="K37" s="6" t="n">
        <x:f>IF((IF('Raw floorplans'!I240&gt;0,1,0))=0,"",MAX(IF('Raw floorplans'!I240&gt;0,'Raw floorplans'!I240,0)))</x:f>
        <x:v>900</x:v>
      </x:c>
      <x:c r="L37" s="1" t="n">
        <x:v>0</x:v>
      </x:c>
      <x:c r="M37" s="1" t="n">
        <x:f>IF(AND(ISNUMBER(H37),ISNUMBER(I37),ISNUMBER(J37),ISNUMBER(K37),H37&gt;0,I37&gt;0),IF(OR(H37&lt;&gt;J37,I37&lt;&gt;K37),1,0),0)</x:f>
        <x:v>0</x:v>
      </x:c>
      <x:c r="N37" s="1" t="n">
        <x:f>IF(AND(ISNUMBER(H37),ISNUMBER(I37),H37&gt;0,I37&gt;=H37),1,0)</x:f>
        <x:v>1</x:v>
      </x:c>
      <x:c r="O37" s="1" t="n">
        <x:f>IF(AND(L37=0,M37=0,N37=1),1,0)</x:f>
        <x:v>1</x:v>
      </x:c>
      <x:c r="P37" s="7" t="n">
        <x:f>2*3958.7613*ASIN(SQRT(SIN(RADIANS(F37-35.77951)/2)^2+COS(RADIANS(35.77951))*COS(RADIANS(F37))*SIN(RADIANS(G37-(-78.68168))/2)^2))</x:f>
        <x:v>4.064953715116583</x:v>
      </x:c>
      <x:c r="Q37" s="1" t="str">
        <x:f>IF(P37&lt;=1,"0–1 mi",IF(P37&lt;=3,"&gt;1–3 mi",IF(P37&lt;=5,"&gt;3–5 mi","Outside 5 mi")))</x:f>
        <x:v>&gt;3–5 mi</x:v>
      </x:c>
      <x:c r="R37" s="7" t="n">
        <x:f>2*3958.7613*ASIN(SQRT(SIN(RADIANS(F37-35.7687)/2)^2+COS(RADIANS(35.7687))*COS(RADIANS(F37))*SIN(RADIANS(G37-(-78.6775))/2)^2))</x:f>
        <x:v>3.39069080321182</x:v>
      </x:c>
      <x:c r="S37" s="1" t="str">
        <x:f>IF(R37&lt;=1,"0–1 mi",IF(R37&lt;=3,"&gt;1–3 mi",IF(R37&lt;=5,"&gt;3–5 mi","Outside 5 mi")))</x:f>
        <x:v>&gt;3–5 mi</x:v>
      </x:c>
      <x:c r="T37" s="7" t="n">
        <x:f>2*3958.7613*ASIN(SQRT(SIN(RADIANS(F37-35.79847)/2)^2+COS(RADIANS(35.79847))*COS(RADIANS(F37))*SIN(RADIANS(G37-(-78.70408))/2)^2))</x:f>
        <x:v>5.879124224290888</x:v>
      </x:c>
      <x:c r="U37" s="1" t="str">
        <x:f>IF(T37&lt;=1,"0–1 mi",IF(T37&lt;=3,"&gt;1–3 mi",IF(T37&lt;=5,"&gt;3–5 mi","Outside 5 mi")))</x:f>
        <x:v>Outside 5 mi</x:v>
      </x:c>
      <x:c r="V37" s="1" t="n">
        <x:f>IF(MIN(P37,R37,T37)&lt;=5,1,0)</x:f>
        <x:v>1</x:v>
      </x:c>
      <x:c r="W37" s="6" t="n">
        <x:f>IF(O37=1,(H37+I37)/2,"")</x:f>
        <x:v>900</x:v>
      </x:c>
      <x:c r="X37" s="1" t="n">
        <x:f>O37*V37</x:f>
        <x:v>1</x:v>
      </x:c>
      <x:c r="Y37" s="1" t="n">
        <x:v>0</x:v>
      </x:c>
      <x:c r="Z37" s="1" t="n">
        <x:v>0</x:v>
      </x:c>
      <x:c r="AA37" s="1" t="n">
        <x:v>0</x:v>
      </x:c>
      <x:c r="AB37" s="1" t="n">
        <x:v>0</x:v>
      </x:c>
      <x:c r="AC37" s="1" t="n">
        <x:v>0</x:v>
      </x:c>
      <x:c r="AD37" s="1" t="str">
        <x:f>IF('Raw properties'!Y37="","",'Raw properties'!Y37)</x:f>
        <x:v>12 Month Lease</x:v>
      </x:c>
      <x:c r="AE37" s="1" t="str">
        <x:v>2026-08-01</x:v>
      </x:c>
      <x:c r="AF37" s="1" t="str">
        <x:v>Included in rent means</x:v>
      </x:c>
      <x:c r="AG37" s="5" t="str">
        <x:v>Source pricing flag retained; automated consistency checks passed. This is not independent landlord verification.</x:v>
      </x:c>
      <x:c r="AH37" s="1" t="str">
        <x:v>$900</x:v>
      </x:c>
      <x:c r="AI37" s="8" t="n">
        <x:f>MIN(ABS(P37-1),ABS(P37-3),ABS(P37-5))*5280</x:f>
        <x:v>4937.044384184443</x:v>
      </x:c>
      <x:c r="AJ37" s="8" t="n">
        <x:f>MIN(ABS(R37-1),ABS(R37-3),ABS(R37-5))*5280</x:f>
        <x:v>2062.847440958409</x:v>
      </x:c>
      <x:c r="AK37" s="8" t="n">
        <x:f>MIN(ABS(T37-1),ABS(T37-3),ABS(T37-5))*5280</x:f>
        <x:v>4641.775904255889</x:v>
      </x:c>
      <x:c r="AL37" s="1" t="n">
        <x:f>IF(MIN(AI37,AJ37,AK37)&lt;=100,1,0)</x:f>
        <x:v>0</x:v>
      </x:c>
    </x:row>
    <x:row r="38" ht="15" hidden="0" customHeight="1">
      <x:c r="A38" s="1" t="str">
        <x:f>IF('Raw properties'!A38="","",'Raw properties'!A38)</x:f>
        <x:v>z8cfdjw</x:v>
      </x:c>
      <x:c r="B38" s="1" t="str">
        <x:f>IF('Raw properties'!D38="","",'Raw properties'!D38)</x:f>
        <x:v>Campus Crossings Raleigh</x:v>
      </x:c>
      <x:c r="C38" s="1" t="str">
        <x:f>IF('Raw properties'!AG38="","",'Raw properties'!AG38)</x:f>
        <x:v>https://offcampus.dasa.ncsu.edu/housing/property/campus-crossings-raleigh/z8cfdjw</x:v>
      </x:c>
      <x:c r="D38" s="1" t="str">
        <x:v>Per bedroom</x:v>
      </x:c>
      <x:c r="E38" s="1" t="str">
        <x:v>Per bedroom</x:v>
      </x:c>
      <x:c r="F38" s="7" t="n">
        <x:f>IF('Raw properties'!I38="","",'Raw properties'!I38)</x:f>
        <x:v>35.744806</x:v>
      </x:c>
      <x:c r="G38" s="7" t="n">
        <x:f>IF('Raw properties'!J38="","",'Raw properties'!J38)</x:f>
        <x:v>-78.687537</x:v>
      </x:c>
      <x:c r="H38" s="6" t="n">
        <x:f>IF('Raw properties'!M38="","",'Raw properties'!M38)</x:f>
        <x:v>685</x:v>
      </x:c>
      <x:c r="I38" s="6" t="n">
        <x:f>IF('Raw properties'!N38="","",'Raw properties'!N38)</x:f>
        <x:v>870</x:v>
      </x:c>
      <x:c r="J38" s="6" t="n">
        <x:f>IF((IF('Raw floorplans'!H241&gt;0,1,0)+IF('Raw floorplans'!H242&gt;0,1,0)+IF('Raw floorplans'!H243&gt;0,1,0))=0,"",MIN(IF('Raw floorplans'!H241&gt;0,'Raw floorplans'!H241,1E99),IF('Raw floorplans'!H242&gt;0,'Raw floorplans'!H242,1E99),IF('Raw floorplans'!H243&gt;0,'Raw floorplans'!H243,1E99)))</x:f>
        <x:v>685</x:v>
      </x:c>
      <x:c r="K38" s="6" t="n">
        <x:f>IF((IF('Raw floorplans'!I241&gt;0,1,0)+IF('Raw floorplans'!I242&gt;0,1,0)+IF('Raw floorplans'!I243&gt;0,1,0))=0,"",MAX(IF('Raw floorplans'!I241&gt;0,'Raw floorplans'!I241,0),IF('Raw floorplans'!I242&gt;0,'Raw floorplans'!I242,0),IF('Raw floorplans'!I243&gt;0,'Raw floorplans'!I243,0)))</x:f>
        <x:v>870</x:v>
      </x:c>
      <x:c r="L38" s="1" t="n">
        <x:v>0</x:v>
      </x:c>
      <x:c r="M38" s="1" t="n">
        <x:f>IF(AND(ISNUMBER(H38),ISNUMBER(I38),ISNUMBER(J38),ISNUMBER(K38),H38&gt;0,I38&gt;0),IF(OR(H38&lt;&gt;J38,I38&lt;&gt;K38),1,0),0)</x:f>
        <x:v>0</x:v>
      </x:c>
      <x:c r="N38" s="1" t="n">
        <x:f>IF(AND(ISNUMBER(H38),ISNUMBER(I38),H38&gt;0,I38&gt;=H38),1,0)</x:f>
        <x:v>1</x:v>
      </x:c>
      <x:c r="O38" s="1" t="n">
        <x:f>IF(AND(L38=0,M38=0,N38=1),1,0)</x:f>
        <x:v>1</x:v>
      </x:c>
      <x:c r="P38" s="7" t="n">
        <x:f>2*3958.7613*ASIN(SQRT(SIN(RADIANS(F38-35.77951)/2)^2+COS(RADIANS(35.77951))*COS(RADIANS(F38))*SIN(RADIANS(G38-(-78.68168))/2)^2))</x:f>
        <x:v>2.4201989857816963</x:v>
      </x:c>
      <x:c r="Q38" s="1" t="str">
        <x:f>IF(P38&lt;=1,"0–1 mi",IF(P38&lt;=3,"&gt;1–3 mi",IF(P38&lt;=5,"&gt;3–5 mi","Outside 5 mi")))</x:f>
        <x:v>&gt;1–3 mi</x:v>
      </x:c>
      <x:c r="R38" s="7" t="n">
        <x:f>2*3958.7613*ASIN(SQRT(SIN(RADIANS(F38-35.7687)/2)^2+COS(RADIANS(35.7687))*COS(RADIANS(F38))*SIN(RADIANS(G38-(-78.6775))/2)^2))</x:f>
        <x:v>1.7442024447175142</x:v>
      </x:c>
      <x:c r="S38" s="1" t="str">
        <x:f>IF(R38&lt;=1,"0–1 mi",IF(R38&lt;=3,"&gt;1–3 mi",IF(R38&lt;=5,"&gt;3–5 mi","Outside 5 mi")))</x:f>
        <x:v>&gt;1–3 mi</x:v>
      </x:c>
      <x:c r="T38" s="7" t="n">
        <x:f>2*3958.7613*ASIN(SQRT(SIN(RADIANS(F38-35.79847)/2)^2+COS(RADIANS(35.79847))*COS(RADIANS(F38))*SIN(RADIANS(G38-(-78.70408))/2)^2))</x:f>
        <x:v>3.8220470845363743</x:v>
      </x:c>
      <x:c r="U38" s="1" t="str">
        <x:f>IF(T38&lt;=1,"0–1 mi",IF(T38&lt;=3,"&gt;1–3 mi",IF(T38&lt;=5,"&gt;3–5 mi","Outside 5 mi")))</x:f>
        <x:v>&gt;3–5 mi</x:v>
      </x:c>
      <x:c r="V38" s="1" t="n">
        <x:f>IF(MIN(P38,R38,T38)&lt;=5,1,0)</x:f>
        <x:v>1</x:v>
      </x:c>
      <x:c r="W38" s="6" t="n">
        <x:f>IF(O38=1,(H38+I38)/2,"")</x:f>
        <x:v>777.5</x:v>
      </x:c>
      <x:c r="X38" s="1" t="n">
        <x:f>O38*V38</x:f>
        <x:v>1</x:v>
      </x:c>
      <x:c r="Y38" s="1" t="n">
        <x:v>0</x:v>
      </x:c>
      <x:c r="Z38" s="1" t="n">
        <x:v>0</x:v>
      </x:c>
      <x:c r="AA38" s="1" t="n">
        <x:v>0</x:v>
      </x:c>
      <x:c r="AB38" s="1" t="n">
        <x:v>0</x:v>
      </x:c>
      <x:c r="AC38" s="1" t="n">
        <x:v>0</x:v>
      </x:c>
      <x:c r="AD38" s="1" t="str">
        <x:f>IF('Raw properties'!Y38="","",'Raw properties'!Y38)</x:f>
        <x:v>11 Month Lease</x:v>
      </x:c>
      <x:c r="AE38" s="1" t="str">
        <x:v>2026-08-13</x:v>
      </x:c>
      <x:c r="AF38" s="1" t="str">
        <x:v>Included in rent means</x:v>
      </x:c>
      <x:c r="AG38" s="5" t="str">
        <x:v>Source pricing flag retained; automated consistency checks passed. This is not independent landlord verification.</x:v>
      </x:c>
      <x:c r="AH38" s="1" t="str">
        <x:v>$685 - $870</x:v>
      </x:c>
      <x:c r="AI38" s="8" t="n">
        <x:f>MIN(ABS(P38-1),ABS(P38-3),ABS(P38-5))*5280</x:f>
        <x:v>3061.3493550726434</x:v>
      </x:c>
      <x:c r="AJ38" s="8" t="n">
        <x:f>MIN(ABS(R38-1),ABS(R38-3),ABS(R38-5))*5280</x:f>
        <x:v>3929.388908108475</x:v>
      </x:c>
      <x:c r="AK38" s="8" t="n">
        <x:f>MIN(ABS(T38-1),ABS(T38-3),ABS(T38-5))*5280</x:f>
        <x:v>4340.408606352056</x:v>
      </x:c>
      <x:c r="AL38" s="1" t="n">
        <x:f>IF(MIN(AI38,AJ38,AK38)&lt;=100,1,0)</x:f>
        <x:v>0</x:v>
      </x:c>
    </x:row>
    <x:row r="39" ht="15" hidden="0" customHeight="1">
      <x:c r="A39" s="1" t="str">
        <x:f>IF('Raw properties'!A39="","",'Raw properties'!A39)</x:f>
        <x:v>ocp6mp93ms</x:v>
      </x:c>
      <x:c r="B39" s="1" t="str">
        <x:f>IF('Raw properties'!D39="","",'Raw properties'!D39)</x:f>
        <x:v>Newly Renovated - All Girls Unit Room with Private Bathroom</x:v>
      </x:c>
      <x:c r="C39" s="1" t="str">
        <x:f>IF('Raw properties'!AG39="","",'Raw properties'!AG39)</x:f>
        <x:v>https://offcampus.dasa.ncsu.edu/housing/property/newly-renovated-all-girls-unit-room-with-private-bathroom/ocp6mp93ms</x:v>
      </x:c>
      <x:c r="D39" s="1" t="str">
        <x:v>Per bedroom</x:v>
      </x:c>
      <x:c r="E39" s="1" t="str">
        <x:v>Per bedroom</x:v>
      </x:c>
      <x:c r="F39" s="7" t="n">
        <x:f>IF('Raw properties'!I39="","",'Raw properties'!I39)</x:f>
        <x:v>35.749776</x:v>
      </x:c>
      <x:c r="G39" s="7" t="n">
        <x:f>IF('Raw properties'!J39="","",'Raw properties'!J39)</x:f>
        <x:v>-78.695407</x:v>
      </x:c>
      <x:c r="H39" s="6" t="n">
        <x:f>IF('Raw properties'!M39="","",'Raw properties'!M39)</x:f>
        <x:v>645</x:v>
      </x:c>
      <x:c r="I39" s="6" t="n">
        <x:f>IF('Raw properties'!N39="","",'Raw properties'!N39)</x:f>
        <x:v>645</x:v>
      </x:c>
      <x:c r="J39" s="6" t="n">
        <x:f>IF((IF('Raw floorplans'!H244&gt;0,1,0))=0,"",MIN(IF('Raw floorplans'!H244&gt;0,'Raw floorplans'!H244,1E99)))</x:f>
        <x:v>645</x:v>
      </x:c>
      <x:c r="K39" s="6" t="n">
        <x:f>IF((IF('Raw floorplans'!I244&gt;0,1,0))=0,"",MAX(IF('Raw floorplans'!I244&gt;0,'Raw floorplans'!I244,0)))</x:f>
        <x:v>645</x:v>
      </x:c>
      <x:c r="L39" s="1" t="n">
        <x:v>0</x:v>
      </x:c>
      <x:c r="M39" s="1" t="n">
        <x:f>IF(AND(ISNUMBER(H39),ISNUMBER(I39),ISNUMBER(J39),ISNUMBER(K39),H39&gt;0,I39&gt;0),IF(OR(H39&lt;&gt;J39,I39&lt;&gt;K39),1,0),0)</x:f>
        <x:v>0</x:v>
      </x:c>
      <x:c r="N39" s="1" t="n">
        <x:f>IF(AND(ISNUMBER(H39),ISNUMBER(I39),H39&gt;0,I39&gt;=H39),1,0)</x:f>
        <x:v>1</x:v>
      </x:c>
      <x:c r="O39" s="1" t="n">
        <x:f>IF(AND(L39=0,M39=0,N39=1),1,0)</x:f>
        <x:v>1</x:v>
      </x:c>
      <x:c r="P39" s="7" t="n">
        <x:f>2*3958.7613*ASIN(SQRT(SIN(RADIANS(F39-35.77951)/2)^2+COS(RADIANS(35.77951))*COS(RADIANS(F39))*SIN(RADIANS(G39-(-78.68168))/2)^2))</x:f>
        <x:v>2.1938387669532435</x:v>
      </x:c>
      <x:c r="Q39" s="1" t="str">
        <x:f>IF(P39&lt;=1,"0–1 mi",IF(P39&lt;=3,"&gt;1–3 mi",IF(P39&lt;=5,"&gt;3–5 mi","Outside 5 mi")))</x:f>
        <x:v>&gt;1–3 mi</x:v>
      </x:c>
      <x:c r="R39" s="7" t="n">
        <x:f>2*3958.7613*ASIN(SQRT(SIN(RADIANS(F39-35.7687)/2)^2+COS(RADIANS(35.7687))*COS(RADIANS(F39))*SIN(RADIANS(G39-(-78.6775))/2)^2))</x:f>
        <x:v>1.6485299143928556</x:v>
      </x:c>
      <x:c r="S39" s="1" t="str">
        <x:f>IF(R39&lt;=1,"0–1 mi",IF(R39&lt;=3,"&gt;1–3 mi",IF(R39&lt;=5,"&gt;3–5 mi","Outside 5 mi")))</x:f>
        <x:v>&gt;1–3 mi</x:v>
      </x:c>
      <x:c r="T39" s="7" t="n">
        <x:f>2*3958.7613*ASIN(SQRT(SIN(RADIANS(F39-35.79847)/2)^2+COS(RADIANS(35.79847))*COS(RADIANS(F39))*SIN(RADIANS(G39-(-78.70408))/2)^2))</x:f>
        <x:v>3.399382192288094</x:v>
      </x:c>
      <x:c r="U39" s="1" t="str">
        <x:f>IF(T39&lt;=1,"0–1 mi",IF(T39&lt;=3,"&gt;1–3 mi",IF(T39&lt;=5,"&gt;3–5 mi","Outside 5 mi")))</x:f>
        <x:v>&gt;3–5 mi</x:v>
      </x:c>
      <x:c r="V39" s="1" t="n">
        <x:f>IF(MIN(P39,R39,T39)&lt;=5,1,0)</x:f>
        <x:v>1</x:v>
      </x:c>
      <x:c r="W39" s="6" t="n">
        <x:f>IF(O39=1,(H39+I39)/2,"")</x:f>
        <x:v>645</x:v>
      </x:c>
      <x:c r="X39" s="1" t="n">
        <x:f>O39*V39</x:f>
        <x:v>1</x:v>
      </x:c>
      <x:c r="Y39" s="1" t="n">
        <x:v>0</x:v>
      </x:c>
      <x:c r="Z39" s="1" t="n">
        <x:v>0</x:v>
      </x:c>
      <x:c r="AA39" s="1" t="n">
        <x:v>0</x:v>
      </x:c>
      <x:c r="AB39" s="1" t="n">
        <x:v>0</x:v>
      </x:c>
      <x:c r="AC39" s="1" t="n">
        <x:v>0</x:v>
      </x:c>
      <x:c r="AD39" s="1" t="str">
        <x:f>IF('Raw properties'!Y39="","",'Raw properties'!Y39)</x:f>
        <x:v>12 Month Lease</x:v>
      </x:c>
      <x:c r="AE39" s="1" t="str">
        <x:v>1970-01-01</x:v>
      </x:c>
      <x:c r="AF39" s="1" t="str">
        <x:v>Included in rent means</x:v>
      </x:c>
      <x:c r="AG39" s="5" t="str">
        <x:v>Source pricing flag retained; automated consistency checks passed. This is not independent landlord verification.</x:v>
      </x:c>
      <x:c r="AH39" s="1" t="str">
        <x:v>$645</x:v>
      </x:c>
      <x:c r="AI39" s="8" t="n">
        <x:f>MIN(ABS(P39-1),ABS(P39-3),ABS(P39-5))*5280</x:f>
        <x:v>4256.531310486874</x:v>
      </x:c>
      <x:c r="AJ39" s="8" t="n">
        <x:f>MIN(ABS(R39-1),ABS(R39-3),ABS(R39-5))*5280</x:f>
        <x:v>3424.2379479942774</x:v>
      </x:c>
      <x:c r="AK39" s="8" t="n">
        <x:f>MIN(ABS(T39-1),ABS(T39-3),ABS(T39-5))*5280</x:f>
        <x:v>2108.7379752811366</x:v>
      </x:c>
      <x:c r="AL39" s="1" t="n">
        <x:f>IF(MIN(AI39,AJ39,AK39)&lt;=100,1,0)</x:f>
        <x:v>0</x:v>
      </x:c>
    </x:row>
    <x:row r="40" ht="15" hidden="0" customHeight="1">
      <x:c r="A40" s="1" t="str">
        <x:f>IF('Raw properties'!A40="","",'Raw properties'!A40)</x:f>
        <x:v>75medjw</x:v>
      </x:c>
      <x:c r="B40" s="1" t="str">
        <x:f>IF('Raw properties'!D40="","",'Raw properties'!D40)</x:f>
        <x:v>Brickside</x:v>
      </x:c>
      <x:c r="C40" s="1" t="str">
        <x:f>IF('Raw properties'!AG40="","",'Raw properties'!AG40)</x:f>
        <x:v>https://offcampus.dasa.ncsu.edu/housing/property/brickside/75medjw</x:v>
      </x:c>
      <x:c r="D40" s="1" t="str">
        <x:v>Per bedroom</x:v>
      </x:c>
      <x:c r="E40" s="1" t="str">
        <x:v>Per bedroom</x:v>
      </x:c>
      <x:c r="F40" s="7" t="n">
        <x:f>IF('Raw properties'!I40="","",'Raw properties'!I40)</x:f>
        <x:v>35.788447</x:v>
      </x:c>
      <x:c r="G40" s="7" t="n">
        <x:f>IF('Raw properties'!J40="","",'Raw properties'!J40)</x:f>
        <x:v>-78.669806</x:v>
      </x:c>
      <x:c r="H40" s="6" t="n">
        <x:f>IF('Raw properties'!M40="","",'Raw properties'!M40)</x:f>
        <x:v>999</x:v>
      </x:c>
      <x:c r="I40" s="6" t="n">
        <x:f>IF('Raw properties'!N40="","",'Raw properties'!N40)</x:f>
        <x:v>1825</x:v>
      </x:c>
      <x:c r="J40" s="6" t="n">
        <x:f>IF((IF('Raw floorplans'!H245&gt;0,1,0)+IF('Raw floorplans'!H246&gt;0,1,0)+IF('Raw floorplans'!H247&gt;0,1,0)+IF('Raw floorplans'!H248&gt;0,1,0)+IF('Raw floorplans'!H249&gt;0,1,0)+IF('Raw floorplans'!H250&gt;0,1,0)+IF('Raw floorplans'!H251&gt;0,1,0)+IF('Raw floorplans'!H252&gt;0,1,0)+IF('Raw floorplans'!H253&gt;0,1,0)+IF('Raw floorplans'!H254&gt;0,1,0)+IF('Raw floorplans'!H255&gt;0,1,0)+IF('Raw floorplans'!H256&gt;0,1,0)+IF('Raw floorplans'!H257&gt;0,1,0)+IF('Raw floorplans'!H258&gt;0,1,0)+IF('Raw floorplans'!H259&gt;0,1,0)+IF('Raw floorplans'!H260&gt;0,1,0)+IF('Raw floorplans'!H261&gt;0,1,0)+IF('Raw floorplans'!H262&gt;0,1,0)+IF('Raw floorplans'!H263&gt;0,1,0))=0,"",MIN(IF('Raw floorplans'!H245&gt;0,'Raw floorplans'!H245,1E99),IF('Raw floorplans'!H246&gt;0,'Raw floorplans'!H246,1E99),IF('Raw floorplans'!H247&gt;0,'Raw floorplans'!H247,1E99),IF('Raw floorplans'!H248&gt;0,'Raw floorplans'!H248,1E99),IF('Raw floorplans'!H249&gt;0,'Raw floorplans'!H249,1E99),IF('Raw floorplans'!H250&gt;0,'Raw floorplans'!H250,1E99),IF('Raw floorplans'!H251&gt;0,'Raw floorplans'!H251,1E99),IF('Raw floorplans'!H252&gt;0,'Raw floorplans'!H252,1E99),IF('Raw floorplans'!H253&gt;0,'Raw floorplans'!H253,1E99),IF('Raw floorplans'!H254&gt;0,'Raw floorplans'!H254,1E99),IF('Raw floorplans'!H255&gt;0,'Raw floorplans'!H255,1E99),IF('Raw floorplans'!H256&gt;0,'Raw floorplans'!H256,1E99),IF('Raw floorplans'!H257&gt;0,'Raw floorplans'!H257,1E99),IF('Raw floorplans'!H258&gt;0,'Raw floorplans'!H258,1E99),IF('Raw floorplans'!H259&gt;0,'Raw floorplans'!H259,1E99),IF('Raw floorplans'!H260&gt;0,'Raw floorplans'!H260,1E99),IF('Raw floorplans'!H261&gt;0,'Raw floorplans'!H261,1E99),IF('Raw floorplans'!H262&gt;0,'Raw floorplans'!H262,1E99),IF('Raw floorplans'!H263&gt;0,'Raw floorplans'!H263,1E99)))</x:f>
        <x:v>999</x:v>
      </x:c>
      <x:c r="K40" s="6" t="n">
        <x:f>IF((IF('Raw floorplans'!I245&gt;0,1,0)+IF('Raw floorplans'!I246&gt;0,1,0)+IF('Raw floorplans'!I247&gt;0,1,0)+IF('Raw floorplans'!I248&gt;0,1,0)+IF('Raw floorplans'!I249&gt;0,1,0)+IF('Raw floorplans'!I250&gt;0,1,0)+IF('Raw floorplans'!I251&gt;0,1,0)+IF('Raw floorplans'!I252&gt;0,1,0)+IF('Raw floorplans'!I253&gt;0,1,0)+IF('Raw floorplans'!I254&gt;0,1,0)+IF('Raw floorplans'!I255&gt;0,1,0)+IF('Raw floorplans'!I256&gt;0,1,0)+IF('Raw floorplans'!I257&gt;0,1,0)+IF('Raw floorplans'!I258&gt;0,1,0)+IF('Raw floorplans'!I259&gt;0,1,0)+IF('Raw floorplans'!I260&gt;0,1,0)+IF('Raw floorplans'!I261&gt;0,1,0)+IF('Raw floorplans'!I262&gt;0,1,0)+IF('Raw floorplans'!I263&gt;0,1,0))=0,"",MAX(IF('Raw floorplans'!I245&gt;0,'Raw floorplans'!I245,0),IF('Raw floorplans'!I246&gt;0,'Raw floorplans'!I246,0),IF('Raw floorplans'!I247&gt;0,'Raw floorplans'!I247,0),IF('Raw floorplans'!I248&gt;0,'Raw floorplans'!I248,0),IF('Raw floorplans'!I249&gt;0,'Raw floorplans'!I249,0),IF('Raw floorplans'!I250&gt;0,'Raw floorplans'!I250,0),IF('Raw floorplans'!I251&gt;0,'Raw floorplans'!I251,0),IF('Raw floorplans'!I252&gt;0,'Raw floorplans'!I252,0),IF('Raw floorplans'!I253&gt;0,'Raw floorplans'!I253,0),IF('Raw floorplans'!I254&gt;0,'Raw floorplans'!I254,0),IF('Raw floorplans'!I255&gt;0,'Raw floorplans'!I255,0),IF('Raw floorplans'!I256&gt;0,'Raw floorplans'!I256,0),IF('Raw floorplans'!I257&gt;0,'Raw floorplans'!I257,0),IF('Raw floorplans'!I258&gt;0,'Raw floorplans'!I258,0),IF('Raw floorplans'!I259&gt;0,'Raw floorplans'!I259,0),IF('Raw floorplans'!I260&gt;0,'Raw floorplans'!I260,0),IF('Raw floorplans'!I261&gt;0,'Raw floorplans'!I261,0),IF('Raw floorplans'!I262&gt;0,'Raw floorplans'!I262,0),IF('Raw floorplans'!I263&gt;0,'Raw floorplans'!I263,0)))</x:f>
        <x:v>1825</x:v>
      </x:c>
      <x:c r="L40" s="1" t="n">
        <x:v>0</x:v>
      </x:c>
      <x:c r="M40" s="1" t="n">
        <x:f>IF(AND(ISNUMBER(H40),ISNUMBER(I40),ISNUMBER(J40),ISNUMBER(K40),H40&gt;0,I40&gt;0),IF(OR(H40&lt;&gt;J40,I40&lt;&gt;K40),1,0),0)</x:f>
        <x:v>0</x:v>
      </x:c>
      <x:c r="N40" s="1" t="n">
        <x:f>IF(AND(ISNUMBER(H40),ISNUMBER(I40),H40&gt;0,I40&gt;=H40),1,0)</x:f>
        <x:v>1</x:v>
      </x:c>
      <x:c r="O40" s="1" t="n">
        <x:f>IF(AND(L40=0,M40=0,N40=1),1,0)</x:f>
        <x:v>1</x:v>
      </x:c>
      <x:c r="P40" s="7" t="n">
        <x:f>2*3958.7613*ASIN(SQRT(SIN(RADIANS(F40-35.77951)/2)^2+COS(RADIANS(35.77951))*COS(RADIANS(F40))*SIN(RADIANS(G40-(-78.68168))/2)^2))</x:f>
        <x:v>0.9078761874287394</x:v>
      </x:c>
      <x:c r="Q40" s="1" t="str">
        <x:f>IF(P40&lt;=1,"0–1 mi",IF(P40&lt;=3,"&gt;1–3 mi",IF(P40&lt;=5,"&gt;3–5 mi","Outside 5 mi")))</x:f>
        <x:v>0–1 mi</x:v>
      </x:c>
      <x:c r="R40" s="7" t="n">
        <x:f>2*3958.7613*ASIN(SQRT(SIN(RADIANS(F40-35.7687)/2)^2+COS(RADIANS(35.7687))*COS(RADIANS(F40))*SIN(RADIANS(G40-(-78.6775))/2)^2))</x:f>
        <x:v>1.4309289904583857</x:v>
      </x:c>
      <x:c r="S40" s="1" t="str">
        <x:f>IF(R40&lt;=1,"0–1 mi",IF(R40&lt;=3,"&gt;1–3 mi",IF(R40&lt;=5,"&gt;3–5 mi","Outside 5 mi")))</x:f>
        <x:v>&gt;1–3 mi</x:v>
      </x:c>
      <x:c r="T40" s="7" t="n">
        <x:f>2*3958.7613*ASIN(SQRT(SIN(RADIANS(F40-35.79847)/2)^2+COS(RADIANS(35.79847))*COS(RADIANS(F40))*SIN(RADIANS(G40-(-78.70408))/2)^2))</x:f>
        <x:v>2.0418699755676495</x:v>
      </x:c>
      <x:c r="U40" s="1" t="str">
        <x:f>IF(T40&lt;=1,"0–1 mi",IF(T40&lt;=3,"&gt;1–3 mi",IF(T40&lt;=5,"&gt;3–5 mi","Outside 5 mi")))</x:f>
        <x:v>&gt;1–3 mi</x:v>
      </x:c>
      <x:c r="V40" s="1" t="n">
        <x:f>IF(MIN(P40,R40,T40)&lt;=5,1,0)</x:f>
        <x:v>1</x:v>
      </x:c>
      <x:c r="W40" s="6" t="n">
        <x:f>IF(O40=1,(H40+I40)/2,"")</x:f>
        <x:v>1412</x:v>
      </x:c>
      <x:c r="X40" s="1" t="n">
        <x:f>O40*V40</x:f>
        <x:v>1</x:v>
      </x:c>
      <x:c r="Y40" s="1" t="n">
        <x:v>0</x:v>
      </x:c>
      <x:c r="Z40" s="1" t="n">
        <x:v>0</x:v>
      </x:c>
      <x:c r="AA40" s="1" t="n">
        <x:v>0</x:v>
      </x:c>
      <x:c r="AB40" s="1" t="n">
        <x:v>1</x:v>
      </x:c>
      <x:c r="AC40" s="1" t="n">
        <x:v>0</x:v>
      </x:c>
      <x:c r="AD40" s="1" t="str">
        <x:f>IF('Raw properties'!Y40="","",'Raw properties'!Y40)</x:f>
        <x:v>12 Month Lease</x:v>
      </x:c>
      <x:c r="AE40" s="1" t="str"/>
      <x:c r="AF40" s="1" t="str">
        <x:v>Included in rent means</x:v>
      </x:c>
      <x:c r="AG40" s="5" t="str">
        <x:v>Source pricing flag retained; automated consistency checks passed. This is not independent landlord verification.</x:v>
      </x:c>
      <x:c r="AH40" s="1" t="str">
        <x:v>$999 - $1,825</x:v>
      </x:c>
      <x:c r="AI40" s="8" t="n">
        <x:f>MIN(ABS(P40-1),ABS(P40-3),ABS(P40-5))*5280</x:f>
        <x:v>486.4137303762558</x:v>
      </x:c>
      <x:c r="AJ40" s="8" t="n">
        <x:f>MIN(ABS(R40-1),ABS(R40-3),ABS(R40-5))*5280</x:f>
        <x:v>2275.3050696202768</x:v>
      </x:c>
      <x:c r="AK40" s="8" t="n">
        <x:f>MIN(ABS(T40-1),ABS(T40-3),ABS(T40-5))*5280</x:f>
        <x:v>5058.926529002811</x:v>
      </x:c>
      <x:c r="AL40" s="1" t="n">
        <x:f>IF(MIN(AI40,AJ40,AK40)&lt;=100,1,0)</x:f>
        <x:v>0</x:v>
      </x:c>
    </x:row>
    <x:row r="41" ht="15" hidden="0" customHeight="1">
      <x:c r="A41" s="1" t="str">
        <x:f>IF('Raw properties'!A41="","",'Raw properties'!A41)</x:f>
        <x:v>ocp6wsb4yt</x:v>
      </x:c>
      <x:c r="B41" s="1" t="str">
        <x:f>IF('Raw properties'!D41="","",'Raw properties'!D41)</x:f>
        <x:v>We have 1 bedroom open In a luxury 5 bed 5 full bath house 1/1/27-6/30/27</x:v>
      </x:c>
      <x:c r="C41" s="1" t="str">
        <x:f>IF('Raw properties'!AG41="","",'Raw properties'!AG41)</x:f>
        <x:v>https://offcampus.dasa.ncsu.edu/housing/property/we-have-1-bedroom-open-in-a-luxury-5-bed-5-full-bath-house-1-1-27-6-30-27/ocp6wsb4yt</x:v>
      </x:c>
      <x:c r="D41" s="1" t="str">
        <x:v>Per bedroom</x:v>
      </x:c>
      <x:c r="E41" s="1" t="str">
        <x:v>Per bedroom</x:v>
      </x:c>
      <x:c r="F41" s="7" t="n">
        <x:f>IF('Raw properties'!I41="","",'Raw properties'!I41)</x:f>
        <x:v>35.786652</x:v>
      </x:c>
      <x:c r="G41" s="7" t="n">
        <x:f>IF('Raw properties'!J41="","",'Raw properties'!J41)</x:f>
        <x:v>-78.709484</x:v>
      </x:c>
      <x:c r="H41" s="6" t="n">
        <x:f>IF('Raw properties'!M41="","",'Raw properties'!M41)</x:f>
        <x:v>1200</x:v>
      </x:c>
      <x:c r="I41" s="6" t="n">
        <x:f>IF('Raw properties'!N41="","",'Raw properties'!N41)</x:f>
        <x:v>1200</x:v>
      </x:c>
      <x:c r="J41" s="6" t="n">
        <x:f>IF((IF('Raw floorplans'!H264&gt;0,1,0))=0,"",MIN(IF('Raw floorplans'!H264&gt;0,'Raw floorplans'!H264,1E99)))</x:f>
        <x:v>1200</x:v>
      </x:c>
      <x:c r="K41" s="6" t="n">
        <x:f>IF((IF('Raw floorplans'!I264&gt;0,1,0))=0,"",MAX(IF('Raw floorplans'!I264&gt;0,'Raw floorplans'!I264,0)))</x:f>
        <x:v>1200</x:v>
      </x:c>
      <x:c r="L41" s="1" t="n">
        <x:v>0</x:v>
      </x:c>
      <x:c r="M41" s="1" t="n">
        <x:f>IF(AND(ISNUMBER(H41),ISNUMBER(I41),ISNUMBER(J41),ISNUMBER(K41),H41&gt;0,I41&gt;0),IF(OR(H41&lt;&gt;J41,I41&lt;&gt;K41),1,0),0)</x:f>
        <x:v>0</x:v>
      </x:c>
      <x:c r="N41" s="1" t="n">
        <x:f>IF(AND(ISNUMBER(H41),ISNUMBER(I41),H41&gt;0,I41&gt;=H41),1,0)</x:f>
        <x:v>1</x:v>
      </x:c>
      <x:c r="O41" s="1" t="n">
        <x:f>IF(AND(L41=0,M41=0,N41=1),1,0)</x:f>
        <x:v>1</x:v>
      </x:c>
      <x:c r="P41" s="7" t="n">
        <x:f>2*3958.7613*ASIN(SQRT(SIN(RADIANS(F41-35.77951)/2)^2+COS(RADIANS(35.77951))*COS(RADIANS(F41))*SIN(RADIANS(G41-(-78.68168))/2)^2))</x:f>
        <x:v>1.6347043830431403</x:v>
      </x:c>
      <x:c r="Q41" s="1" t="str">
        <x:f>IF(P41&lt;=1,"0–1 mi",IF(P41&lt;=3,"&gt;1–3 mi",IF(P41&lt;=5,"&gt;3–5 mi","Outside 5 mi")))</x:f>
        <x:v>&gt;1–3 mi</x:v>
      </x:c>
      <x:c r="R41" s="7" t="n">
        <x:f>2*3958.7613*ASIN(SQRT(SIN(RADIANS(F41-35.7687)/2)^2+COS(RADIANS(35.7687))*COS(RADIANS(F41))*SIN(RADIANS(G41-(-78.6775))/2)^2))</x:f>
        <x:v>2.180104092390053</x:v>
      </x:c>
      <x:c r="S41" s="1" t="str">
        <x:f>IF(R41&lt;=1,"0–1 mi",IF(R41&lt;=3,"&gt;1–3 mi",IF(R41&lt;=5,"&gt;3–5 mi","Outside 5 mi")))</x:f>
        <x:v>&gt;1–3 mi</x:v>
      </x:c>
      <x:c r="T41" s="7" t="n">
        <x:f>2*3958.7613*ASIN(SQRT(SIN(RADIANS(F41-35.79847)/2)^2+COS(RADIANS(35.79847))*COS(RADIANS(F41))*SIN(RADIANS(G41-(-78.70408))/2)^2))</x:f>
        <x:v>0.870904150242403</x:v>
      </x:c>
      <x:c r="U41" s="1" t="str">
        <x:f>IF(T41&lt;=1,"0–1 mi",IF(T41&lt;=3,"&gt;1–3 mi",IF(T41&lt;=5,"&gt;3–5 mi","Outside 5 mi")))</x:f>
        <x:v>0–1 mi</x:v>
      </x:c>
      <x:c r="V41" s="1" t="n">
        <x:f>IF(MIN(P41,R41,T41)&lt;=5,1,0)</x:f>
        <x:v>1</x:v>
      </x:c>
      <x:c r="W41" s="6" t="n">
        <x:f>IF(O41=1,(H41+I41)/2,"")</x:f>
        <x:v>1200</x:v>
      </x:c>
      <x:c r="X41" s="1" t="n">
        <x:f>O41*V41</x:f>
        <x:v>1</x:v>
      </x:c>
      <x:c r="Y41" s="1" t="n">
        <x:v>1</x:v>
      </x:c>
      <x:c r="Z41" s="1" t="n">
        <x:v>0</x:v>
      </x:c>
      <x:c r="AA41" s="1" t="n">
        <x:v>0</x:v>
      </x:c>
      <x:c r="AB41" s="1" t="n">
        <x:v>0</x:v>
      </x:c>
      <x:c r="AC41" s="1" t="n">
        <x:v>1</x:v>
      </x:c>
      <x:c r="AD41" s="1" t="str">
        <x:f>IF('Raw properties'!Y41="","",'Raw properties'!Y41)</x:f>
        <x:v>6 Month Lease</x:v>
      </x:c>
      <x:c r="AE41" s="1" t="str">
        <x:v>2027-01-01</x:v>
      </x:c>
      <x:c r="AF41" s="1" t="str">
        <x:v>Included in rent means</x:v>
      </x:c>
      <x:c r="AG41" s="5" t="str">
        <x:v>Source pricing flag retained; automated consistency checks passed. This is not independent landlord verification.</x:v>
      </x:c>
      <x:c r="AH41" s="1" t="str">
        <x:v>$1,200</x:v>
      </x:c>
      <x:c r="AI41" s="8" t="n">
        <x:f>MIN(ABS(P41-1),ABS(P41-3),ABS(P41-5))*5280</x:f>
        <x:v>3351.2391424677803</x:v>
      </x:c>
      <x:c r="AJ41" s="8" t="n">
        <x:f>MIN(ABS(R41-1),ABS(R41-3),ABS(R41-5))*5280</x:f>
        <x:v>4329.05039218052</x:v>
      </x:c>
      <x:c r="AK41" s="8" t="n">
        <x:f>MIN(ABS(T41-1),ABS(T41-3),ABS(T41-5))*5280</x:f>
        <x:v>681.6260867201123</x:v>
      </x:c>
      <x:c r="AL41" s="1" t="n">
        <x:f>IF(MIN(AI41,AJ41,AK41)&lt;=100,1,0)</x:f>
        <x:v>0</x:v>
      </x:c>
    </x:row>
    <x:row r="42" ht="15" hidden="0" customHeight="1">
      <x:c r="A42" s="1" t="str">
        <x:f>IF('Raw properties'!A42="","",'Raw properties'!A42)</x:f>
        <x:v>tv2h1cb</x:v>
      </x:c>
      <x:c r="B42" s="1" t="str">
        <x:f>IF('Raw properties'!D42="","",'Raw properties'!D42)</x:f>
        <x:v>Gorman Crossings</x:v>
      </x:c>
      <x:c r="C42" s="1" t="str">
        <x:f>IF('Raw properties'!AG42="","",'Raw properties'!AG42)</x:f>
        <x:v>https://offcampus.dasa.ncsu.edu/housing/property/gorman-crossings/tv2h1cb</x:v>
      </x:c>
      <x:c r="D42" s="1" t="str">
        <x:v>Whole unit</x:v>
      </x:c>
      <x:c r="E42" s="1" t="str">
        <x:v>Whole unit</x:v>
      </x:c>
      <x:c r="F42" s="7" t="n">
        <x:f>IF('Raw properties'!I42="","",'Raw properties'!I42)</x:f>
        <x:v>35.770408</x:v>
      </x:c>
      <x:c r="G42" s="7" t="n">
        <x:f>IF('Raw properties'!J42="","",'Raw properties'!J42)</x:f>
        <x:v>-78.693727</x:v>
      </x:c>
      <x:c r="H42" s="6" t="n">
        <x:f>IF('Raw properties'!M42="","",'Raw properties'!M42)</x:f>
        <x:v>1295</x:v>
      </x:c>
      <x:c r="I42" s="6" t="n">
        <x:f>IF('Raw properties'!N42="","",'Raw properties'!N42)</x:f>
        <x:v>2145</x:v>
      </x:c>
      <x:c r="J42" s="6" t="n">
        <x:f>IF((IF('Raw floorplans'!H265&gt;0,1,0)+IF('Raw floorplans'!H266&gt;0,1,0)+IF('Raw floorplans'!H267&gt;0,1,0)+IF('Raw floorplans'!H268&gt;0,1,0)+IF('Raw floorplans'!H269&gt;0,1,0)+IF('Raw floorplans'!H270&gt;0,1,0)+IF('Raw floorplans'!H271&gt;0,1,0)+IF('Raw floorplans'!H272&gt;0,1,0)+IF('Raw floorplans'!H273&gt;0,1,0))=0,"",MIN(IF('Raw floorplans'!H265&gt;0,'Raw floorplans'!H265,1E99),IF('Raw floorplans'!H266&gt;0,'Raw floorplans'!H266,1E99),IF('Raw floorplans'!H267&gt;0,'Raw floorplans'!H267,1E99),IF('Raw floorplans'!H268&gt;0,'Raw floorplans'!H268,1E99),IF('Raw floorplans'!H269&gt;0,'Raw floorplans'!H269,1E99),IF('Raw floorplans'!H270&gt;0,'Raw floorplans'!H270,1E99),IF('Raw floorplans'!H271&gt;0,'Raw floorplans'!H271,1E99),IF('Raw floorplans'!H272&gt;0,'Raw floorplans'!H272,1E99),IF('Raw floorplans'!H273&gt;0,'Raw floorplans'!H273,1E99)))</x:f>
        <x:v>1295</x:v>
      </x:c>
      <x:c r="K42" s="6" t="n">
        <x:f>IF((IF('Raw floorplans'!I265&gt;0,1,0)+IF('Raw floorplans'!I266&gt;0,1,0)+IF('Raw floorplans'!I267&gt;0,1,0)+IF('Raw floorplans'!I268&gt;0,1,0)+IF('Raw floorplans'!I269&gt;0,1,0)+IF('Raw floorplans'!I270&gt;0,1,0)+IF('Raw floorplans'!I271&gt;0,1,0)+IF('Raw floorplans'!I272&gt;0,1,0)+IF('Raw floorplans'!I273&gt;0,1,0))=0,"",MAX(IF('Raw floorplans'!I265&gt;0,'Raw floorplans'!I265,0),IF('Raw floorplans'!I266&gt;0,'Raw floorplans'!I266,0),IF('Raw floorplans'!I267&gt;0,'Raw floorplans'!I267,0),IF('Raw floorplans'!I268&gt;0,'Raw floorplans'!I268,0),IF('Raw floorplans'!I269&gt;0,'Raw floorplans'!I269,0),IF('Raw floorplans'!I270&gt;0,'Raw floorplans'!I270,0),IF('Raw floorplans'!I271&gt;0,'Raw floorplans'!I271,0),IF('Raw floorplans'!I272&gt;0,'Raw floorplans'!I272,0),IF('Raw floorplans'!I273&gt;0,'Raw floorplans'!I273,0)))</x:f>
        <x:v>2145</x:v>
      </x:c>
      <x:c r="L42" s="1" t="n">
        <x:v>0</x:v>
      </x:c>
      <x:c r="M42" s="1" t="n">
        <x:f>IF(AND(ISNUMBER(H42),ISNUMBER(I42),ISNUMBER(J42),ISNUMBER(K42),H42&gt;0,I42&gt;0),IF(OR(H42&lt;&gt;J42,I42&lt;&gt;K42),1,0),0)</x:f>
        <x:v>0</x:v>
      </x:c>
      <x:c r="N42" s="1" t="n">
        <x:f>IF(AND(ISNUMBER(H42),ISNUMBER(I42),H42&gt;0,I42&gt;=H42),1,0)</x:f>
        <x:v>1</x:v>
      </x:c>
      <x:c r="O42" s="1" t="n">
        <x:f>IF(AND(L42=0,M42=0,N42=1),1,0)</x:f>
        <x:v>1</x:v>
      </x:c>
      <x:c r="P42" s="7" t="n">
        <x:f>2*3958.7613*ASIN(SQRT(SIN(RADIANS(F42-35.77951)/2)^2+COS(RADIANS(35.77951))*COS(RADIANS(F42))*SIN(RADIANS(G42-(-78.68168))/2)^2))</x:f>
        <x:v>0.922796325373624</x:v>
      </x:c>
      <x:c r="Q42" s="1" t="str">
        <x:f>IF(P42&lt;=1,"0–1 mi",IF(P42&lt;=3,"&gt;1–3 mi",IF(P42&lt;=5,"&gt;3–5 mi","Outside 5 mi")))</x:f>
        <x:v>0–1 mi</x:v>
      </x:c>
      <x:c r="R42" s="7" t="n">
        <x:f>2*3958.7613*ASIN(SQRT(SIN(RADIANS(F42-35.7687)/2)^2+COS(RADIANS(35.7687))*COS(RADIANS(F42))*SIN(RADIANS(G42-(-78.6775))/2)^2))</x:f>
        <x:v>0.9173186911367216</x:v>
      </x:c>
      <x:c r="S42" s="1" t="str">
        <x:f>IF(R42&lt;=1,"0–1 mi",IF(R42&lt;=3,"&gt;1–3 mi",IF(R42&lt;=5,"&gt;3–5 mi","Outside 5 mi")))</x:f>
        <x:v>0–1 mi</x:v>
      </x:c>
      <x:c r="T42" s="7" t="n">
        <x:f>2*3958.7613*ASIN(SQRT(SIN(RADIANS(F42-35.79847)/2)^2+COS(RADIANS(35.79847))*COS(RADIANS(F42))*SIN(RADIANS(G42-(-78.70408))/2)^2))</x:f>
        <x:v>2.023873648955805</x:v>
      </x:c>
      <x:c r="U42" s="1" t="str">
        <x:f>IF(T42&lt;=1,"0–1 mi",IF(T42&lt;=3,"&gt;1–3 mi",IF(T42&lt;=5,"&gt;3–5 mi","Outside 5 mi")))</x:f>
        <x:v>&gt;1–3 mi</x:v>
      </x:c>
      <x:c r="V42" s="1" t="n">
        <x:f>IF(MIN(P42,R42,T42)&lt;=5,1,0)</x:f>
        <x:v>1</x:v>
      </x:c>
      <x:c r="W42" s="6" t="n">
        <x:f>IF(O42=1,(H42+I42)/2,"")</x:f>
        <x:v>1720</x:v>
      </x:c>
      <x:c r="X42" s="1" t="n">
        <x:f>O42*V42</x:f>
        <x:v>1</x:v>
      </x:c>
      <x:c r="Y42" s="1" t="n">
        <x:v>0</x:v>
      </x:c>
      <x:c r="Z42" s="1" t="n">
        <x:v>0</x:v>
      </x:c>
      <x:c r="AA42" s="1" t="n">
        <x:v>0</x:v>
      </x:c>
      <x:c r="AB42" s="1" t="n">
        <x:v>0</x:v>
      </x:c>
      <x:c r="AC42" s="1" t="n">
        <x:v>0</x:v>
      </x:c>
      <x:c r="AD42" s="1" t="str">
        <x:f>IF('Raw properties'!Y42="","",'Raw properties'!Y42)</x:f>
      </x:c>
      <x:c r="AE42" s="1" t="str">
        <x:v>2026-02-05</x:v>
      </x:c>
      <x:c r="AF42" s="1" t="str">
        <x:v>Included in rent means</x:v>
      </x:c>
      <x:c r="AG42" s="5" t="str">
        <x:v>Source pricing flag retained; automated consistency checks passed. This is not independent landlord verification.</x:v>
      </x:c>
      <x:c r="AH42" s="1" t="str">
        <x:v>$1,295 - $2,145</x:v>
      </x:c>
      <x:c r="AI42" s="8" t="n">
        <x:f>MIN(ABS(P42-1),ABS(P42-3),ABS(P42-5))*5280</x:f>
        <x:v>407.6354020272653</x:v>
      </x:c>
      <x:c r="AJ42" s="8" t="n">
        <x:f>MIN(ABS(R42-1),ABS(R42-3),ABS(R42-5))*5280</x:f>
        <x:v>436.55731079810994</x:v>
      </x:c>
      <x:c r="AK42" s="8" t="n">
        <x:f>MIN(ABS(T42-1),ABS(T42-3),ABS(T42-5))*5280</x:f>
        <x:v>5153.9471335133485</x:v>
      </x:c>
      <x:c r="AL42" s="1" t="n">
        <x:f>IF(MIN(AI42,AJ42,AK42)&lt;=100,1,0)</x:f>
        <x:v>0</x:v>
      </x:c>
    </x:row>
    <x:row r="43" ht="15" hidden="0" customHeight="1">
      <x:c r="A43" s="1" t="str">
        <x:f>IF('Raw properties'!A43="","",'Raw properties'!A43)</x:f>
        <x:v>ocpbp1v5c9</x:v>
      </x:c>
      <x:c r="B43" s="1" t="str">
        <x:f>IF('Raw properties'!D43="","",'Raw properties'!D43)</x:f>
        <x:v>Prime ITB location one block off Ridge Road</x:v>
      </x:c>
      <x:c r="C43" s="1" t="str">
        <x:f>IF('Raw properties'!AG43="","",'Raw properties'!AG43)</x:f>
        <x:v>https://offcampus.dasa.ncsu.edu/housing/property/prime-itb-location-one-block-off-ridge-road/ocpbp1v5c9</x:v>
      </x:c>
      <x:c r="D43" s="1" t="str">
        <x:v>Whole unit</x:v>
      </x:c>
      <x:c r="E43" s="1" t="str">
        <x:v>Whole unit</x:v>
      </x:c>
      <x:c r="F43" s="7" t="n">
        <x:f>IF('Raw properties'!I43="","",'Raw properties'!I43)</x:f>
        <x:v>35.804462</x:v>
      </x:c>
      <x:c r="G43" s="7" t="n">
        <x:f>IF('Raw properties'!J43="","",'Raw properties'!J43)</x:f>
        <x:v>-78.688856</x:v>
      </x:c>
      <x:c r="H43" s="6" t="n">
        <x:f>IF('Raw properties'!M43="","",'Raw properties'!M43)</x:f>
        <x:v>2800</x:v>
      </x:c>
      <x:c r="I43" s="6" t="n">
        <x:f>IF('Raw properties'!N43="","",'Raw properties'!N43)</x:f>
        <x:v>2800</x:v>
      </x:c>
      <x:c r="J43" s="6" t="n">
        <x:f>IF((IF('Raw floorplans'!H274&gt;0,1,0))=0,"",MIN(IF('Raw floorplans'!H274&gt;0,'Raw floorplans'!H274,1E99)))</x:f>
        <x:v>2800</x:v>
      </x:c>
      <x:c r="K43" s="6" t="n">
        <x:f>IF((IF('Raw floorplans'!I274&gt;0,1,0))=0,"",MAX(IF('Raw floorplans'!I274&gt;0,'Raw floorplans'!I274,0)))</x:f>
        <x:v>2800</x:v>
      </x:c>
      <x:c r="L43" s="1" t="n">
        <x:v>0</x:v>
      </x:c>
      <x:c r="M43" s="1" t="n">
        <x:f>IF(AND(ISNUMBER(H43),ISNUMBER(I43),ISNUMBER(J43),ISNUMBER(K43),H43&gt;0,I43&gt;0),IF(OR(H43&lt;&gt;J43,I43&lt;&gt;K43),1,0),0)</x:f>
        <x:v>0</x:v>
      </x:c>
      <x:c r="N43" s="1" t="n">
        <x:f>IF(AND(ISNUMBER(H43),ISNUMBER(I43),H43&gt;0,I43&gt;=H43),1,0)</x:f>
        <x:v>1</x:v>
      </x:c>
      <x:c r="O43" s="1" t="n">
        <x:f>IF(AND(L43=0,M43=0,N43=1),1,0)</x:f>
        <x:v>1</x:v>
      </x:c>
      <x:c r="P43" s="7" t="n">
        <x:f>2*3958.7613*ASIN(SQRT(SIN(RADIANS(F43-35.77951)/2)^2+COS(RADIANS(35.77951))*COS(RADIANS(F43))*SIN(RADIANS(G43-(-78.68168))/2)^2))</x:f>
        <x:v>1.7703074155973846</x:v>
      </x:c>
      <x:c r="Q43" s="1" t="str">
        <x:f>IF(P43&lt;=1,"0–1 mi",IF(P43&lt;=3,"&gt;1–3 mi",IF(P43&lt;=5,"&gt;3–5 mi","Outside 5 mi")))</x:f>
        <x:v>&gt;1–3 mi</x:v>
      </x:c>
      <x:c r="R43" s="7" t="n">
        <x:f>2*3958.7613*ASIN(SQRT(SIN(RADIANS(F43-35.7687)/2)^2+COS(RADIANS(35.7687))*COS(RADIANS(F43))*SIN(RADIANS(G43-(-78.6775))/2)^2))</x:f>
        <x:v>2.5515793747015505</x:v>
      </x:c>
      <x:c r="S43" s="1" t="str">
        <x:f>IF(R43&lt;=1,"0–1 mi",IF(R43&lt;=3,"&gt;1–3 mi",IF(R43&lt;=5,"&gt;3–5 mi","Outside 5 mi")))</x:f>
        <x:v>&gt;1–3 mi</x:v>
      </x:c>
      <x:c r="T43" s="7" t="n">
        <x:f>2*3958.7613*ASIN(SQRT(SIN(RADIANS(F43-35.79847)/2)^2+COS(RADIANS(35.79847))*COS(RADIANS(F43))*SIN(RADIANS(G43-(-78.70408))/2)^2))</x:f>
        <x:v>0.9482742409642868</x:v>
      </x:c>
      <x:c r="U43" s="1" t="str">
        <x:f>IF(T43&lt;=1,"0–1 mi",IF(T43&lt;=3,"&gt;1–3 mi",IF(T43&lt;=5,"&gt;3–5 mi","Outside 5 mi")))</x:f>
        <x:v>0–1 mi</x:v>
      </x:c>
      <x:c r="V43" s="1" t="n">
        <x:f>IF(MIN(P43,R43,T43)&lt;=5,1,0)</x:f>
        <x:v>1</x:v>
      </x:c>
      <x:c r="W43" s="6" t="n">
        <x:f>IF(O43=1,(H43+I43)/2,"")</x:f>
        <x:v>2800</x:v>
      </x:c>
      <x:c r="X43" s="1" t="n">
        <x:f>O43*V43</x:f>
        <x:v>1</x:v>
      </x:c>
      <x:c r="Y43" s="1" t="n">
        <x:v>0</x:v>
      </x:c>
      <x:c r="Z43" s="1" t="n">
        <x:v>0</x:v>
      </x:c>
      <x:c r="AA43" s="1" t="n">
        <x:v>0</x:v>
      </x:c>
      <x:c r="AB43" s="1" t="n">
        <x:v>0</x:v>
      </x:c>
      <x:c r="AC43" s="1" t="n">
        <x:v>0</x:v>
      </x:c>
      <x:c r="AD43" s="1" t="str">
        <x:f>IF('Raw properties'!Y43="","",'Raw properties'!Y43)</x:f>
        <x:v>12 Month Lease</x:v>
      </x:c>
      <x:c r="AE43" s="1" t="str">
        <x:v>1970-01-01</x:v>
      </x:c>
      <x:c r="AF43" s="1" t="str">
        <x:v>Included in rent means</x:v>
      </x:c>
      <x:c r="AG43" s="5" t="str">
        <x:v>Source pricing flag retained; automated consistency checks passed. This is not independent landlord verification.</x:v>
      </x:c>
      <x:c r="AH43" s="1" t="str">
        <x:v>$2,800</x:v>
      </x:c>
      <x:c r="AI43" s="8" t="n">
        <x:f>MIN(ABS(P43-1),ABS(P43-3),ABS(P43-5))*5280</x:f>
        <x:v>4067.2231543541907</x:v>
      </x:c>
      <x:c r="AJ43" s="8" t="n">
        <x:f>MIN(ABS(R43-1),ABS(R43-3),ABS(R43-5))*5280</x:f>
        <x:v>2367.6609015758136</x:v>
      </x:c>
      <x:c r="AK43" s="8" t="n">
        <x:f>MIN(ABS(T43-1),ABS(T43-3),ABS(T43-5))*5280</x:f>
        <x:v>273.11200770856567</x:v>
      </x:c>
      <x:c r="AL43" s="1" t="n">
        <x:f>IF(MIN(AI43,AJ43,AK43)&lt;=100,1,0)</x:f>
        <x:v>0</x:v>
      </x:c>
    </x:row>
    <x:row r="44" ht="15" hidden="0" customHeight="1">
      <x:c r="A44" s="1" t="str">
        <x:f>IF('Raw properties'!A44="","",'Raw properties'!A44)</x:f>
        <x:v>5x5ph7m</x:v>
      </x:c>
      <x:c r="B44" s="1" t="str">
        <x:f>IF('Raw properties'!D44="","",'Raw properties'!D44)</x:f>
        <x:v>Redpoint Raleigh</x:v>
      </x:c>
      <x:c r="C44" s="1" t="str">
        <x:f>IF('Raw properties'!AG44="","",'Raw properties'!AG44)</x:f>
        <x:v>https://offcampus.dasa.ncsu.edu/housing/property/redpoint-raleigh/5x5ph7m</x:v>
      </x:c>
      <x:c r="D44" s="1" t="str">
        <x:v>Per bedroom</x:v>
      </x:c>
      <x:c r="E44" s="1" t="str">
        <x:v>Per bedroom</x:v>
      </x:c>
      <x:c r="F44" s="7" t="n">
        <x:f>IF('Raw properties'!I44="","",'Raw properties'!I44)</x:f>
        <x:v>35.785793</x:v>
      </x:c>
      <x:c r="G44" s="7" t="n">
        <x:f>IF('Raw properties'!J44="","",'Raw properties'!J44)</x:f>
        <x:v>-78.729156</x:v>
      </x:c>
      <x:c r="H44" s="6" t="n">
        <x:f>IF('Raw properties'!M44="","",'Raw properties'!M44)</x:f>
        <x:v>899</x:v>
      </x:c>
      <x:c r="I44" s="6" t="n">
        <x:f>IF('Raw properties'!N44="","",'Raw properties'!N44)</x:f>
        <x:v>995</x:v>
      </x:c>
      <x:c r="J44" s="6" t="n">
        <x:f>IF((IF('Raw floorplans'!H275&gt;0,1,0)+IF('Raw floorplans'!H276&gt;0,1,0)+IF('Raw floorplans'!H277&gt;0,1,0))=0,"",MIN(IF('Raw floorplans'!H275&gt;0,'Raw floorplans'!H275,1E99),IF('Raw floorplans'!H276&gt;0,'Raw floorplans'!H276,1E99),IF('Raw floorplans'!H277&gt;0,'Raw floorplans'!H277,1E99)))</x:f>
        <x:v>899</x:v>
      </x:c>
      <x:c r="K44" s="6" t="n">
        <x:f>IF((IF('Raw floorplans'!I275&gt;0,1,0)+IF('Raw floorplans'!I276&gt;0,1,0)+IF('Raw floorplans'!I277&gt;0,1,0))=0,"",MAX(IF('Raw floorplans'!I275&gt;0,'Raw floorplans'!I275,0),IF('Raw floorplans'!I276&gt;0,'Raw floorplans'!I276,0),IF('Raw floorplans'!I277&gt;0,'Raw floorplans'!I277,0)))</x:f>
        <x:v>995</x:v>
      </x:c>
      <x:c r="L44" s="1" t="n">
        <x:v>0</x:v>
      </x:c>
      <x:c r="M44" s="1" t="n">
        <x:f>IF(AND(ISNUMBER(H44),ISNUMBER(I44),ISNUMBER(J44),ISNUMBER(K44),H44&gt;0,I44&gt;0),IF(OR(H44&lt;&gt;J44,I44&lt;&gt;K44),1,0),0)</x:f>
        <x:v>0</x:v>
      </x:c>
      <x:c r="N44" s="1" t="n">
        <x:f>IF(AND(ISNUMBER(H44),ISNUMBER(I44),H44&gt;0,I44&gt;=H44),1,0)</x:f>
        <x:v>1</x:v>
      </x:c>
      <x:c r="O44" s="1" t="n">
        <x:f>IF(AND(L44=0,M44=0,N44=1),1,0)</x:f>
        <x:v>1</x:v>
      </x:c>
      <x:c r="P44" s="7" t="n">
        <x:f>2*3958.7613*ASIN(SQRT(SIN(RADIANS(F44-35.77951)/2)^2+COS(RADIANS(35.77951))*COS(RADIANS(F44))*SIN(RADIANS(G44-(-78.68168))/2)^2))</x:f>
        <x:v>2.696273350307861</x:v>
      </x:c>
      <x:c r="Q44" s="1" t="str">
        <x:f>IF(P44&lt;=1,"0–1 mi",IF(P44&lt;=3,"&gt;1–3 mi",IF(P44&lt;=5,"&gt;3–5 mi","Outside 5 mi")))</x:f>
        <x:v>&gt;1–3 mi</x:v>
      </x:c>
      <x:c r="R44" s="7" t="n">
        <x:f>2*3958.7613*ASIN(SQRT(SIN(RADIANS(F44-35.7687)/2)^2+COS(RADIANS(35.7687))*COS(RADIANS(F44))*SIN(RADIANS(G44-(-78.6775))/2)^2))</x:f>
        <x:v>3.127175273739138</x:v>
      </x:c>
      <x:c r="S44" s="1" t="str">
        <x:f>IF(R44&lt;=1,"0–1 mi",IF(R44&lt;=3,"&gt;1–3 mi",IF(R44&lt;=5,"&gt;3–5 mi","Outside 5 mi")))</x:f>
        <x:v>&gt;3–5 mi</x:v>
      </x:c>
      <x:c r="T44" s="7" t="n">
        <x:f>2*3958.7613*ASIN(SQRT(SIN(RADIANS(F44-35.79847)/2)^2+COS(RADIANS(35.79847))*COS(RADIANS(F44))*SIN(RADIANS(G44-(-78.70408))/2)^2))</x:f>
        <x:v>1.6559836321094923</x:v>
      </x:c>
      <x:c r="U44" s="1" t="str">
        <x:f>IF(T44&lt;=1,"0–1 mi",IF(T44&lt;=3,"&gt;1–3 mi",IF(T44&lt;=5,"&gt;3–5 mi","Outside 5 mi")))</x:f>
        <x:v>&gt;1–3 mi</x:v>
      </x:c>
      <x:c r="V44" s="1" t="n">
        <x:f>IF(MIN(P44,R44,T44)&lt;=5,1,0)</x:f>
        <x:v>1</x:v>
      </x:c>
      <x:c r="W44" s="6" t="n">
        <x:f>IF(O44=1,(H44+I44)/2,"")</x:f>
        <x:v>947</x:v>
      </x:c>
      <x:c r="X44" s="1" t="n">
        <x:f>O44*V44</x:f>
        <x:v>1</x:v>
      </x:c>
      <x:c r="Y44" s="1" t="n">
        <x:v>0</x:v>
      </x:c>
      <x:c r="Z44" s="1" t="n">
        <x:v>0</x:v>
      </x:c>
      <x:c r="AA44" s="1" t="n">
        <x:v>0</x:v>
      </x:c>
      <x:c r="AB44" s="1" t="n">
        <x:v>0</x:v>
      </x:c>
      <x:c r="AC44" s="1" t="n">
        <x:v>0</x:v>
      </x:c>
      <x:c r="AD44" s="1" t="str">
        <x:f>IF('Raw properties'!Y44="","",'Raw properties'!Y44)</x:f>
      </x:c>
      <x:c r="AE44" s="1" t="str"/>
      <x:c r="AF44" s="1" t="str">
        <x:v>Included in rent means</x:v>
      </x:c>
      <x:c r="AG44" s="5" t="str">
        <x:v>Source pricing flag retained; automated consistency checks passed. This is not independent landlord verification.</x:v>
      </x:c>
      <x:c r="AH44" s="1" t="str">
        <x:v>$899 - $995</x:v>
      </x:c>
      <x:c r="AI44" s="8" t="n">
        <x:f>MIN(ABS(P44-1),ABS(P44-3),ABS(P44-5))*5280</x:f>
        <x:v>1603.6767103744935</x:v>
      </x:c>
      <x:c r="AJ44" s="8" t="n">
        <x:f>MIN(ABS(R44-1),ABS(R44-3),ABS(R44-5))*5280</x:f>
        <x:v>671.4854453426478</x:v>
      </x:c>
      <x:c r="AK44" s="8" t="n">
        <x:f>MIN(ABS(T44-1),ABS(T44-3),ABS(T44-5))*5280</x:f>
        <x:v>3463.5935775381195</x:v>
      </x:c>
      <x:c r="AL44" s="1" t="n">
        <x:f>IF(MIN(AI44,AJ44,AK44)&lt;=100,1,0)</x:f>
        <x:v>0</x:v>
      </x:c>
    </x:row>
    <x:row r="45" ht="15" hidden="0" customHeight="1">
      <x:c r="A45" s="1" t="str">
        <x:f>IF('Raw properties'!A45="","",'Raw properties'!A45)</x:f>
        <x:v>ocp5z7c91m</x:v>
      </x:c>
      <x:c r="B45" s="1" t="str">
        <x:f>IF('Raw properties'!D45="","",'Raw properties'!D45)</x:f>
        <x:v>$300 off 1st month's rent! Spacious 3BD/2.5BA Townhome Rental available near NCSU for fall semester!</x:v>
      </x:c>
      <x:c r="C45" s="1" t="str">
        <x:f>IF('Raw properties'!AG45="","",'Raw properties'!AG45)</x:f>
        <x:v>https://offcampus.dasa.ncsu.edu/housing/property/300-off-1st-months-rent-spacious-3bd-2-5ba-townhome-rental-available-near-ncsu-for-fall-semester/ocp5z7c91m</x:v>
      </x:c>
      <x:c r="D45" s="1" t="str">
        <x:v>Whole unit</x:v>
      </x:c>
      <x:c r="E45" s="1" t="str">
        <x:v>Whole unit</x:v>
      </x:c>
      <x:c r="F45" s="7" t="n">
        <x:f>IF('Raw properties'!I45="","",'Raw properties'!I45)</x:f>
        <x:v>35.773756</x:v>
      </x:c>
      <x:c r="G45" s="7" t="n">
        <x:f>IF('Raw properties'!J45="","",'Raw properties'!J45)</x:f>
        <x:v>-78.696867</x:v>
      </x:c>
      <x:c r="H45" s="6" t="n">
        <x:f>IF('Raw properties'!M45="","",'Raw properties'!M45)</x:f>
        <x:v>1800</x:v>
      </x:c>
      <x:c r="I45" s="6" t="n">
        <x:f>IF('Raw properties'!N45="","",'Raw properties'!N45)</x:f>
        <x:v>1800</x:v>
      </x:c>
      <x:c r="J45" s="6" t="n">
        <x:f>IF((IF('Raw floorplans'!H278&gt;0,1,0))=0,"",MIN(IF('Raw floorplans'!H278&gt;0,'Raw floorplans'!H278,1E99)))</x:f>
        <x:v>1800</x:v>
      </x:c>
      <x:c r="K45" s="6" t="n">
        <x:f>IF((IF('Raw floorplans'!I278&gt;0,1,0))=0,"",MAX(IF('Raw floorplans'!I278&gt;0,'Raw floorplans'!I278,0)))</x:f>
        <x:v>1800</x:v>
      </x:c>
      <x:c r="L45" s="1" t="n">
        <x:v>0</x:v>
      </x:c>
      <x:c r="M45" s="1" t="n">
        <x:f>IF(AND(ISNUMBER(H45),ISNUMBER(I45),ISNUMBER(J45),ISNUMBER(K45),H45&gt;0,I45&gt;0),IF(OR(H45&lt;&gt;J45,I45&lt;&gt;K45),1,0),0)</x:f>
        <x:v>0</x:v>
      </x:c>
      <x:c r="N45" s="1" t="n">
        <x:f>IF(AND(ISNUMBER(H45),ISNUMBER(I45),H45&gt;0,I45&gt;=H45),1,0)</x:f>
        <x:v>1</x:v>
      </x:c>
      <x:c r="O45" s="1" t="n">
        <x:f>IF(AND(L45=0,M45=0,N45=1),1,0)</x:f>
        <x:v>1</x:v>
      </x:c>
      <x:c r="P45" s="7" t="n">
        <x:f>2*3958.7613*ASIN(SQRT(SIN(RADIANS(F45-35.77951)/2)^2+COS(RADIANS(35.77951))*COS(RADIANS(F45))*SIN(RADIANS(G45-(-78.68168))/2)^2))</x:f>
        <x:v>0.9395731379245013</x:v>
      </x:c>
      <x:c r="Q45" s="1" t="str">
        <x:f>IF(P45&lt;=1,"0–1 mi",IF(P45&lt;=3,"&gt;1–3 mi",IF(P45&lt;=5,"&gt;3–5 mi","Outside 5 mi")))</x:f>
        <x:v>0–1 mi</x:v>
      </x:c>
      <x:c r="R45" s="7" t="n">
        <x:f>2*3958.7613*ASIN(SQRT(SIN(RADIANS(F45-35.7687)/2)^2+COS(RADIANS(35.7687))*COS(RADIANS(F45))*SIN(RADIANS(G45-(-78.6775))/2)^2))</x:f>
        <x:v>1.1405209924105726</x:v>
      </x:c>
      <x:c r="S45" s="1" t="str">
        <x:f>IF(R45&lt;=1,"0–1 mi",IF(R45&lt;=3,"&gt;1–3 mi",IF(R45&lt;=5,"&gt;3–5 mi","Outside 5 mi")))</x:f>
        <x:v>&gt;1–3 mi</x:v>
      </x:c>
      <x:c r="T45" s="7" t="n">
        <x:f>2*3958.7613*ASIN(SQRT(SIN(RADIANS(F45-35.79847)/2)^2+COS(RADIANS(35.79847))*COS(RADIANS(F45))*SIN(RADIANS(G45-(-78.70408))/2)^2))</x:f>
        <x:v>1.754780564325277</x:v>
      </x:c>
      <x:c r="U45" s="1" t="str">
        <x:f>IF(T45&lt;=1,"0–1 mi",IF(T45&lt;=3,"&gt;1–3 mi",IF(T45&lt;=5,"&gt;3–5 mi","Outside 5 mi")))</x:f>
        <x:v>&gt;1–3 mi</x:v>
      </x:c>
      <x:c r="V45" s="1" t="n">
        <x:f>IF(MIN(P45,R45,T45)&lt;=5,1,0)</x:f>
        <x:v>1</x:v>
      </x:c>
      <x:c r="W45" s="6" t="n">
        <x:f>IF(O45=1,(H45+I45)/2,"")</x:f>
        <x:v>1800</x:v>
      </x:c>
      <x:c r="X45" s="1" t="n">
        <x:f>O45*V45</x:f>
        <x:v>1</x:v>
      </x:c>
      <x:c r="Y45" s="1" t="n">
        <x:v>0</x:v>
      </x:c>
      <x:c r="Z45" s="1" t="n">
        <x:v>0</x:v>
      </x:c>
      <x:c r="AA45" s="1" t="n">
        <x:v>0</x:v>
      </x:c>
      <x:c r="AB45" s="1" t="n">
        <x:v>0</x:v>
      </x:c>
      <x:c r="AC45" s="1" t="n">
        <x:v>0</x:v>
      </x:c>
      <x:c r="AD45" s="1" t="str">
        <x:f>IF('Raw properties'!Y45="","",'Raw properties'!Y45)</x:f>
        <x:v>12 Month Lease</x:v>
      </x:c>
      <x:c r="AE45" s="1" t="str">
        <x:v>2026-08-13</x:v>
      </x:c>
      <x:c r="AF45" s="1" t="str">
        <x:v>Included in rent means</x:v>
      </x:c>
      <x:c r="AG45" s="5" t="str">
        <x:v>Source pricing flag retained; automated consistency checks passed. This is not independent landlord verification.</x:v>
      </x:c>
      <x:c r="AH45" s="1" t="str">
        <x:v>$1,800</x:v>
      </x:c>
      <x:c r="AI45" s="8" t="n">
        <x:f>MIN(ABS(P45-1),ABS(P45-3),ABS(P45-5))*5280</x:f>
        <x:v>319.05383175863335</x:v>
      </x:c>
      <x:c r="AJ45" s="8" t="n">
        <x:f>MIN(ABS(R45-1),ABS(R45-3),ABS(R45-5))*5280</x:f>
        <x:v>741.9508399278233</x:v>
      </x:c>
      <x:c r="AK45" s="8" t="n">
        <x:f>MIN(ABS(T45-1),ABS(T45-3),ABS(T45-5))*5280</x:f>
        <x:v>3985.241379637462</x:v>
      </x:c>
      <x:c r="AL45" s="1" t="n">
        <x:f>IF(MIN(AI45,AJ45,AK45)&lt;=100,1,0)</x:f>
        <x:v>0</x:v>
      </x:c>
    </x:row>
    <x:row r="46" ht="15" hidden="0" customHeight="1">
      <x:c r="A46" s="1" t="str">
        <x:f>IF('Raw properties'!A46="","",'Raw properties'!A46)</x:f>
        <x:v>syvz9l4</x:v>
      </x:c>
      <x:c r="B46" s="1" t="str">
        <x:f>IF('Raw properties'!D46="","",'Raw properties'!D46)</x:f>
        <x:v>The Wilde</x:v>
      </x:c>
      <x:c r="C46" s="1" t="str">
        <x:f>IF('Raw properties'!AG46="","",'Raw properties'!AG46)</x:f>
        <x:v>https://offcampus.dasa.ncsu.edu/housing/property/the-wilde/syvz9l4</x:v>
      </x:c>
      <x:c r="D46" s="1" t="str">
        <x:v>Per bedroom</x:v>
      </x:c>
      <x:c r="E46" s="1" t="str">
        <x:v>Per bedroom</x:v>
      </x:c>
      <x:c r="F46" s="7" t="n">
        <x:f>IF('Raw properties'!I46="","",'Raw properties'!I46)</x:f>
        <x:v>35.751208</x:v>
      </x:c>
      <x:c r="G46" s="7" t="n">
        <x:f>IF('Raw properties'!J46="","",'Raw properties'!J46)</x:f>
        <x:v>-78.691361</x:v>
      </x:c>
      <x:c r="H46" s="6" t="n">
        <x:f>IF('Raw properties'!M46="","",'Raw properties'!M46)</x:f>
        <x:v>599</x:v>
      </x:c>
      <x:c r="I46" s="6" t="n">
        <x:f>IF('Raw properties'!N46="","",'Raw properties'!N46)</x:f>
        <x:v>920</x:v>
      </x:c>
      <x:c r="J46" s="6" t="n">
        <x:f>IF((IF('Raw floorplans'!H279&gt;0,1,0)+IF('Raw floorplans'!H280&gt;0,1,0)+IF('Raw floorplans'!H281&gt;0,1,0)+IF('Raw floorplans'!H282&gt;0,1,0)+IF('Raw floorplans'!H283&gt;0,1,0))=0,"",MIN(IF('Raw floorplans'!H279&gt;0,'Raw floorplans'!H279,1E99),IF('Raw floorplans'!H280&gt;0,'Raw floorplans'!H280,1E99),IF('Raw floorplans'!H281&gt;0,'Raw floorplans'!H281,1E99),IF('Raw floorplans'!H282&gt;0,'Raw floorplans'!H282,1E99),IF('Raw floorplans'!H283&gt;0,'Raw floorplans'!H283,1E99)))</x:f>
        <x:v>599</x:v>
      </x:c>
      <x:c r="K46" s="6" t="n">
        <x:f>IF((IF('Raw floorplans'!I279&gt;0,1,0)+IF('Raw floorplans'!I280&gt;0,1,0)+IF('Raw floorplans'!I281&gt;0,1,0)+IF('Raw floorplans'!I282&gt;0,1,0)+IF('Raw floorplans'!I283&gt;0,1,0))=0,"",MAX(IF('Raw floorplans'!I279&gt;0,'Raw floorplans'!I279,0),IF('Raw floorplans'!I280&gt;0,'Raw floorplans'!I280,0),IF('Raw floorplans'!I281&gt;0,'Raw floorplans'!I281,0),IF('Raw floorplans'!I282&gt;0,'Raw floorplans'!I282,0),IF('Raw floorplans'!I283&gt;0,'Raw floorplans'!I283,0)))</x:f>
        <x:v>920</x:v>
      </x:c>
      <x:c r="L46" s="1" t="n">
        <x:v>0</x:v>
      </x:c>
      <x:c r="M46" s="1" t="n">
        <x:f>IF(AND(ISNUMBER(H46),ISNUMBER(I46),ISNUMBER(J46),ISNUMBER(K46),H46&gt;0,I46&gt;0),IF(OR(H46&lt;&gt;J46,I46&lt;&gt;K46),1,0),0)</x:f>
        <x:v>0</x:v>
      </x:c>
      <x:c r="N46" s="1" t="n">
        <x:f>IF(AND(ISNUMBER(H46),ISNUMBER(I46),H46&gt;0,I46&gt;=H46),1,0)</x:f>
        <x:v>1</x:v>
      </x:c>
      <x:c r="O46" s="1" t="n">
        <x:f>IF(AND(L46=0,M46=0,N46=1),1,0)</x:f>
        <x:v>1</x:v>
      </x:c>
      <x:c r="P46" s="7" t="n">
        <x:f>2*3958.7613*ASIN(SQRT(SIN(RADIANS(F46-35.77951)/2)^2+COS(RADIANS(35.77951))*COS(RADIANS(F46))*SIN(RADIANS(G46-(-78.68168))/2)^2))</x:f>
        <x:v>2.029406075000217</x:v>
      </x:c>
      <x:c r="Q46" s="1" t="str">
        <x:f>IF(P46&lt;=1,"0–1 mi",IF(P46&lt;=3,"&gt;1–3 mi",IF(P46&lt;=5,"&gt;3–5 mi","Outside 5 mi")))</x:f>
        <x:v>&gt;1–3 mi</x:v>
      </x:c>
      <x:c r="R46" s="7" t="n">
        <x:f>2*3958.7613*ASIN(SQRT(SIN(RADIANS(F46-35.7687)/2)^2+COS(RADIANS(35.7687))*COS(RADIANS(F46))*SIN(RADIANS(G46-(-78.6775))/2)^2))</x:f>
        <x:v>1.436883182713475</x:v>
      </x:c>
      <x:c r="S46" s="1" t="str">
        <x:f>IF(R46&lt;=1,"0–1 mi",IF(R46&lt;=3,"&gt;1–3 mi",IF(R46&lt;=5,"&gt;3–5 mi","Outside 5 mi")))</x:f>
        <x:v>&gt;1–3 mi</x:v>
      </x:c>
      <x:c r="T46" s="7" t="n">
        <x:f>2*3958.7613*ASIN(SQRT(SIN(RADIANS(F46-35.79847)/2)^2+COS(RADIANS(35.79847))*COS(RADIANS(F46))*SIN(RADIANS(G46-(-78.70408))/2)^2))</x:f>
        <x:v>3.3424238682144662</x:v>
      </x:c>
      <x:c r="U46" s="1" t="str">
        <x:f>IF(T46&lt;=1,"0–1 mi",IF(T46&lt;=3,"&gt;1–3 mi",IF(T46&lt;=5,"&gt;3–5 mi","Outside 5 mi")))</x:f>
        <x:v>&gt;3–5 mi</x:v>
      </x:c>
      <x:c r="V46" s="1" t="n">
        <x:f>IF(MIN(P46,R46,T46)&lt;=5,1,0)</x:f>
        <x:v>1</x:v>
      </x:c>
      <x:c r="W46" s="6" t="n">
        <x:f>IF(O46=1,(H46+I46)/2,"")</x:f>
        <x:v>759.5</x:v>
      </x:c>
      <x:c r="X46" s="1" t="n">
        <x:f>O46*V46</x:f>
        <x:v>1</x:v>
      </x:c>
      <x:c r="Y46" s="1" t="n">
        <x:v>0</x:v>
      </x:c>
      <x:c r="Z46" s="1" t="n">
        <x:v>0</x:v>
      </x:c>
      <x:c r="AA46" s="1" t="n">
        <x:v>0</x:v>
      </x:c>
      <x:c r="AB46" s="1" t="n">
        <x:v>0</x:v>
      </x:c>
      <x:c r="AC46" s="1" t="n">
        <x:v>0</x:v>
      </x:c>
      <x:c r="AD46" s="1" t="str">
        <x:f>IF('Raw properties'!Y46="","",'Raw properties'!Y46)</x:f>
        <x:v>11 Month Lease</x:v>
      </x:c>
      <x:c r="AE46" s="1" t="str">
        <x:v>2026-08-14</x:v>
      </x:c>
      <x:c r="AF46" s="1" t="str">
        <x:v>Included in rent means</x:v>
      </x:c>
      <x:c r="AG46" s="5" t="str">
        <x:v>Source pricing flag retained; automated consistency checks passed. This is not independent landlord verification.</x:v>
      </x:c>
      <x:c r="AH46" s="1" t="str">
        <x:v>$599 - $920</x:v>
      </x:c>
      <x:c r="AI46" s="8" t="n">
        <x:f>MIN(ABS(P46-1),ABS(P46-3),ABS(P46-5))*5280</x:f>
        <x:v>5124.735923998855</x:v>
      </x:c>
      <x:c r="AJ46" s="8" t="n">
        <x:f>MIN(ABS(R46-1),ABS(R46-3),ABS(R46-5))*5280</x:f>
        <x:v>2306.7432047271477</x:v>
      </x:c>
      <x:c r="AK46" s="8" t="n">
        <x:f>MIN(ABS(T46-1),ABS(T46-3),ABS(T46-5))*5280</x:f>
        <x:v>1807.9980241723817</x:v>
      </x:c>
      <x:c r="AL46" s="1" t="n">
        <x:f>IF(MIN(AI46,AJ46,AK46)&lt;=100,1,0)</x:f>
        <x:v>0</x:v>
      </x:c>
    </x:row>
    <x:row r="47" ht="15" hidden="0" customHeight="1">
      <x:c r="A47" s="1" t="str">
        <x:f>IF('Raw properties'!A47="","",'Raw properties'!A47)</x:f>
        <x:v>ocph8n0fc0</x:v>
      </x:c>
      <x:c r="B47" s="1" t="str">
        <x:f>IF('Raw properties'!D47="","",'Raw properties'!D47)</x:f>
        <x:v>Affordable Student Housing 1 Block from Campus on Wolf Line</x:v>
      </x:c>
      <x:c r="C47" s="1" t="str">
        <x:f>IF('Raw properties'!AG47="","",'Raw properties'!AG47)</x:f>
        <x:v>https://offcampus.dasa.ncsu.edu/housing/property/affordable-student-housing-1-block-from-campus-on-wolf-line/ocph8n0fc0</x:v>
      </x:c>
      <x:c r="D47" s="1" t="str">
        <x:v>Per bedroom</x:v>
      </x:c>
      <x:c r="E47" s="1" t="str">
        <x:v>Per bedroom</x:v>
      </x:c>
      <x:c r="F47" s="7" t="n">
        <x:f>IF('Raw properties'!I47="","",'Raw properties'!I47)</x:f>
        <x:v>35.782901</x:v>
      </x:c>
      <x:c r="G47" s="7" t="n">
        <x:f>IF('Raw properties'!J47="","",'Raw properties'!J47)</x:f>
        <x:v>-78.688396</x:v>
      </x:c>
      <x:c r="H47" s="6" t="n">
        <x:f>IF('Raw properties'!M47="","",'Raw properties'!M47)</x:f>
        <x:v>640</x:v>
      </x:c>
      <x:c r="I47" s="6" t="n">
        <x:f>IF('Raw properties'!N47="","",'Raw properties'!N47)</x:f>
        <x:v>640</x:v>
      </x:c>
      <x:c r="J47" s="6" t="n">
        <x:f>IF((IF('Raw floorplans'!H284&gt;0,1,0))=0,"",MIN(IF('Raw floorplans'!H284&gt;0,'Raw floorplans'!H284,1E99)))</x:f>
        <x:v>640</x:v>
      </x:c>
      <x:c r="K47" s="6" t="n">
        <x:f>IF((IF('Raw floorplans'!I284&gt;0,1,0))=0,"",MAX(IF('Raw floorplans'!I284&gt;0,'Raw floorplans'!I284,0)))</x:f>
        <x:v>640</x:v>
      </x:c>
      <x:c r="L47" s="1" t="n">
        <x:v>0</x:v>
      </x:c>
      <x:c r="M47" s="1" t="n">
        <x:f>IF(AND(ISNUMBER(H47),ISNUMBER(I47),ISNUMBER(J47),ISNUMBER(K47),H47&gt;0,I47&gt;0),IF(OR(H47&lt;&gt;J47,I47&lt;&gt;K47),1,0),0)</x:f>
        <x:v>0</x:v>
      </x:c>
      <x:c r="N47" s="1" t="n">
        <x:f>IF(AND(ISNUMBER(H47),ISNUMBER(I47),H47&gt;0,I47&gt;=H47),1,0)</x:f>
        <x:v>1</x:v>
      </x:c>
      <x:c r="O47" s="1" t="n">
        <x:f>IF(AND(L47=0,M47=0,N47=1),1,0)</x:f>
        <x:v>1</x:v>
      </x:c>
      <x:c r="P47" s="7" t="n">
        <x:f>2*3958.7613*ASIN(SQRT(SIN(RADIANS(F47-35.77951)/2)^2+COS(RADIANS(35.77951))*COS(RADIANS(F47))*SIN(RADIANS(G47-(-78.68168))/2)^2))</x:f>
        <x:v>0.44340465250548716</x:v>
      </x:c>
      <x:c r="Q47" s="1" t="str">
        <x:f>IF(P47&lt;=1,"0–1 mi",IF(P47&lt;=3,"&gt;1–3 mi",IF(P47&lt;=5,"&gt;3–5 mi","Outside 5 mi")))</x:f>
        <x:v>0–1 mi</x:v>
      </x:c>
      <x:c r="R47" s="7" t="n">
        <x:f>2*3958.7613*ASIN(SQRT(SIN(RADIANS(F47-35.7687)/2)^2+COS(RADIANS(35.7687))*COS(RADIANS(F47))*SIN(RADIANS(G47-(-78.6775))/2)^2))</x:f>
        <x:v>1.1557715178514785</x:v>
      </x:c>
      <x:c r="S47" s="1" t="str">
        <x:f>IF(R47&lt;=1,"0–1 mi",IF(R47&lt;=3,"&gt;1–3 mi",IF(R47&lt;=5,"&gt;3–5 mi","Outside 5 mi")))</x:f>
        <x:v>&gt;1–3 mi</x:v>
      </x:c>
      <x:c r="T47" s="7" t="n">
        <x:f>2*3958.7613*ASIN(SQRT(SIN(RADIANS(F47-35.79847)/2)^2+COS(RADIANS(35.79847))*COS(RADIANS(F47))*SIN(RADIANS(G47-(-78.70408))/2)^2))</x:f>
        <x:v>1.3891876574271</x:v>
      </x:c>
      <x:c r="U47" s="1" t="str">
        <x:f>IF(T47&lt;=1,"0–1 mi",IF(T47&lt;=3,"&gt;1–3 mi",IF(T47&lt;=5,"&gt;3–5 mi","Outside 5 mi")))</x:f>
        <x:v>&gt;1–3 mi</x:v>
      </x:c>
      <x:c r="V47" s="1" t="n">
        <x:f>IF(MIN(P47,R47,T47)&lt;=5,1,0)</x:f>
        <x:v>1</x:v>
      </x:c>
      <x:c r="W47" s="6" t="n">
        <x:f>IF(O47=1,(H47+I47)/2,"")</x:f>
        <x:v>640</x:v>
      </x:c>
      <x:c r="X47" s="1" t="n">
        <x:f>O47*V47</x:f>
        <x:v>1</x:v>
      </x:c>
      <x:c r="Y47" s="1" t="n">
        <x:v>0</x:v>
      </x:c>
      <x:c r="Z47" s="1" t="n">
        <x:v>0</x:v>
      </x:c>
      <x:c r="AA47" s="1" t="n">
        <x:v>0</x:v>
      </x:c>
      <x:c r="AB47" s="1" t="n">
        <x:v>0</x:v>
      </x:c>
      <x:c r="AC47" s="1" t="n">
        <x:v>0</x:v>
      </x:c>
      <x:c r="AD47" s="1" t="str">
        <x:f>IF('Raw properties'!Y47="","",'Raw properties'!Y47)</x:f>
        <x:v>11 Month Lease</x:v>
      </x:c>
      <x:c r="AE47" s="1" t="str">
        <x:v>2026-08-14</x:v>
      </x:c>
      <x:c r="AF47" s="1" t="str">
        <x:v>Included in rent means</x:v>
      </x:c>
      <x:c r="AG47" s="5" t="str">
        <x:v>Source pricing flag retained; automated consistency checks passed. This is not independent landlord verification.</x:v>
      </x:c>
      <x:c r="AH47" s="1" t="str">
        <x:v>$640</x:v>
      </x:c>
      <x:c r="AI47" s="8" t="n">
        <x:f>MIN(ABS(P47-1),ABS(P47-3),ABS(P47-5))*5280</x:f>
        <x:v>2938.823434771028</x:v>
      </x:c>
      <x:c r="AJ47" s="8" t="n">
        <x:f>MIN(ABS(R47-1),ABS(R47-3),ABS(R47-5))*5280</x:f>
        <x:v>822.4736142558063</x:v>
      </x:c>
      <x:c r="AK47" s="8" t="n">
        <x:f>MIN(ABS(T47-1),ABS(T47-3),ABS(T47-5))*5280</x:f>
        <x:v>2054.9108312150884</x:v>
      </x:c>
      <x:c r="AL47" s="1" t="n">
        <x:f>IF(MIN(AI47,AJ47,AK47)&lt;=100,1,0)</x:f>
        <x:v>0</x:v>
      </x:c>
    </x:row>
    <x:row r="48" ht="36" hidden="0" customHeight="1">
      <x:c r="A48" s="1" t="str">
        <x:f>IF('Raw properties'!A48="","",'Raw properties'!A48)</x:f>
        <x:v>61y0ywr</x:v>
      </x:c>
      <x:c r="B48" s="1" t="str">
        <x:f>IF('Raw properties'!D48="","",'Raw properties'!D48)</x:f>
        <x:v>Hub Raleigh</x:v>
      </x:c>
      <x:c r="C48" s="1" t="str">
        <x:f>IF('Raw properties'!AG48="","",'Raw properties'!AG48)</x:f>
        <x:v>https://offcampus.dasa.ncsu.edu/housing/property/hub-raleigh/61y0ywr</x:v>
      </x:c>
      <x:c r="D48" s="1" t="str">
        <x:v>Whole unit</x:v>
      </x:c>
      <x:c r="E48" s="1" t="str">
        <x:v>Review</x:v>
      </x:c>
      <x:c r="F48" s="7" t="n">
        <x:f>IF('Raw properties'!I48="","",'Raw properties'!I48)</x:f>
        <x:v>35.784382</x:v>
      </x:c>
      <x:c r="G48" s="7" t="n">
        <x:f>IF('Raw properties'!J48="","",'Raw properties'!J48)</x:f>
        <x:v>-78.660298</x:v>
      </x:c>
      <x:c r="H48" s="6" t="n">
        <x:f>IF('Raw properties'!M48="","",'Raw properties'!M48)</x:f>
        <x:v>799</x:v>
      </x:c>
      <x:c r="I48" s="6" t="n">
        <x:f>IF('Raw properties'!N48="","",'Raw properties'!N48)</x:f>
        <x:v>1599</x:v>
      </x:c>
      <x:c r="J48" s="6" t="n">
        <x:f>IF((IF('Raw floorplans'!H285&gt;0,1,0)+IF('Raw floorplans'!H286&gt;0,1,0)+IF('Raw floorplans'!H287&gt;0,1,0)+IF('Raw floorplans'!H288&gt;0,1,0)+IF('Raw floorplans'!H289&gt;0,1,0)+IF('Raw floorplans'!H290&gt;0,1,0)+IF('Raw floorplans'!H291&gt;0,1,0)+IF('Raw floorplans'!H292&gt;0,1,0)+IF('Raw floorplans'!H293&gt;0,1,0)+IF('Raw floorplans'!H294&gt;0,1,0)+IF('Raw floorplans'!H295&gt;0,1,0)+IF('Raw floorplans'!H296&gt;0,1,0)+IF('Raw floorplans'!H297&gt;0,1,0)+IF('Raw floorplans'!H298&gt;0,1,0)+IF('Raw floorplans'!H299&gt;0,1,0)+IF('Raw floorplans'!H300&gt;0,1,0)+IF('Raw floorplans'!H301&gt;0,1,0)+IF('Raw floorplans'!H302&gt;0,1,0)+IF('Raw floorplans'!H303&gt;0,1,0)+IF('Raw floorplans'!H304&gt;0,1,0)+IF('Raw floorplans'!H305&gt;0,1,0)+IF('Raw floorplans'!H306&gt;0,1,0)+IF('Raw floorplans'!H307&gt;0,1,0)+IF('Raw floorplans'!H308&gt;0,1,0)+IF('Raw floorplans'!H309&gt;0,1,0)+IF('Raw floorplans'!H310&gt;0,1,0)+IF('Raw floorplans'!H311&gt;0,1,0)+IF('Raw floorplans'!H312&gt;0,1,0)+IF('Raw floorplans'!H313&gt;0,1,0))=0,"",MIN(IF('Raw floorplans'!H285&gt;0,'Raw floorplans'!H285,1E99),IF('Raw floorplans'!H286&gt;0,'Raw floorplans'!H286,1E99),IF('Raw floorplans'!H287&gt;0,'Raw floorplans'!H287,1E99),IF('Raw floorplans'!H288&gt;0,'Raw floorplans'!H288,1E99),IF('Raw floorplans'!H289&gt;0,'Raw floorplans'!H289,1E99),IF('Raw floorplans'!H290&gt;0,'Raw floorplans'!H290,1E99),IF('Raw floorplans'!H291&gt;0,'Raw floorplans'!H291,1E99),IF('Raw floorplans'!H292&gt;0,'Raw floorplans'!H292,1E99),IF('Raw floorplans'!H293&gt;0,'Raw floorplans'!H293,1E99),IF('Raw floorplans'!H294&gt;0,'Raw floorplans'!H294,1E99),IF('Raw floorplans'!H295&gt;0,'Raw floorplans'!H295,1E99),IF('Raw floorplans'!H296&gt;0,'Raw floorplans'!H296,1E99),IF('Raw floorplans'!H297&gt;0,'Raw floorplans'!H297,1E99),IF('Raw floorplans'!H298&gt;0,'Raw floorplans'!H298,1E99),IF('Raw floorplans'!H299&gt;0,'Raw floorplans'!H299,1E99),IF('Raw floorplans'!H300&gt;0,'Raw floorplans'!H300,1E99),IF('Raw floorplans'!H301&gt;0,'Raw floorplans'!H301,1E99),IF('Raw floorplans'!H302&gt;0,'Raw floorplans'!H302,1E99),IF('Raw floorplans'!H303&gt;0,'Raw floorplans'!H303,1E99),IF('Raw floorplans'!H304&gt;0,'Raw floorplans'!H304,1E99),IF('Raw floorplans'!H305&gt;0,'Raw floorplans'!H305,1E99),IF('Raw floorplans'!H306&gt;0,'Raw floorplans'!H306,1E99),IF('Raw floorplans'!H307&gt;0,'Raw floorplans'!H307,1E99),IF('Raw floorplans'!H308&gt;0,'Raw floorplans'!H308,1E99),IF('Raw floorplans'!H309&gt;0,'Raw floorplans'!H309,1E99),IF('Raw floorplans'!H310&gt;0,'Raw floorplans'!H310,1E99),IF('Raw floorplans'!H311&gt;0,'Raw floorplans'!H311,1E99),IF('Raw floorplans'!H312&gt;0,'Raw floorplans'!H312,1E99),IF('Raw floorplans'!H313&gt;0,'Raw floorplans'!H313,1E99)))</x:f>
        <x:v>799</x:v>
      </x:c>
      <x:c r="K48" s="6" t="n">
        <x:f>IF((IF('Raw floorplans'!I285&gt;0,1,0)+IF('Raw floorplans'!I286&gt;0,1,0)+IF('Raw floorplans'!I287&gt;0,1,0)+IF('Raw floorplans'!I288&gt;0,1,0)+IF('Raw floorplans'!I289&gt;0,1,0)+IF('Raw floorplans'!I290&gt;0,1,0)+IF('Raw floorplans'!I291&gt;0,1,0)+IF('Raw floorplans'!I292&gt;0,1,0)+IF('Raw floorplans'!I293&gt;0,1,0)+IF('Raw floorplans'!I294&gt;0,1,0)+IF('Raw floorplans'!I295&gt;0,1,0)+IF('Raw floorplans'!I296&gt;0,1,0)+IF('Raw floorplans'!I297&gt;0,1,0)+IF('Raw floorplans'!I298&gt;0,1,0)+IF('Raw floorplans'!I299&gt;0,1,0)+IF('Raw floorplans'!I300&gt;0,1,0)+IF('Raw floorplans'!I301&gt;0,1,0)+IF('Raw floorplans'!I302&gt;0,1,0)+IF('Raw floorplans'!I303&gt;0,1,0)+IF('Raw floorplans'!I304&gt;0,1,0)+IF('Raw floorplans'!I305&gt;0,1,0)+IF('Raw floorplans'!I306&gt;0,1,0)+IF('Raw floorplans'!I307&gt;0,1,0)+IF('Raw floorplans'!I308&gt;0,1,0)+IF('Raw floorplans'!I309&gt;0,1,0)+IF('Raw floorplans'!I310&gt;0,1,0)+IF('Raw floorplans'!I311&gt;0,1,0)+IF('Raw floorplans'!I312&gt;0,1,0)+IF('Raw floorplans'!I313&gt;0,1,0))=0,"",MAX(IF('Raw floorplans'!I285&gt;0,'Raw floorplans'!I285,0),IF('Raw floorplans'!I286&gt;0,'Raw floorplans'!I286,0),IF('Raw floorplans'!I287&gt;0,'Raw floorplans'!I287,0),IF('Raw floorplans'!I288&gt;0,'Raw floorplans'!I288,0),IF('Raw floorplans'!I289&gt;0,'Raw floorplans'!I289,0),IF('Raw floorplans'!I290&gt;0,'Raw floorplans'!I290,0),IF('Raw floorplans'!I291&gt;0,'Raw floorplans'!I291,0),IF('Raw floorplans'!I292&gt;0,'Raw floorplans'!I292,0),IF('Raw floorplans'!I293&gt;0,'Raw floorplans'!I293,0),IF('Raw floorplans'!I294&gt;0,'Raw floorplans'!I294,0),IF('Raw floorplans'!I295&gt;0,'Raw floorplans'!I295,0),IF('Raw floorplans'!I296&gt;0,'Raw floorplans'!I296,0),IF('Raw floorplans'!I297&gt;0,'Raw floorplans'!I297,0),IF('Raw floorplans'!I298&gt;0,'Raw floorplans'!I298,0),IF('Raw floorplans'!I299&gt;0,'Raw floorplans'!I299,0),IF('Raw floorplans'!I300&gt;0,'Raw floorplans'!I300,0),IF('Raw floorplans'!I301&gt;0,'Raw floorplans'!I301,0),IF('Raw floorplans'!I302&gt;0,'Raw floorplans'!I302,0),IF('Raw floorplans'!I303&gt;0,'Raw floorplans'!I303,0),IF('Raw floorplans'!I304&gt;0,'Raw floorplans'!I304,0),IF('Raw floorplans'!I305&gt;0,'Raw floorplans'!I305,0),IF('Raw floorplans'!I306&gt;0,'Raw floorplans'!I306,0),IF('Raw floorplans'!I307&gt;0,'Raw floorplans'!I307,0),IF('Raw floorplans'!I308&gt;0,'Raw floorplans'!I308,0),IF('Raw floorplans'!I309&gt;0,'Raw floorplans'!I309,0),IF('Raw floorplans'!I310&gt;0,'Raw floorplans'!I310,0),IF('Raw floorplans'!I311&gt;0,'Raw floorplans'!I311,0),IF('Raw floorplans'!I312&gt;0,'Raw floorplans'!I312,0),IF('Raw floorplans'!I313&gt;0,'Raw floorplans'!I313,0)))</x:f>
        <x:v>1599</x:v>
      </x:c>
      <x:c r="L48" s="1" t="n">
        <x:v>1</x:v>
      </x:c>
      <x:c r="M48" s="1" t="n">
        <x:f>IF(AND(ISNUMBER(H48),ISNUMBER(I48),ISNUMBER(J48),ISNUMBER(K48),H48&gt;0,I48&gt;0),IF(OR(H48&lt;&gt;J48,I48&lt;&gt;K48),1,0),0)</x:f>
        <x:v>0</x:v>
      </x:c>
      <x:c r="N48" s="1" t="n">
        <x:f>IF(AND(ISNUMBER(H48),ISNUMBER(I48),H48&gt;0,I48&gt;=H48),1,0)</x:f>
        <x:v>1</x:v>
      </x:c>
      <x:c r="O48" s="1" t="n">
        <x:f>IF(AND(L48=0,M48=0,N48=1),1,0)</x:f>
        <x:v>0</x:v>
      </x:c>
      <x:c r="P48" s="7" t="n">
        <x:f>2*3958.7613*ASIN(SQRT(SIN(RADIANS(F48-35.77951)/2)^2+COS(RADIANS(35.77951))*COS(RADIANS(F48))*SIN(RADIANS(G48-(-78.68168))/2)^2))</x:f>
        <x:v>1.2448782128747367</x:v>
      </x:c>
      <x:c r="Q48" s="1" t="str">
        <x:f>IF(P48&lt;=1,"0–1 mi",IF(P48&lt;=3,"&gt;1–3 mi",IF(P48&lt;=5,"&gt;3–5 mi","Outside 5 mi")))</x:f>
        <x:v>&gt;1–3 mi</x:v>
      </x:c>
      <x:c r="R48" s="7" t="n">
        <x:f>2*3958.7613*ASIN(SQRT(SIN(RADIANS(F48-35.7687)/2)^2+COS(RADIANS(35.7687))*COS(RADIANS(F48))*SIN(RADIANS(G48-(-78.6775))/2)^2))</x:f>
        <x:v>1.4504618269299892</x:v>
      </x:c>
      <x:c r="S48" s="1" t="str">
        <x:f>IF(R48&lt;=1,"0–1 mi",IF(R48&lt;=3,"&gt;1–3 mi",IF(R48&lt;=5,"&gt;3–5 mi","Outside 5 mi")))</x:f>
        <x:v>&gt;1–3 mi</x:v>
      </x:c>
      <x:c r="T48" s="7" t="n">
        <x:f>2*3958.7613*ASIN(SQRT(SIN(RADIANS(F48-35.79847)/2)^2+COS(RADIANS(35.79847))*COS(RADIANS(F48))*SIN(RADIANS(G48-(-78.70408))/2)^2))</x:f>
        <x:v>2.639787926637717</x:v>
      </x:c>
      <x:c r="U48" s="1" t="str">
        <x:f>IF(T48&lt;=1,"0–1 mi",IF(T48&lt;=3,"&gt;1–3 mi",IF(T48&lt;=5,"&gt;3–5 mi","Outside 5 mi")))</x:f>
        <x:v>&gt;1–3 mi</x:v>
      </x:c>
      <x:c r="V48" s="1" t="n">
        <x:f>IF(MIN(P48,R48,T48)&lt;=5,1,0)</x:f>
        <x:v>1</x:v>
      </x:c>
      <x:c r="W48" s="6" t="str">
        <x:f>IF(O48=1,(H48+I48)/2,"")</x:f>
      </x:c>
      <x:c r="X48" s="1" t="n">
        <x:f>O48*V48</x:f>
        <x:v>0</x:v>
      </x:c>
      <x:c r="Y48" s="1" t="n">
        <x:v>0</x:v>
      </x:c>
      <x:c r="Z48" s="1" t="n">
        <x:v>0</x:v>
      </x:c>
      <x:c r="AA48" s="1" t="n">
        <x:v>0</x:v>
      </x:c>
      <x:c r="AB48" s="1" t="n">
        <x:v>0</x:v>
      </x:c>
      <x:c r="AC48" s="1" t="n">
        <x:v>0</x:v>
      </x:c>
      <x:c r="AD48" s="1" t="str">
        <x:f>IF('Raw properties'!Y48="","",'Raw properties'!Y48)</x:f>
        <x:v>11 Month Lease</x:v>
      </x:c>
      <x:c r="AE48" s="1" t="str">
        <x:v>2026-08-05</x:v>
      </x:c>
      <x:c r="AF48" s="1" t="str">
        <x:v>Excluded from rent means</x:v>
      </x:c>
      <x:c r="AG48" s="5" t="str">
        <x:v>Hub Raleigh advertises individual leases, studios and multi-bedroom plans, but saved flags mark every plan as whole-unit. Cannot reliably allocate the single $799–$1,599 property range between personal and dwelling prices. Excluded pending plan-level pricing confirmation.</x:v>
      </x:c>
      <x:c r="AH48" s="1" t="str">
        <x:v>$799 - $1,599</x:v>
      </x:c>
      <x:c r="AI48" s="8" t="n">
        <x:f>MIN(ABS(P48-1),ABS(P48-3),ABS(P48-5))*5280</x:f>
        <x:v>1292.9569639786096</x:v>
      </x:c>
      <x:c r="AJ48" s="8" t="n">
        <x:f>MIN(ABS(R48-1),ABS(R48-3),ABS(R48-5))*5280</x:f>
        <x:v>2378.438446190343</x:v>
      </x:c>
      <x:c r="AK48" s="8" t="n">
        <x:f>MIN(ABS(T48-1),ABS(T48-3),ABS(T48-5))*5280</x:f>
        <x:v>1901.9197473528548</x:v>
      </x:c>
      <x:c r="AL48" s="1" t="n">
        <x:f>IF(MIN(AI48,AJ48,AK48)&lt;=100,1,0)</x:f>
        <x:v>0</x:v>
      </x:c>
    </x:row>
    <x:row r="49" ht="15" hidden="0" customHeight="1">
      <x:c r="A49" s="1" t="str">
        <x:f>IF('Raw properties'!A49="","",'Raw properties'!A49)</x:f>
        <x:v>ocp1tnqde5</x:v>
      </x:c>
      <x:c r="B49" s="1" t="str">
        <x:f>IF('Raw properties'!D49="","",'Raw properties'!D49)</x:f>
        <x:v>2 blocks from central campus, 2 blocks from Village District!</x:v>
      </x:c>
      <x:c r="C49" s="1" t="str">
        <x:f>IF('Raw properties'!AG49="","",'Raw properties'!AG49)</x:f>
        <x:v>https://offcampus.dasa.ncsu.edu/housing/property/2-blocks-from-central-campus-2-blocks-from-village-district/ocp1tnqde5</x:v>
      </x:c>
      <x:c r="D49" s="1" t="str">
        <x:v>Whole unit</x:v>
      </x:c>
      <x:c r="E49" s="1" t="str">
        <x:v>Whole unit</x:v>
      </x:c>
      <x:c r="F49" s="7" t="n">
        <x:f>IF('Raw properties'!I49="","",'Raw properties'!I49)</x:f>
        <x:v>35.7886</x:v>
      </x:c>
      <x:c r="G49" s="7" t="n">
        <x:f>IF('Raw properties'!J49="","",'Raw properties'!J49)</x:f>
        <x:v>-78.66418</x:v>
      </x:c>
      <x:c r="H49" s="6" t="n">
        <x:f>IF('Raw properties'!M49="","",'Raw properties'!M49)</x:f>
        <x:v>3900</x:v>
      </x:c>
      <x:c r="I49" s="6" t="n">
        <x:f>IF('Raw properties'!N49="","",'Raw properties'!N49)</x:f>
        <x:v>3900</x:v>
      </x:c>
      <x:c r="J49" s="6" t="n">
        <x:f>IF((IF('Raw floorplans'!H314&gt;0,1,0))=0,"",MIN(IF('Raw floorplans'!H314&gt;0,'Raw floorplans'!H314,1E99)))</x:f>
        <x:v>3900</x:v>
      </x:c>
      <x:c r="K49" s="6" t="n">
        <x:f>IF((IF('Raw floorplans'!I314&gt;0,1,0))=0,"",MAX(IF('Raw floorplans'!I314&gt;0,'Raw floorplans'!I314,0)))</x:f>
        <x:v>3900</x:v>
      </x:c>
      <x:c r="L49" s="1" t="n">
        <x:v>0</x:v>
      </x:c>
      <x:c r="M49" s="1" t="n">
        <x:f>IF(AND(ISNUMBER(H49),ISNUMBER(I49),ISNUMBER(J49),ISNUMBER(K49),H49&gt;0,I49&gt;0),IF(OR(H49&lt;&gt;J49,I49&lt;&gt;K49),1,0),0)</x:f>
        <x:v>0</x:v>
      </x:c>
      <x:c r="N49" s="1" t="n">
        <x:f>IF(AND(ISNUMBER(H49),ISNUMBER(I49),H49&gt;0,I49&gt;=H49),1,0)</x:f>
        <x:v>1</x:v>
      </x:c>
      <x:c r="O49" s="1" t="n">
        <x:f>IF(AND(L49=0,M49=0,N49=1),1,0)</x:f>
        <x:v>1</x:v>
      </x:c>
      <x:c r="P49" s="7" t="n">
        <x:f>2*3958.7613*ASIN(SQRT(SIN(RADIANS(F49-35.77951)/2)^2+COS(RADIANS(35.77951))*COS(RADIANS(F49))*SIN(RADIANS(G49-(-78.68168))/2)^2))</x:f>
        <x:v>1.16472676299471</x:v>
      </x:c>
      <x:c r="Q49" s="1" t="str">
        <x:f>IF(P49&lt;=1,"0–1 mi",IF(P49&lt;=3,"&gt;1–3 mi",IF(P49&lt;=5,"&gt;3–5 mi","Outside 5 mi")))</x:f>
        <x:v>&gt;1–3 mi</x:v>
      </x:c>
      <x:c r="R49" s="7" t="n">
        <x:f>2*3958.7613*ASIN(SQRT(SIN(RADIANS(F49-35.7687)/2)^2+COS(RADIANS(35.7687))*COS(RADIANS(F49))*SIN(RADIANS(G49-(-78.6775))/2)^2))</x:f>
        <x:v>1.5646044565116077</x:v>
      </x:c>
      <x:c r="S49" s="1" t="str">
        <x:f>IF(R49&lt;=1,"0–1 mi",IF(R49&lt;=3,"&gt;1–3 mi",IF(R49&lt;=5,"&gt;3–5 mi","Outside 5 mi")))</x:f>
        <x:v>&gt;1–3 mi</x:v>
      </x:c>
      <x:c r="T49" s="7" t="n">
        <x:f>2*3958.7613*ASIN(SQRT(SIN(RADIANS(F49-35.79847)/2)^2+COS(RADIANS(35.79847))*COS(RADIANS(F49))*SIN(RADIANS(G49-(-78.70408))/2)^2))</x:f>
        <x:v>2.337820052761557</x:v>
      </x:c>
      <x:c r="U49" s="1" t="str">
        <x:f>IF(T49&lt;=1,"0–1 mi",IF(T49&lt;=3,"&gt;1–3 mi",IF(T49&lt;=5,"&gt;3–5 mi","Outside 5 mi")))</x:f>
        <x:v>&gt;1–3 mi</x:v>
      </x:c>
      <x:c r="V49" s="1" t="n">
        <x:f>IF(MIN(P49,R49,T49)&lt;=5,1,0)</x:f>
        <x:v>1</x:v>
      </x:c>
      <x:c r="W49" s="6" t="n">
        <x:f>IF(O49=1,(H49+I49)/2,"")</x:f>
        <x:v>3900</x:v>
      </x:c>
      <x:c r="X49" s="1" t="n">
        <x:f>O49*V49</x:f>
        <x:v>1</x:v>
      </x:c>
      <x:c r="Y49" s="1" t="n">
        <x:v>0</x:v>
      </x:c>
      <x:c r="Z49" s="1" t="n">
        <x:v>0</x:v>
      </x:c>
      <x:c r="AA49" s="1" t="n">
        <x:v>0</x:v>
      </x:c>
      <x:c r="AB49" s="1" t="n">
        <x:v>0</x:v>
      </x:c>
      <x:c r="AC49" s="1" t="n">
        <x:v>0</x:v>
      </x:c>
      <x:c r="AD49" s="1" t="str">
        <x:f>IF('Raw properties'!Y49="","",'Raw properties'!Y49)</x:f>
        <x:v>12 Month Lease</x:v>
      </x:c>
      <x:c r="AE49" s="1" t="str">
        <x:v>2026-07-01</x:v>
      </x:c>
      <x:c r="AF49" s="1" t="str">
        <x:v>Included in rent means</x:v>
      </x:c>
      <x:c r="AG49" s="5" t="str">
        <x:v>Source pricing flag retained; automated consistency checks passed. This is not independent landlord verification.</x:v>
      </x:c>
      <x:c r="AH49" s="1" t="str">
        <x:v>$3,900</x:v>
      </x:c>
      <x:c r="AI49" s="8" t="n">
        <x:f>MIN(ABS(P49-1),ABS(P49-3),ABS(P49-5))*5280</x:f>
        <x:v>869.7573086120689</x:v>
      </x:c>
      <x:c r="AJ49" s="8" t="n">
        <x:f>MIN(ABS(R49-1),ABS(R49-3),ABS(R49-5))*5280</x:f>
        <x:v>2981.111530381289</x:v>
      </x:c>
      <x:c r="AK49" s="8" t="n">
        <x:f>MIN(ABS(T49-1),ABS(T49-3),ABS(T49-5))*5280</x:f>
        <x:v>3496.3101214189783</x:v>
      </x:c>
      <x:c r="AL49" s="1" t="n">
        <x:f>IF(MIN(AI49,AJ49,AK49)&lt;=100,1,0)</x:f>
        <x:v>0</x:v>
      </x:c>
    </x:row>
    <x:row r="50" ht="36" hidden="0" customHeight="1">
      <x:c r="A50" s="1" t="str">
        <x:f>IF('Raw properties'!A50="","",'Raw properties'!A50)</x:f>
        <x:v>dw0f7sh</x:v>
      </x:c>
      <x:c r="B50" s="1" t="str">
        <x:f>IF('Raw properties'!D50="","",'Raw properties'!D50)</x:f>
        <x:v>Campus Edge</x:v>
      </x:c>
      <x:c r="C50" s="1" t="str">
        <x:f>IF('Raw properties'!AG50="","",'Raw properties'!AG50)</x:f>
        <x:v>https://offcampus.dasa.ncsu.edu/housing/property/campus-edge/dw0f7sh</x:v>
      </x:c>
      <x:c r="D50" s="1" t="str">
        <x:v>Per bedroom</x:v>
      </x:c>
      <x:c r="E50" s="1" t="str">
        <x:v>Review</x:v>
      </x:c>
      <x:c r="F50" s="7" t="n">
        <x:f>IF('Raw properties'!I50="","",'Raw properties'!I50)</x:f>
        <x:v>35.754317</x:v>
      </x:c>
      <x:c r="G50" s="7" t="n">
        <x:f>IF('Raw properties'!J50="","",'Raw properties'!J50)</x:f>
        <x:v>-78.697608</x:v>
      </x:c>
      <x:c r="H50" s="6" t="n">
        <x:f>IF('Raw properties'!M50="","",'Raw properties'!M50)</x:f>
        <x:v>955</x:v>
      </x:c>
      <x:c r="I50" s="6" t="n">
        <x:f>IF('Raw properties'!N50="","",'Raw properties'!N50)</x:f>
        <x:v>980</x:v>
      </x:c>
      <x:c r="J50" s="6" t="n">
        <x:f>IF((IF('Raw floorplans'!H315&gt;0,1,0)+IF('Raw floorplans'!H316&gt;0,1,0)+IF('Raw floorplans'!H317&gt;0,1,0)+IF('Raw floorplans'!H318&gt;0,1,0)+IF('Raw floorplans'!H319&gt;0,1,0))=0,"",MIN(IF('Raw floorplans'!H315&gt;0,'Raw floorplans'!H315,1E99),IF('Raw floorplans'!H316&gt;0,'Raw floorplans'!H316,1E99),IF('Raw floorplans'!H317&gt;0,'Raw floorplans'!H317,1E99),IF('Raw floorplans'!H318&gt;0,'Raw floorplans'!H318,1E99),IF('Raw floorplans'!H319&gt;0,'Raw floorplans'!H319,1E99)))</x:f>
        <x:v>905</x:v>
      </x:c>
      <x:c r="K50" s="6" t="n">
        <x:f>IF((IF('Raw floorplans'!I315&gt;0,1,0)+IF('Raw floorplans'!I316&gt;0,1,0)+IF('Raw floorplans'!I317&gt;0,1,0)+IF('Raw floorplans'!I318&gt;0,1,0)+IF('Raw floorplans'!I319&gt;0,1,0))=0,"",MAX(IF('Raw floorplans'!I315&gt;0,'Raw floorplans'!I315,0),IF('Raw floorplans'!I316&gt;0,'Raw floorplans'!I316,0),IF('Raw floorplans'!I317&gt;0,'Raw floorplans'!I317,0),IF('Raw floorplans'!I318&gt;0,'Raw floorplans'!I318,0),IF('Raw floorplans'!I319&gt;0,'Raw floorplans'!I319,0)))</x:f>
        <x:v>1895</x:v>
      </x:c>
      <x:c r="L50" s="1" t="n">
        <x:v>1</x:v>
      </x:c>
      <x:c r="M50" s="1" t="n">
        <x:f>IF(AND(ISNUMBER(H50),ISNUMBER(I50),ISNUMBER(J50),ISNUMBER(K50),H50&gt;0,I50&gt;0),IF(OR(H50&lt;&gt;J50,I50&lt;&gt;K50),1,0),0)</x:f>
        <x:v>1</x:v>
      </x:c>
      <x:c r="N50" s="1" t="n">
        <x:f>IF(AND(ISNUMBER(H50),ISNUMBER(I50),H50&gt;0,I50&gt;=H50),1,0)</x:f>
        <x:v>1</x:v>
      </x:c>
      <x:c r="O50" s="1" t="n">
        <x:f>IF(AND(L50=0,M50=0,N50=1),1,0)</x:f>
        <x:v>0</x:v>
      </x:c>
      <x:c r="P50" s="7" t="n">
        <x:f>2*3958.7613*ASIN(SQRT(SIN(RADIANS(F50-35.77951)/2)^2+COS(RADIANS(35.77951))*COS(RADIANS(F50))*SIN(RADIANS(G50-(-78.68168))/2)^2))</x:f>
        <x:v>1.9563531502628386</x:v>
      </x:c>
      <x:c r="Q50" s="1" t="str">
        <x:f>IF(P50&lt;=1,"0–1 mi",IF(P50&lt;=3,"&gt;1–3 mi",IF(P50&lt;=5,"&gt;3–5 mi","Outside 5 mi")))</x:f>
        <x:v>&gt;1–3 mi</x:v>
      </x:c>
      <x:c r="R50" s="7" t="n">
        <x:f>2*3958.7613*ASIN(SQRT(SIN(RADIANS(F50-35.7687)/2)^2+COS(RADIANS(35.7687))*COS(RADIANS(F50))*SIN(RADIANS(G50-(-78.6775))/2)^2))</x:f>
        <x:v>1.5028535809868173</x:v>
      </x:c>
      <x:c r="S50" s="1" t="str">
        <x:f>IF(R50&lt;=1,"0–1 mi",IF(R50&lt;=3,"&gt;1–3 mi",IF(R50&lt;=5,"&gt;3–5 mi","Outside 5 mi")))</x:f>
        <x:v>&gt;1–3 mi</x:v>
      </x:c>
      <x:c r="T50" s="7" t="n">
        <x:f>2*3958.7613*ASIN(SQRT(SIN(RADIANS(F50-35.79847)/2)^2+COS(RADIANS(35.79847))*COS(RADIANS(F50))*SIN(RADIANS(G50-(-78.70408))/2)^2))</x:f>
        <x:v>3.0721780457336623</x:v>
      </x:c>
      <x:c r="U50" s="1" t="str">
        <x:f>IF(T50&lt;=1,"0–1 mi",IF(T50&lt;=3,"&gt;1–3 mi",IF(T50&lt;=5,"&gt;3–5 mi","Outside 5 mi")))</x:f>
        <x:v>&gt;3–5 mi</x:v>
      </x:c>
      <x:c r="V50" s="1" t="n">
        <x:f>IF(MIN(P50,R50,T50)&lt;=5,1,0)</x:f>
        <x:v>1</x:v>
      </x:c>
      <x:c r="W50" s="6" t="str">
        <x:f>IF(O50=1,(H50+I50)/2,"")</x:f>
      </x:c>
      <x:c r="X50" s="1" t="n">
        <x:f>O50*V50</x:f>
        <x:v>0</x:v>
      </x:c>
      <x:c r="Y50" s="1" t="n">
        <x:v>0</x:v>
      </x:c>
      <x:c r="Z50" s="1" t="n">
        <x:v>0</x:v>
      </x:c>
      <x:c r="AA50" s="1" t="n">
        <x:v>0</x:v>
      </x:c>
      <x:c r="AB50" s="1" t="n">
        <x:v>0</x:v>
      </x:c>
      <x:c r="AC50" s="1" t="n">
        <x:v>0</x:v>
      </x:c>
      <x:c r="AD50" s="1" t="str">
        <x:f>IF('Raw properties'!Y50="","",'Raw properties'!Y50)</x:f>
        <x:v>11 Month Lease</x:v>
      </x:c>
      <x:c r="AE50" s="1" t="str">
        <x:v>2026-08-14</x:v>
      </x:c>
      <x:c r="AF50" s="1" t="str">
        <x:v>Excluded from rent means</x:v>
      </x:c>
      <x:c r="AG50" s="5" t="str">
        <x:v>Saved floor plans contain both per-bedroom and whole-unit flags. A single property range cannot be assigned a reliable common pricing basis; no division by bedroom count or price substitution. Search summary: $955–$980; saved floor-plan envelope: $905–$1895. Difference may reflect fees, timing or scope; unresolved snapshot price excluded.</x:v>
      </x:c>
      <x:c r="AH50" s="1" t="str">
        <x:v>$955 - $980</x:v>
      </x:c>
      <x:c r="AI50" s="8" t="n">
        <x:f>MIN(ABS(P50-1),ABS(P50-3),ABS(P50-5))*5280</x:f>
        <x:v>5049.544633387788</x:v>
      </x:c>
      <x:c r="AJ50" s="8" t="n">
        <x:f>MIN(ABS(R50-1),ABS(R50-3),ABS(R50-5))*5280</x:f>
        <x:v>2655.0669076103954</x:v>
      </x:c>
      <x:c r="AK50" s="8" t="n">
        <x:f>MIN(ABS(T50-1),ABS(T50-3),ABS(T50-5))*5280</x:f>
        <x:v>381.10008147373674</x:v>
      </x:c>
      <x:c r="AL50" s="1" t="n">
        <x:f>IF(MIN(AI50,AJ50,AK50)&lt;=100,1,0)</x:f>
        <x:v>0</x:v>
      </x:c>
    </x:row>
    <x:row r="51" ht="15" hidden="0" customHeight="1">
      <x:c r="A51" s="1" t="str">
        <x:f>IF('Raw properties'!A51="","",'Raw properties'!A51)</x:f>
        <x:v>ocp85fz0j3</x:v>
      </x:c>
      <x:c r="B51" s="1" t="str">
        <x:f>IF('Raw properties'!D51="","",'Raw properties'!D51)</x:f>
        <x:v>Brand-New 4BR Townhomes - Eight at State</x:v>
      </x:c>
      <x:c r="C51" s="1" t="str">
        <x:f>IF('Raw properties'!AG51="","",'Raw properties'!AG51)</x:f>
        <x:v>https://offcampus.dasa.ncsu.edu/housing/property/brand-new-4br-townhomes-eight-at-state/ocp85fz0j3</x:v>
      </x:c>
      <x:c r="D51" s="1" t="str">
        <x:v>Whole unit</x:v>
      </x:c>
      <x:c r="E51" s="1" t="str">
        <x:v>Whole unit</x:v>
      </x:c>
      <x:c r="F51" s="7" t="n">
        <x:f>IF('Raw properties'!I51="","",'Raw properties'!I51)</x:f>
        <x:v>35.785424</x:v>
      </x:c>
      <x:c r="G51" s="7" t="n">
        <x:f>IF('Raw properties'!J51="","",'Raw properties'!J51)</x:f>
        <x:v>-78.6963</x:v>
      </x:c>
      <x:c r="H51" s="6" t="n">
        <x:f>IF('Raw properties'!M51="","",'Raw properties'!M51)</x:f>
        <x:v>4000</x:v>
      </x:c>
      <x:c r="I51" s="6" t="n">
        <x:f>IF('Raw properties'!N51="","",'Raw properties'!N51)</x:f>
        <x:v>4000</x:v>
      </x:c>
      <x:c r="J51" s="6" t="n">
        <x:f>IF((IF('Raw floorplans'!H320&gt;0,1,0))=0,"",MIN(IF('Raw floorplans'!H320&gt;0,'Raw floorplans'!H320,1E99)))</x:f>
        <x:v>4000</x:v>
      </x:c>
      <x:c r="K51" s="6" t="n">
        <x:f>IF((IF('Raw floorplans'!I320&gt;0,1,0))=0,"",MAX(IF('Raw floorplans'!I320&gt;0,'Raw floorplans'!I320,0)))</x:f>
        <x:v>4000</x:v>
      </x:c>
      <x:c r="L51" s="1" t="n">
        <x:v>0</x:v>
      </x:c>
      <x:c r="M51" s="1" t="n">
        <x:f>IF(AND(ISNUMBER(H51),ISNUMBER(I51),ISNUMBER(J51),ISNUMBER(K51),H51&gt;0,I51&gt;0),IF(OR(H51&lt;&gt;J51,I51&lt;&gt;K51),1,0),0)</x:f>
        <x:v>0</x:v>
      </x:c>
      <x:c r="N51" s="1" t="n">
        <x:f>IF(AND(ISNUMBER(H51),ISNUMBER(I51),H51&gt;0,I51&gt;=H51),1,0)</x:f>
        <x:v>1</x:v>
      </x:c>
      <x:c r="O51" s="1" t="n">
        <x:f>IF(AND(L51=0,M51=0,N51=1),1,0)</x:f>
        <x:v>1</x:v>
      </x:c>
      <x:c r="P51" s="7" t="n">
        <x:f>2*3958.7613*ASIN(SQRT(SIN(RADIANS(F51-35.77951)/2)^2+COS(RADIANS(35.77951))*COS(RADIANS(F51))*SIN(RADIANS(G51-(-78.68168))/2)^2))</x:f>
        <x:v>0.9156996456959581</x:v>
      </x:c>
      <x:c r="Q51" s="1" t="str">
        <x:f>IF(P51&lt;=1,"0–1 mi",IF(P51&lt;=3,"&gt;1–3 mi",IF(P51&lt;=5,"&gt;3–5 mi","Outside 5 mi")))</x:f>
        <x:v>0–1 mi</x:v>
      </x:c>
      <x:c r="R51" s="7" t="n">
        <x:f>2*3958.7613*ASIN(SQRT(SIN(RADIANS(F51-35.7687)/2)^2+COS(RADIANS(35.7687))*COS(RADIANS(F51))*SIN(RADIANS(G51-(-78.6775))/2)^2))</x:f>
        <x:v>1.563906170903406</x:v>
      </x:c>
      <x:c r="S51" s="1" t="str">
        <x:f>IF(R51&lt;=1,"0–1 mi",IF(R51&lt;=3,"&gt;1–3 mi",IF(R51&lt;=5,"&gt;3–5 mi","Outside 5 mi")))</x:f>
        <x:v>&gt;1–3 mi</x:v>
      </x:c>
      <x:c r="T51" s="7" t="n">
        <x:f>2*3958.7613*ASIN(SQRT(SIN(RADIANS(F51-35.79847)/2)^2+COS(RADIANS(35.79847))*COS(RADIANS(F51))*SIN(RADIANS(G51-(-78.70408))/2)^2))</x:f>
        <x:v>1.0013141980366194</x:v>
      </x:c>
      <x:c r="U51" s="1" t="str">
        <x:f>IF(T51&lt;=1,"0–1 mi",IF(T51&lt;=3,"&gt;1–3 mi",IF(T51&lt;=5,"&gt;3–5 mi","Outside 5 mi")))</x:f>
        <x:v>&gt;1–3 mi</x:v>
      </x:c>
      <x:c r="V51" s="1" t="n">
        <x:f>IF(MIN(P51,R51,T51)&lt;=5,1,0)</x:f>
        <x:v>1</x:v>
      </x:c>
      <x:c r="W51" s="6" t="n">
        <x:f>IF(O51=1,(H51+I51)/2,"")</x:f>
        <x:v>4000</x:v>
      </x:c>
      <x:c r="X51" s="1" t="n">
        <x:f>O51*V51</x:f>
        <x:v>1</x:v>
      </x:c>
      <x:c r="Y51" s="1" t="n">
        <x:v>0</x:v>
      </x:c>
      <x:c r="Z51" s="1" t="n">
        <x:v>0</x:v>
      </x:c>
      <x:c r="AA51" s="1" t="n">
        <x:v>0</x:v>
      </x:c>
      <x:c r="AB51" s="1" t="n">
        <x:v>0</x:v>
      </x:c>
      <x:c r="AC51" s="1" t="n">
        <x:v>0</x:v>
      </x:c>
      <x:c r="AD51" s="1" t="str">
        <x:f>IF('Raw properties'!Y51="","",'Raw properties'!Y51)</x:f>
        <x:v>12 Month Lease</x:v>
      </x:c>
      <x:c r="AE51" s="1" t="str">
        <x:v>2026-08-01</x:v>
      </x:c>
      <x:c r="AF51" s="1" t="str">
        <x:v>Included in rent means</x:v>
      </x:c>
      <x:c r="AG51" s="5" t="str">
        <x:v>Source pricing flag retained; automated consistency checks passed. This is not independent landlord verification.</x:v>
      </x:c>
      <x:c r="AH51" s="1" t="str">
        <x:v>$4,000</x:v>
      </x:c>
      <x:c r="AI51" s="8" t="n">
        <x:f>MIN(ABS(P51-1),ABS(P51-3),ABS(P51-5))*5280</x:f>
        <x:v>445.10587072534133</x:v>
      </x:c>
      <x:c r="AJ51" s="8" t="n">
        <x:f>MIN(ABS(R51-1),ABS(R51-3),ABS(R51-5))*5280</x:f>
        <x:v>2977.424582369983</x:v>
      </x:c>
      <x:c r="AK51" s="8" t="n">
        <x:f>MIN(ABS(T51-1),ABS(T51-3),ABS(T51-5))*5280</x:f>
        <x:v>6.938965633350236</x:v>
      </x:c>
      <x:c r="AL51" s="1" t="n">
        <x:f>IF(MIN(AI51,AJ51,AK51)&lt;=100,1,0)</x:f>
        <x:v>1</x:v>
      </x:c>
    </x:row>
    <x:row r="52" ht="24" hidden="0" customHeight="1">
      <x:c r="A52" s="1" t="str">
        <x:f>IF('Raw properties'!A52="","",'Raw properties'!A52)</x:f>
        <x:v>zfcjzqy</x:v>
      </x:c>
      <x:c r="B52" s="1" t="str">
        <x:f>IF('Raw properties'!D52="","",'Raw properties'!D52)</x:f>
        <x:v>Yugo Raleigh Logan</x:v>
      </x:c>
      <x:c r="C52" s="1" t="str">
        <x:f>IF('Raw properties'!AG52="","",'Raw properties'!AG52)</x:f>
        <x:v>https://offcampus.dasa.ncsu.edu/housing/property/yugo-raleigh-logan/zfcjzqy</x:v>
      </x:c>
      <x:c r="D52" s="1" t="str">
        <x:v>Whole unit</x:v>
      </x:c>
      <x:c r="E52" s="1" t="str">
        <x:v>Review</x:v>
      </x:c>
      <x:c r="F52" s="7" t="n">
        <x:f>IF('Raw properties'!I52="","",'Raw properties'!I52)</x:f>
        <x:v>35.788293</x:v>
      </x:c>
      <x:c r="G52" s="7" t="n">
        <x:f>IF('Raw properties'!J52="","",'Raw properties'!J52)</x:f>
        <x:v>-78.665382</x:v>
      </x:c>
      <x:c r="H52" s="6" t="n">
        <x:f>IF('Raw properties'!M52="","",'Raw properties'!M52)</x:f>
        <x:v>999</x:v>
      </x:c>
      <x:c r="I52" s="6" t="n">
        <x:f>IF('Raw properties'!N52="","",'Raw properties'!N52)</x:f>
        <x:v>1879</x:v>
      </x:c>
      <x:c r="J52" s="6" t="n">
        <x:f>IF((IF('Raw floorplans'!H321&gt;0,1,0)+IF('Raw floorplans'!H322&gt;0,1,0)+IF('Raw floorplans'!H323&gt;0,1,0)+IF('Raw floorplans'!H324&gt;0,1,0)+IF('Raw floorplans'!H325&gt;0,1,0)+IF('Raw floorplans'!H326&gt;0,1,0)+IF('Raw floorplans'!H327&gt;0,1,0)+IF('Raw floorplans'!H328&gt;0,1,0)+IF('Raw floorplans'!H329&gt;0,1,0)+IF('Raw floorplans'!H330&gt;0,1,0)+IF('Raw floorplans'!H331&gt;0,1,0)+IF('Raw floorplans'!H332&gt;0,1,0)+IF('Raw floorplans'!H333&gt;0,1,0)+IF('Raw floorplans'!H334&gt;0,1,0)+IF('Raw floorplans'!H335&gt;0,1,0))=0,"",MIN(IF('Raw floorplans'!H321&gt;0,'Raw floorplans'!H321,1E99),IF('Raw floorplans'!H322&gt;0,'Raw floorplans'!H322,1E99),IF('Raw floorplans'!H323&gt;0,'Raw floorplans'!H323,1E99),IF('Raw floorplans'!H324&gt;0,'Raw floorplans'!H324,1E99),IF('Raw floorplans'!H325&gt;0,'Raw floorplans'!H325,1E99),IF('Raw floorplans'!H326&gt;0,'Raw floorplans'!H326,1E99),IF('Raw floorplans'!H327&gt;0,'Raw floorplans'!H327,1E99),IF('Raw floorplans'!H328&gt;0,'Raw floorplans'!H328,1E99),IF('Raw floorplans'!H329&gt;0,'Raw floorplans'!H329,1E99),IF('Raw floorplans'!H330&gt;0,'Raw floorplans'!H330,1E99),IF('Raw floorplans'!H331&gt;0,'Raw floorplans'!H331,1E99),IF('Raw floorplans'!H332&gt;0,'Raw floorplans'!H332,1E99),IF('Raw floorplans'!H333&gt;0,'Raw floorplans'!H333,1E99),IF('Raw floorplans'!H334&gt;0,'Raw floorplans'!H334,1E99),IF('Raw floorplans'!H335&gt;0,'Raw floorplans'!H335,1E99)))</x:f>
        <x:v>999</x:v>
      </x:c>
      <x:c r="K52" s="6" t="n">
        <x:f>IF((IF('Raw floorplans'!I321&gt;0,1,0)+IF('Raw floorplans'!I322&gt;0,1,0)+IF('Raw floorplans'!I323&gt;0,1,0)+IF('Raw floorplans'!I324&gt;0,1,0)+IF('Raw floorplans'!I325&gt;0,1,0)+IF('Raw floorplans'!I326&gt;0,1,0)+IF('Raw floorplans'!I327&gt;0,1,0)+IF('Raw floorplans'!I328&gt;0,1,0)+IF('Raw floorplans'!I329&gt;0,1,0)+IF('Raw floorplans'!I330&gt;0,1,0)+IF('Raw floorplans'!I331&gt;0,1,0)+IF('Raw floorplans'!I332&gt;0,1,0)+IF('Raw floorplans'!I333&gt;0,1,0)+IF('Raw floorplans'!I334&gt;0,1,0)+IF('Raw floorplans'!I335&gt;0,1,0))=0,"",MAX(IF('Raw floorplans'!I321&gt;0,'Raw floorplans'!I321,0),IF('Raw floorplans'!I322&gt;0,'Raw floorplans'!I322,0),IF('Raw floorplans'!I323&gt;0,'Raw floorplans'!I323,0),IF('Raw floorplans'!I324&gt;0,'Raw floorplans'!I324,0),IF('Raw floorplans'!I325&gt;0,'Raw floorplans'!I325,0),IF('Raw floorplans'!I326&gt;0,'Raw floorplans'!I326,0),IF('Raw floorplans'!I327&gt;0,'Raw floorplans'!I327,0),IF('Raw floorplans'!I328&gt;0,'Raw floorplans'!I328,0),IF('Raw floorplans'!I329&gt;0,'Raw floorplans'!I329,0),IF('Raw floorplans'!I330&gt;0,'Raw floorplans'!I330,0),IF('Raw floorplans'!I331&gt;0,'Raw floorplans'!I331,0),IF('Raw floorplans'!I332&gt;0,'Raw floorplans'!I332,0),IF('Raw floorplans'!I333&gt;0,'Raw floorplans'!I333,0),IF('Raw floorplans'!I334&gt;0,'Raw floorplans'!I334,0),IF('Raw floorplans'!I335&gt;0,'Raw floorplans'!I335,0)))</x:f>
        <x:v>1879</x:v>
      </x:c>
      <x:c r="L52" s="1" t="n">
        <x:v>1</x:v>
      </x:c>
      <x:c r="M52" s="1" t="n">
        <x:f>IF(AND(ISNUMBER(H52),ISNUMBER(I52),ISNUMBER(J52),ISNUMBER(K52),H52&gt;0,I52&gt;0),IF(OR(H52&lt;&gt;J52,I52&lt;&gt;K52),1,0),0)</x:f>
        <x:v>0</x:v>
      </x:c>
      <x:c r="N52" s="1" t="n">
        <x:f>IF(AND(ISNUMBER(H52),ISNUMBER(I52),H52&gt;0,I52&gt;=H52),1,0)</x:f>
        <x:v>1</x:v>
      </x:c>
      <x:c r="O52" s="1" t="n">
        <x:f>IF(AND(L52=0,M52=0,N52=1),1,0)</x:f>
        <x:v>0</x:v>
      </x:c>
      <x:c r="P52" s="7" t="n">
        <x:f>2*3958.7613*ASIN(SQRT(SIN(RADIANS(F52-35.77951)/2)^2+COS(RADIANS(35.77951))*COS(RADIANS(F52))*SIN(RADIANS(G52-(-78.68168))/2)^2))</x:f>
        <x:v>1.0967073868060613</x:v>
      </x:c>
      <x:c r="Q52" s="1" t="str">
        <x:f>IF(P52&lt;=1,"0–1 mi",IF(P52&lt;=3,"&gt;1–3 mi",IF(P52&lt;=5,"&gt;3–5 mi","Outside 5 mi")))</x:f>
        <x:v>&gt;1–3 mi</x:v>
      </x:c>
      <x:c r="R52" s="7" t="n">
        <x:f>2*3958.7613*ASIN(SQRT(SIN(RADIANS(F52-35.7687)/2)^2+COS(RADIANS(35.7687))*COS(RADIANS(F52))*SIN(RADIANS(G52-(-78.6775))/2)^2))</x:f>
        <x:v>1.51460714892874</x:v>
      </x:c>
      <x:c r="S52" s="1" t="str">
        <x:f>IF(R52&lt;=1,"0–1 mi",IF(R52&lt;=3,"&gt;1–3 mi",IF(R52&lt;=5,"&gt;3–5 mi","Outside 5 mi")))</x:f>
        <x:v>&gt;1–3 mi</x:v>
      </x:c>
      <x:c r="T52" s="7" t="n">
        <x:f>2*3958.7613*ASIN(SQRT(SIN(RADIANS(F52-35.79847)/2)^2+COS(RADIANS(35.79847))*COS(RADIANS(F52))*SIN(RADIANS(G52-(-78.70408))/2)^2))</x:f>
        <x:v>2.2799266502884876</x:v>
      </x:c>
      <x:c r="U52" s="1" t="str">
        <x:f>IF(T52&lt;=1,"0–1 mi",IF(T52&lt;=3,"&gt;1–3 mi",IF(T52&lt;=5,"&gt;3–5 mi","Outside 5 mi")))</x:f>
        <x:v>&gt;1–3 mi</x:v>
      </x:c>
      <x:c r="V52" s="1" t="n">
        <x:f>IF(MIN(P52,R52,T52)&lt;=5,1,0)</x:f>
        <x:v>1</x:v>
      </x:c>
      <x:c r="W52" s="6" t="str">
        <x:f>IF(O52=1,(H52+I52)/2,"")</x:f>
      </x:c>
      <x:c r="X52" s="1" t="n">
        <x:f>O52*V52</x:f>
        <x:v>0</x:v>
      </x:c>
      <x:c r="Y52" s="1" t="n">
        <x:v>0</x:v>
      </x:c>
      <x:c r="Z52" s="1" t="n">
        <x:v>0</x:v>
      </x:c>
      <x:c r="AA52" s="1" t="n">
        <x:v>0</x:v>
      </x:c>
      <x:c r="AB52" s="1" t="n">
        <x:v>0</x:v>
      </x:c>
      <x:c r="AC52" s="1" t="n">
        <x:v>0</x:v>
      </x:c>
      <x:c r="AD52" s="1" t="str">
        <x:f>IF('Raw properties'!Y52="","",'Raw properties'!Y52)</x:f>
        <x:v>11 Month Lease</x:v>
      </x:c>
      <x:c r="AE52" s="1" t="str">
        <x:v>2026-08-16</x:v>
      </x:c>
      <x:c r="AF52" s="1" t="str">
        <x:v>Excluded from rent means</x:v>
      </x:c>
      <x:c r="AG52" s="5" t="str">
        <x:v>Saved floor plans contain both per-bedroom and whole-unit flags. A single property range cannot be assigned a reliable common pricing basis; no division by bedroom count or price substitution.</x:v>
      </x:c>
      <x:c r="AH52" s="1" t="str">
        <x:v>$999 - $1,879</x:v>
      </x:c>
      <x:c r="AI52" s="8" t="n">
        <x:f>MIN(ABS(P52-1),ABS(P52-3),ABS(P52-5))*5280</x:f>
        <x:v>510.61500233600356</x:v>
      </x:c>
      <x:c r="AJ52" s="8" t="n">
        <x:f>MIN(ABS(R52-1),ABS(R52-3),ABS(R52-5))*5280</x:f>
        <x:v>2717.1257463437473</x:v>
      </x:c>
      <x:c r="AK52" s="8" t="n">
        <x:f>MIN(ABS(T52-1),ABS(T52-3),ABS(T52-5))*5280</x:f>
        <x:v>3801.9872864767854</x:v>
      </x:c>
      <x:c r="AL52" s="1" t="n">
        <x:f>IF(MIN(AI52,AJ52,AK52)&lt;=100,1,0)</x:f>
        <x:v>0</x:v>
      </x:c>
    </x:row>
    <x:row r="53" ht="15" hidden="0" customHeight="1">
      <x:c r="A53" s="1" t="str">
        <x:f>IF('Raw properties'!A53="","",'Raw properties'!A53)</x:f>
        <x:v>ocpx3vt61n</x:v>
      </x:c>
      <x:c r="B53" s="1" t="str">
        <x:f>IF('Raw properties'!D53="","",'Raw properties'!D53)</x:f>
        <x:v>FURNISHED NCSU STUDENT HOUSING – TOWNHOME ROOM RENTAL WITH PRIVATE BATHROOM ($850/room)</x:v>
      </x:c>
      <x:c r="C53" s="1" t="str">
        <x:f>IF('Raw properties'!AG53="","",'Raw properties'!AG53)</x:f>
        <x:v>https://offcampus.dasa.ncsu.edu/housing/property/furnished-ncsu-student-housing-townhome-room-rental-with-private-bathroom-850-room/ocpx3vt61n</x:v>
      </x:c>
      <x:c r="D53" s="1" t="str">
        <x:v>Per bedroom</x:v>
      </x:c>
      <x:c r="E53" s="1" t="str">
        <x:v>Per bedroom</x:v>
      </x:c>
      <x:c r="F53" s="7" t="n">
        <x:f>IF('Raw properties'!I53="","",'Raw properties'!I53)</x:f>
        <x:v>35.784785</x:v>
      </x:c>
      <x:c r="G53" s="7" t="n">
        <x:f>IF('Raw properties'!J53="","",'Raw properties'!J53)</x:f>
        <x:v>-78.724642</x:v>
      </x:c>
      <x:c r="H53" s="6" t="n">
        <x:f>IF('Raw properties'!M53="","",'Raw properties'!M53)</x:f>
        <x:v>850</x:v>
      </x:c>
      <x:c r="I53" s="6" t="n">
        <x:f>IF('Raw properties'!N53="","",'Raw properties'!N53)</x:f>
        <x:v>850</x:v>
      </x:c>
      <x:c r="J53" s="6" t="n">
        <x:f>IF((IF('Raw floorplans'!H336&gt;0,1,0))=0,"",MIN(IF('Raw floorplans'!H336&gt;0,'Raw floorplans'!H336,1E99)))</x:f>
        <x:v>850</x:v>
      </x:c>
      <x:c r="K53" s="6" t="n">
        <x:f>IF((IF('Raw floorplans'!I336&gt;0,1,0))=0,"",MAX(IF('Raw floorplans'!I336&gt;0,'Raw floorplans'!I336,0)))</x:f>
        <x:v>850</x:v>
      </x:c>
      <x:c r="L53" s="1" t="n">
        <x:v>0</x:v>
      </x:c>
      <x:c r="M53" s="1" t="n">
        <x:f>IF(AND(ISNUMBER(H53),ISNUMBER(I53),ISNUMBER(J53),ISNUMBER(K53),H53&gt;0,I53&gt;0),IF(OR(H53&lt;&gt;J53,I53&lt;&gt;K53),1,0),0)</x:f>
        <x:v>0</x:v>
      </x:c>
      <x:c r="N53" s="1" t="n">
        <x:f>IF(AND(ISNUMBER(H53),ISNUMBER(I53),H53&gt;0,I53&gt;=H53),1,0)</x:f>
        <x:v>1</x:v>
      </x:c>
      <x:c r="O53" s="1" t="n">
        <x:f>IF(AND(L53=0,M53=0,N53=1),1,0)</x:f>
        <x:v>1</x:v>
      </x:c>
      <x:c r="P53" s="7" t="n">
        <x:f>2*3958.7613*ASIN(SQRT(SIN(RADIANS(F53-35.77951)/2)^2+COS(RADIANS(35.77951))*COS(RADIANS(F53))*SIN(RADIANS(G53-(-78.68168))/2)^2))</x:f>
        <x:v>2.435520930724704</x:v>
      </x:c>
      <x:c r="Q53" s="1" t="str">
        <x:f>IF(P53&lt;=1,"0–1 mi",IF(P53&lt;=3,"&gt;1–3 mi",IF(P53&lt;=5,"&gt;3–5 mi","Outside 5 mi")))</x:f>
        <x:v>&gt;1–3 mi</x:v>
      </x:c>
      <x:c r="R53" s="7" t="n">
        <x:f>2*3958.7613*ASIN(SQRT(SIN(RADIANS(F53-35.7687)/2)^2+COS(RADIANS(35.7687))*COS(RADIANS(F53))*SIN(RADIANS(G53-(-78.6775))/2)^2))</x:f>
        <x:v>2.866761897462189</x:v>
      </x:c>
      <x:c r="S53" s="1" t="str">
        <x:f>IF(R53&lt;=1,"0–1 mi",IF(R53&lt;=3,"&gt;1–3 mi",IF(R53&lt;=5,"&gt;3–5 mi","Outside 5 mi")))</x:f>
        <x:v>&gt;1–3 mi</x:v>
      </x:c>
      <x:c r="T53" s="7" t="n">
        <x:f>2*3958.7613*ASIN(SQRT(SIN(RADIANS(F53-35.79847)/2)^2+COS(RADIANS(35.79847))*COS(RADIANS(F53))*SIN(RADIANS(G53-(-78.70408))/2)^2))</x:f>
        <x:v>1.4906627951073301</x:v>
      </x:c>
      <x:c r="U53" s="1" t="str">
        <x:f>IF(T53&lt;=1,"0–1 mi",IF(T53&lt;=3,"&gt;1–3 mi",IF(T53&lt;=5,"&gt;3–5 mi","Outside 5 mi")))</x:f>
        <x:v>&gt;1–3 mi</x:v>
      </x:c>
      <x:c r="V53" s="1" t="n">
        <x:f>IF(MIN(P53,R53,T53)&lt;=5,1,0)</x:f>
        <x:v>1</x:v>
      </x:c>
      <x:c r="W53" s="6" t="n">
        <x:f>IF(O53=1,(H53+I53)/2,"")</x:f>
        <x:v>850</x:v>
      </x:c>
      <x:c r="X53" s="1" t="n">
        <x:f>O53*V53</x:f>
        <x:v>1</x:v>
      </x:c>
      <x:c r="Y53" s="1" t="n">
        <x:v>0</x:v>
      </x:c>
      <x:c r="Z53" s="1" t="n">
        <x:v>0</x:v>
      </x:c>
      <x:c r="AA53" s="1" t="n">
        <x:v>0</x:v>
      </x:c>
      <x:c r="AB53" s="1" t="n">
        <x:v>0</x:v>
      </x:c>
      <x:c r="AC53" s="1" t="n">
        <x:v>0</x:v>
      </x:c>
      <x:c r="AD53" s="1" t="str">
        <x:f>IF('Raw properties'!Y53="","",'Raw properties'!Y53)</x:f>
        <x:v>12 Month Lease</x:v>
      </x:c>
      <x:c r="AE53" s="1" t="str">
        <x:v>1970-01-01</x:v>
      </x:c>
      <x:c r="AF53" s="1" t="str">
        <x:v>Included in rent means</x:v>
      </x:c>
      <x:c r="AG53" s="5" t="str">
        <x:v>Source pricing flag retained; automated consistency checks passed. This is not independent landlord verification.</x:v>
      </x:c>
      <x:c r="AH53" s="1" t="str">
        <x:v>$850</x:v>
      </x:c>
      <x:c r="AI53" s="8" t="n">
        <x:f>MIN(ABS(P53-1),ABS(P53-3),ABS(P53-5))*5280</x:f>
        <x:v>2980.4494857735635</x:v>
      </x:c>
      <x:c r="AJ53" s="8" t="n">
        <x:f>MIN(ABS(R53-1),ABS(R53-3),ABS(R53-5))*5280</x:f>
        <x:v>703.4971813996426</x:v>
      </x:c>
      <x:c r="AK53" s="8" t="n">
        <x:f>MIN(ABS(T53-1),ABS(T53-3),ABS(T53-5))*5280</x:f>
        <x:v>2590.699558166703</x:v>
      </x:c>
      <x:c r="AL53" s="1" t="n">
        <x:f>IF(MIN(AI53,AJ53,AK53)&lt;=100,1,0)</x:f>
        <x:v>0</x:v>
      </x:c>
    </x:row>
    <x:row r="54" ht="36" hidden="0" customHeight="1">
      <x:c r="A54" s="1" t="str">
        <x:f>IF('Raw properties'!A54="","",'Raw properties'!A54)</x:f>
        <x:v>9rxe6j6</x:v>
      </x:c>
      <x:c r="B54" s="1" t="str">
        <x:f>IF('Raw properties'!D54="","",'Raw properties'!D54)</x:f>
        <x:v>The Dakota</x:v>
      </x:c>
      <x:c r="C54" s="1" t="str">
        <x:f>IF('Raw properties'!AG54="","",'Raw properties'!AG54)</x:f>
        <x:v>https://offcampus.dasa.ncsu.edu/housing/property/the-dakota/9rxe6j6</x:v>
      </x:c>
      <x:c r="D54" s="1" t="str">
        <x:v>Whole unit</x:v>
      </x:c>
      <x:c r="E54" s="1" t="str">
        <x:v>Whole unit</x:v>
      </x:c>
      <x:c r="F54" s="7" t="n">
        <x:f>IF('Raw properties'!I54="","",'Raw properties'!I54)</x:f>
        <x:v>35.798105</x:v>
      </x:c>
      <x:c r="G54" s="7" t="n">
        <x:f>IF('Raw properties'!J54="","",'Raw properties'!J54)</x:f>
        <x:v>-78.735625</x:v>
      </x:c>
      <x:c r="H54" s="6" t="n">
        <x:f>IF('Raw properties'!M54="","",'Raw properties'!M54)</x:f>
        <x:v>1316</x:v>
      </x:c>
      <x:c r="I54" s="6" t="n">
        <x:f>IF('Raw properties'!N54="","",'Raw properties'!N54)</x:f>
        <x:v>2017</x:v>
      </x:c>
      <x:c r="J54" s="6" t="n">
        <x:f>IF((IF('Raw floorplans'!H337&gt;0,1,0)+IF('Raw floorplans'!H338&gt;0,1,0)+IF('Raw floorplans'!H339&gt;0,1,0)+IF('Raw floorplans'!H340&gt;0,1,0)+IF('Raw floorplans'!H341&gt;0,1,0)+IF('Raw floorplans'!H342&gt;0,1,0)+IF('Raw floorplans'!H343&gt;0,1,0)+IF('Raw floorplans'!H344&gt;0,1,0)+IF('Raw floorplans'!H345&gt;0,1,0)+IF('Raw floorplans'!H346&gt;0,1,0)+IF('Raw floorplans'!H347&gt;0,1,0)+IF('Raw floorplans'!H348&gt;0,1,0)+IF('Raw floorplans'!H349&gt;0,1,0)+IF('Raw floorplans'!H350&gt;0,1,0)+IF('Raw floorplans'!H351&gt;0,1,0)+IF('Raw floorplans'!H352&gt;0,1,0)+IF('Raw floorplans'!H353&gt;0,1,0)+IF('Raw floorplans'!H354&gt;0,1,0)+IF('Raw floorplans'!H355&gt;0,1,0))=0,"",MIN(IF('Raw floorplans'!H337&gt;0,'Raw floorplans'!H337,1E99),IF('Raw floorplans'!H338&gt;0,'Raw floorplans'!H338,1E99),IF('Raw floorplans'!H339&gt;0,'Raw floorplans'!H339,1E99),IF('Raw floorplans'!H340&gt;0,'Raw floorplans'!H340,1E99),IF('Raw floorplans'!H341&gt;0,'Raw floorplans'!H341,1E99),IF('Raw floorplans'!H342&gt;0,'Raw floorplans'!H342,1E99),IF('Raw floorplans'!H343&gt;0,'Raw floorplans'!H343,1E99),IF('Raw floorplans'!H344&gt;0,'Raw floorplans'!H344,1E99),IF('Raw floorplans'!H345&gt;0,'Raw floorplans'!H345,1E99),IF('Raw floorplans'!H346&gt;0,'Raw floorplans'!H346,1E99),IF('Raw floorplans'!H347&gt;0,'Raw floorplans'!H347,1E99),IF('Raw floorplans'!H348&gt;0,'Raw floorplans'!H348,1E99),IF('Raw floorplans'!H349&gt;0,'Raw floorplans'!H349,1E99),IF('Raw floorplans'!H350&gt;0,'Raw floorplans'!H350,1E99),IF('Raw floorplans'!H351&gt;0,'Raw floorplans'!H351,1E99),IF('Raw floorplans'!H352&gt;0,'Raw floorplans'!H352,1E99),IF('Raw floorplans'!H353&gt;0,'Raw floorplans'!H353,1E99),IF('Raw floorplans'!H354&gt;0,'Raw floorplans'!H354,1E99),IF('Raw floorplans'!H355&gt;0,'Raw floorplans'!H355,1E99)))</x:f>
        <x:v>1330</x:v>
      </x:c>
      <x:c r="K54" s="6" t="n">
        <x:f>IF((IF('Raw floorplans'!I337&gt;0,1,0)+IF('Raw floorplans'!I338&gt;0,1,0)+IF('Raw floorplans'!I339&gt;0,1,0)+IF('Raw floorplans'!I340&gt;0,1,0)+IF('Raw floorplans'!I341&gt;0,1,0)+IF('Raw floorplans'!I342&gt;0,1,0)+IF('Raw floorplans'!I343&gt;0,1,0)+IF('Raw floorplans'!I344&gt;0,1,0)+IF('Raw floorplans'!I345&gt;0,1,0)+IF('Raw floorplans'!I346&gt;0,1,0)+IF('Raw floorplans'!I347&gt;0,1,0)+IF('Raw floorplans'!I348&gt;0,1,0)+IF('Raw floorplans'!I349&gt;0,1,0)+IF('Raw floorplans'!I350&gt;0,1,0)+IF('Raw floorplans'!I351&gt;0,1,0)+IF('Raw floorplans'!I352&gt;0,1,0)+IF('Raw floorplans'!I353&gt;0,1,0)+IF('Raw floorplans'!I354&gt;0,1,0)+IF('Raw floorplans'!I355&gt;0,1,0))=0,"",MAX(IF('Raw floorplans'!I337&gt;0,'Raw floorplans'!I337,0),IF('Raw floorplans'!I338&gt;0,'Raw floorplans'!I338,0),IF('Raw floorplans'!I339&gt;0,'Raw floorplans'!I339,0),IF('Raw floorplans'!I340&gt;0,'Raw floorplans'!I340,0),IF('Raw floorplans'!I341&gt;0,'Raw floorplans'!I341,0),IF('Raw floorplans'!I342&gt;0,'Raw floorplans'!I342,0),IF('Raw floorplans'!I343&gt;0,'Raw floorplans'!I343,0),IF('Raw floorplans'!I344&gt;0,'Raw floorplans'!I344,0),IF('Raw floorplans'!I345&gt;0,'Raw floorplans'!I345,0),IF('Raw floorplans'!I346&gt;0,'Raw floorplans'!I346,0),IF('Raw floorplans'!I347&gt;0,'Raw floorplans'!I347,0),IF('Raw floorplans'!I348&gt;0,'Raw floorplans'!I348,0),IF('Raw floorplans'!I349&gt;0,'Raw floorplans'!I349,0),IF('Raw floorplans'!I350&gt;0,'Raw floorplans'!I350,0),IF('Raw floorplans'!I351&gt;0,'Raw floorplans'!I351,0),IF('Raw floorplans'!I352&gt;0,'Raw floorplans'!I352,0),IF('Raw floorplans'!I353&gt;0,'Raw floorplans'!I353,0),IF('Raw floorplans'!I354&gt;0,'Raw floorplans'!I354,0),IF('Raw floorplans'!I355&gt;0,'Raw floorplans'!I355,0)))</x:f>
        <x:v>2017</x:v>
      </x:c>
      <x:c r="L54" s="1" t="n">
        <x:v>0</x:v>
      </x:c>
      <x:c r="M54" s="1" t="n">
        <x:f>IF(AND(ISNUMBER(H54),ISNUMBER(I54),ISNUMBER(J54),ISNUMBER(K54),H54&gt;0,I54&gt;0),IF(OR(H54&lt;&gt;J54,I54&lt;&gt;K54),1,0),0)</x:f>
        <x:v>1</x:v>
      </x:c>
      <x:c r="N54" s="1" t="n">
        <x:f>IF(AND(ISNUMBER(H54),ISNUMBER(I54),H54&gt;0,I54&gt;=H54),1,0)</x:f>
        <x:v>1</x:v>
      </x:c>
      <x:c r="O54" s="1" t="n">
        <x:f>IF(AND(L54=0,M54=0,N54=1),1,0)</x:f>
        <x:v>0</x:v>
      </x:c>
      <x:c r="P54" s="7" t="n">
        <x:f>2*3958.7613*ASIN(SQRT(SIN(RADIANS(F54-35.77951)/2)^2+COS(RADIANS(35.77951))*COS(RADIANS(F54))*SIN(RADIANS(G54-(-78.68168))/2)^2))</x:f>
        <x:v>3.285117150379458</x:v>
      </x:c>
      <x:c r="Q54" s="1" t="str">
        <x:f>IF(P54&lt;=1,"0–1 mi",IF(P54&lt;=3,"&gt;1–3 mi",IF(P54&lt;=5,"&gt;3–5 mi","Outside 5 mi")))</x:f>
        <x:v>&gt;3–5 mi</x:v>
      </x:c>
      <x:c r="R54" s="7" t="n">
        <x:f>2*3958.7613*ASIN(SQRT(SIN(RADIANS(F54-35.7687)/2)^2+COS(RADIANS(35.7687))*COS(RADIANS(F54))*SIN(RADIANS(G54-(-78.6775))/2)^2))</x:f>
        <x:v>3.839538648279887</x:v>
      </x:c>
      <x:c r="S54" s="1" t="str">
        <x:f>IF(R54&lt;=1,"0–1 mi",IF(R54&lt;=3,"&gt;1–3 mi",IF(R54&lt;=5,"&gt;3–5 mi","Outside 5 mi")))</x:f>
        <x:v>&gt;3–5 mi</x:v>
      </x:c>
      <x:c r="T54" s="7" t="n">
        <x:f>2*3958.7613*ASIN(SQRT(SIN(RADIANS(F54-35.79847)/2)^2+COS(RADIANS(35.79847))*COS(RADIANS(F54))*SIN(RADIANS(G54-(-78.70408))/2)^2))</x:f>
        <x:v>1.7679736642537445</x:v>
      </x:c>
      <x:c r="U54" s="1" t="str">
        <x:f>IF(T54&lt;=1,"0–1 mi",IF(T54&lt;=3,"&gt;1–3 mi",IF(T54&lt;=5,"&gt;3–5 mi","Outside 5 mi")))</x:f>
        <x:v>&gt;1–3 mi</x:v>
      </x:c>
      <x:c r="V54" s="1" t="n">
        <x:f>IF(MIN(P54,R54,T54)&lt;=5,1,0)</x:f>
        <x:v>1</x:v>
      </x:c>
      <x:c r="W54" s="6" t="str">
        <x:f>IF(O54=1,(H54+I54)/2,"")</x:f>
      </x:c>
      <x:c r="X54" s="1" t="n">
        <x:f>O54*V54</x:f>
        <x:v>0</x:v>
      </x:c>
      <x:c r="Y54" s="1" t="n">
        <x:v>0</x:v>
      </x:c>
      <x:c r="Z54" s="1" t="n">
        <x:v>0</x:v>
      </x:c>
      <x:c r="AA54" s="1" t="n">
        <x:v>0</x:v>
      </x:c>
      <x:c r="AB54" s="1" t="n">
        <x:v>1</x:v>
      </x:c>
      <x:c r="AC54" s="1" t="n">
        <x:v>0</x:v>
      </x:c>
      <x:c r="AD54" s="1" t="str">
        <x:f>IF('Raw properties'!Y54="","",'Raw properties'!Y54)</x:f>
      </x:c>
      <x:c r="AE54" s="1" t="str">
        <x:v>2026-07-21</x:v>
      </x:c>
      <x:c r="AF54" s="1" t="str">
        <x:v>Excluded from rent means</x:v>
      </x:c>
      <x:c r="AG54" s="5" t="str">
        <x:v>Source pricing flag retained; automated consistency checks passed. This is not independent landlord verification. Search summary: $1316–$2017; saved floor-plan envelope: $1330–$2017. Difference may reflect fees, timing or scope; unresolved snapshot price excluded.</x:v>
      </x:c>
      <x:c r="AH54" s="1" t="str">
        <x:v>$1,316 - $2,017</x:v>
      </x:c>
      <x:c r="AI54" s="8" t="n">
        <x:f>MIN(ABS(P54-1),ABS(P54-3),ABS(P54-5))*5280</x:f>
        <x:v>1505.4185540035373</x:v>
      </x:c>
      <x:c r="AJ54" s="8" t="n">
        <x:f>MIN(ABS(R54-1),ABS(R54-3),ABS(R54-5))*5280</x:f>
        <x:v>4432.764062917802</x:v>
      </x:c>
      <x:c r="AK54" s="8" t="n">
        <x:f>MIN(ABS(T54-1),ABS(T54-3),ABS(T54-5))*5280</x:f>
        <x:v>4054.900947259771</x:v>
      </x:c>
      <x:c r="AL54" s="1" t="n">
        <x:f>IF(MIN(AI54,AJ54,AK54)&lt;=100,1,0)</x:f>
        <x:v>0</x:v>
      </x:c>
    </x:row>
    <x:row r="55" ht="15" hidden="0" customHeight="1">
      <x:c r="A55" s="1" t="str">
        <x:f>IF('Raw properties'!A55="","",'Raw properties'!A55)</x:f>
        <x:v>ocp5km4x4p</x:v>
      </x:c>
      <x:c r="B55" s="1" t="str">
        <x:f>IF('Raw properties'!D55="","",'Raw properties'!D55)</x:f>
        <x:v>Private Townhome in North Raleigh</x:v>
      </x:c>
      <x:c r="C55" s="1" t="str">
        <x:f>IF('Raw properties'!AG55="","",'Raw properties'!AG55)</x:f>
        <x:v>https://offcampus.dasa.ncsu.edu/housing/property/private-townhome-in-north-raleigh/ocp5km4x4p</x:v>
      </x:c>
      <x:c r="D55" s="1" t="str">
        <x:v>Whole unit</x:v>
      </x:c>
      <x:c r="E55" s="1" t="str">
        <x:v>Whole unit</x:v>
      </x:c>
      <x:c r="F55" s="7" t="n">
        <x:f>IF('Raw properties'!I55="","",'Raw properties'!I55)</x:f>
        <x:v>35.86681</x:v>
      </x:c>
      <x:c r="G55" s="7" t="n">
        <x:f>IF('Raw properties'!J55="","",'Raw properties'!J55)</x:f>
        <x:v>-78.69826</x:v>
      </x:c>
      <x:c r="H55" s="6" t="n">
        <x:f>IF('Raw properties'!M55="","",'Raw properties'!M55)</x:f>
        <x:v>1495</x:v>
      </x:c>
      <x:c r="I55" s="6" t="n">
        <x:f>IF('Raw properties'!N55="","",'Raw properties'!N55)</x:f>
        <x:v>1495</x:v>
      </x:c>
      <x:c r="J55" s="6" t="n">
        <x:f>IF((IF('Raw floorplans'!H356&gt;0,1,0))=0,"",MIN(IF('Raw floorplans'!H356&gt;0,'Raw floorplans'!H356,1E99)))</x:f>
        <x:v>1495</x:v>
      </x:c>
      <x:c r="K55" s="6" t="n">
        <x:f>IF((IF('Raw floorplans'!I356&gt;0,1,0))=0,"",MAX(IF('Raw floorplans'!I356&gt;0,'Raw floorplans'!I356,0)))</x:f>
        <x:v>1495</x:v>
      </x:c>
      <x:c r="L55" s="1" t="n">
        <x:v>0</x:v>
      </x:c>
      <x:c r="M55" s="1" t="n">
        <x:f>IF(AND(ISNUMBER(H55),ISNUMBER(I55),ISNUMBER(J55),ISNUMBER(K55),H55&gt;0,I55&gt;0),IF(OR(H55&lt;&gt;J55,I55&lt;&gt;K55),1,0),0)</x:f>
        <x:v>0</x:v>
      </x:c>
      <x:c r="N55" s="1" t="n">
        <x:f>IF(AND(ISNUMBER(H55),ISNUMBER(I55),H55&gt;0,I55&gt;=H55),1,0)</x:f>
        <x:v>1</x:v>
      </x:c>
      <x:c r="O55" s="1" t="n">
        <x:f>IF(AND(L55=0,M55=0,N55=1),1,0)</x:f>
        <x:v>1</x:v>
      </x:c>
      <x:c r="P55" s="7" t="n">
        <x:f>2*3958.7613*ASIN(SQRT(SIN(RADIANS(F55-35.77951)/2)^2+COS(RADIANS(35.77951))*COS(RADIANS(F55))*SIN(RADIANS(G55-(-78.68168))/2)^2))</x:f>
        <x:v>6.102954877711122</x:v>
      </x:c>
      <x:c r="Q55" s="1" t="str">
        <x:f>IF(P55&lt;=1,"0–1 mi",IF(P55&lt;=3,"&gt;1–3 mi",IF(P55&lt;=5,"&gt;3–5 mi","Outside 5 mi")))</x:f>
        <x:v>Outside 5 mi</x:v>
      </x:c>
      <x:c r="R55" s="7" t="n">
        <x:f>2*3958.7613*ASIN(SQRT(SIN(RADIANS(F55-35.7687)/2)^2+COS(RADIANS(35.7687))*COS(RADIANS(F55))*SIN(RADIANS(G55-(-78.6775))/2)^2))</x:f>
        <x:v>6.877816169977355</x:v>
      </x:c>
      <x:c r="S55" s="1" t="str">
        <x:f>IF(R55&lt;=1,"0–1 mi",IF(R55&lt;=3,"&gt;1–3 mi",IF(R55&lt;=5,"&gt;3–5 mi","Outside 5 mi")))</x:f>
        <x:v>Outside 5 mi</x:v>
      </x:c>
      <x:c r="T55" s="7" t="n">
        <x:f>2*3958.7613*ASIN(SQRT(SIN(RADIANS(F55-35.79847)/2)^2+COS(RADIANS(35.79847))*COS(RADIANS(F55))*SIN(RADIANS(G55-(-78.70408))/2)^2))</x:f>
        <x:v>4.73308548440394</x:v>
      </x:c>
      <x:c r="U55" s="1" t="str">
        <x:f>IF(T55&lt;=1,"0–1 mi",IF(T55&lt;=3,"&gt;1–3 mi",IF(T55&lt;=5,"&gt;3–5 mi","Outside 5 mi")))</x:f>
        <x:v>&gt;3–5 mi</x:v>
      </x:c>
      <x:c r="V55" s="1" t="n">
        <x:f>IF(MIN(P55,R55,T55)&lt;=5,1,0)</x:f>
        <x:v>1</x:v>
      </x:c>
      <x:c r="W55" s="6" t="n">
        <x:f>IF(O55=1,(H55+I55)/2,"")</x:f>
        <x:v>1495</x:v>
      </x:c>
      <x:c r="X55" s="1" t="n">
        <x:f>O55*V55</x:f>
        <x:v>1</x:v>
      </x:c>
      <x:c r="Y55" s="1" t="n">
        <x:v>0</x:v>
      </x:c>
      <x:c r="Z55" s="1" t="n">
        <x:v>0</x:v>
      </x:c>
      <x:c r="AA55" s="1" t="n">
        <x:v>0</x:v>
      </x:c>
      <x:c r="AB55" s="1" t="n">
        <x:v>0</x:v>
      </x:c>
      <x:c r="AC55" s="1" t="n">
        <x:v>0</x:v>
      </x:c>
      <x:c r="AD55" s="1" t="str">
        <x:f>IF('Raw properties'!Y55="","",'Raw properties'!Y55)</x:f>
        <x:v>12 Month Lease</x:v>
      </x:c>
      <x:c r="AE55" s="1" t="str">
        <x:v>1970-01-01</x:v>
      </x:c>
      <x:c r="AF55" s="1" t="str">
        <x:v>Included in rent means</x:v>
      </x:c>
      <x:c r="AG55" s="5" t="str">
        <x:v>Source pricing flag retained; automated consistency checks passed. This is not independent landlord verification.</x:v>
      </x:c>
      <x:c r="AH55" s="1" t="str">
        <x:v>$1,495</x:v>
      </x:c>
      <x:c r="AI55" s="8" t="n">
        <x:f>MIN(ABS(P55-1),ABS(P55-3),ABS(P55-5))*5280</x:f>
        <x:v>5823.6017543147245</x:v>
      </x:c>
      <x:c r="AJ55" s="8" t="n">
        <x:f>MIN(ABS(R55-1),ABS(R55-3),ABS(R55-5))*5280</x:f>
        <x:v>9914.869377480434</x:v>
      </x:c>
      <x:c r="AK55" s="8" t="n">
        <x:f>MIN(ABS(T55-1),ABS(T55-3),ABS(T55-5))*5280</x:f>
        <x:v>1409.3086423471964</x:v>
      </x:c>
      <x:c r="AL55" s="1" t="n">
        <x:f>IF(MIN(AI55,AJ55,AK55)&lt;=100,1,0)</x:f>
        <x:v>0</x:v>
      </x:c>
    </x:row>
    <x:row r="56" ht="15" hidden="0" customHeight="1">
      <x:c r="A56" s="1" t="str">
        <x:f>IF('Raw properties'!A56="","",'Raw properties'!A56)</x:f>
        <x:v>xr4rsmq</x:v>
      </x:c>
      <x:c r="B56" s="1" t="str">
        <x:f>IF('Raw properties'!D56="","",'Raw properties'!D56)</x:f>
        <x:v>Pine Knoll Apartments</x:v>
      </x:c>
      <x:c r="C56" s="1" t="str">
        <x:f>IF('Raw properties'!AG56="","",'Raw properties'!AG56)</x:f>
        <x:v>https://offcampus.dasa.ncsu.edu/housing/property/pine-knoll-apartments/xr4rsmq</x:v>
      </x:c>
      <x:c r="D56" s="1" t="str">
        <x:v>Whole unit</x:v>
      </x:c>
      <x:c r="E56" s="1" t="str">
        <x:v>Whole unit</x:v>
      </x:c>
      <x:c r="F56" s="7" t="n">
        <x:f>IF('Raw properties'!I56="","",'Raw properties'!I56)</x:f>
        <x:v>35.773534</x:v>
      </x:c>
      <x:c r="G56" s="7" t="n">
        <x:f>IF('Raw properties'!J56="","",'Raw properties'!J56)</x:f>
        <x:v>-78.682627</x:v>
      </x:c>
      <x:c r="H56" s="6" t="n">
        <x:f>IF('Raw properties'!M56="","",'Raw properties'!M56)</x:f>
        <x:v>1095</x:v>
      </x:c>
      <x:c r="I56" s="6" t="n">
        <x:f>IF('Raw properties'!N56="","",'Raw properties'!N56)</x:f>
        <x:v>1095</x:v>
      </x:c>
      <x:c r="J56" s="6" t="n">
        <x:f>IF((IF('Raw floorplans'!H357&gt;0,1,0))=0,"",MIN(IF('Raw floorplans'!H357&gt;0,'Raw floorplans'!H357,1E99)))</x:f>
        <x:v>1095</x:v>
      </x:c>
      <x:c r="K56" s="6" t="n">
        <x:f>IF((IF('Raw floorplans'!I357&gt;0,1,0))=0,"",MAX(IF('Raw floorplans'!I357&gt;0,'Raw floorplans'!I357,0)))</x:f>
        <x:v>1095</x:v>
      </x:c>
      <x:c r="L56" s="1" t="n">
        <x:v>0</x:v>
      </x:c>
      <x:c r="M56" s="1" t="n">
        <x:f>IF(AND(ISNUMBER(H56),ISNUMBER(I56),ISNUMBER(J56),ISNUMBER(K56),H56&gt;0,I56&gt;0),IF(OR(H56&lt;&gt;J56,I56&lt;&gt;K56),1,0),0)</x:f>
        <x:v>0</x:v>
      </x:c>
      <x:c r="N56" s="1" t="n">
        <x:f>IF(AND(ISNUMBER(H56),ISNUMBER(I56),H56&gt;0,I56&gt;=H56),1,0)</x:f>
        <x:v>1</x:v>
      </x:c>
      <x:c r="O56" s="1" t="n">
        <x:f>IF(AND(L56=0,M56=0,N56=1),1,0)</x:f>
        <x:v>1</x:v>
      </x:c>
      <x:c r="P56" s="7" t="n">
        <x:f>2*3958.7613*ASIN(SQRT(SIN(RADIANS(F56-35.77951)/2)^2+COS(RADIANS(35.77951))*COS(RADIANS(F56))*SIN(RADIANS(G56-(-78.68168))/2)^2))</x:f>
        <x:v>0.4163007079987565</x:v>
      </x:c>
      <x:c r="Q56" s="1" t="str">
        <x:f>IF(P56&lt;=1,"0–1 mi",IF(P56&lt;=3,"&gt;1–3 mi",IF(P56&lt;=5,"&gt;3–5 mi","Outside 5 mi")))</x:f>
        <x:v>0–1 mi</x:v>
      </x:c>
      <x:c r="R56" s="7" t="n">
        <x:f>2*3958.7613*ASIN(SQRT(SIN(RADIANS(F56-35.7687)/2)^2+COS(RADIANS(35.7687))*COS(RADIANS(F56))*SIN(RADIANS(G56-(-78.6775))/2)^2))</x:f>
        <x:v>0.4406393861127004</x:v>
      </x:c>
      <x:c r="S56" s="1" t="str">
        <x:f>IF(R56&lt;=1,"0–1 mi",IF(R56&lt;=3,"&gt;1–3 mi",IF(R56&lt;=5,"&gt;3–5 mi","Outside 5 mi")))</x:f>
        <x:v>0–1 mi</x:v>
      </x:c>
      <x:c r="T56" s="7" t="n">
        <x:f>2*3958.7613*ASIN(SQRT(SIN(RADIANS(F56-35.79847)/2)^2+COS(RADIANS(35.79847))*COS(RADIANS(F56))*SIN(RADIANS(G56-(-78.70408))/2)^2))</x:f>
        <x:v>2.101010492443839</x:v>
      </x:c>
      <x:c r="U56" s="1" t="str">
        <x:f>IF(T56&lt;=1,"0–1 mi",IF(T56&lt;=3,"&gt;1–3 mi",IF(T56&lt;=5,"&gt;3–5 mi","Outside 5 mi")))</x:f>
        <x:v>&gt;1–3 mi</x:v>
      </x:c>
      <x:c r="V56" s="1" t="n">
        <x:f>IF(MIN(P56,R56,T56)&lt;=5,1,0)</x:f>
        <x:v>1</x:v>
      </x:c>
      <x:c r="W56" s="6" t="n">
        <x:f>IF(O56=1,(H56+I56)/2,"")</x:f>
        <x:v>1095</x:v>
      </x:c>
      <x:c r="X56" s="1" t="n">
        <x:f>O56*V56</x:f>
        <x:v>1</x:v>
      </x:c>
      <x:c r="Y56" s="1" t="n">
        <x:v>0</x:v>
      </x:c>
      <x:c r="Z56" s="1" t="n">
        <x:v>0</x:v>
      </x:c>
      <x:c r="AA56" s="1" t="n">
        <x:v>0</x:v>
      </x:c>
      <x:c r="AB56" s="1" t="n">
        <x:v>0</x:v>
      </x:c>
      <x:c r="AC56" s="1" t="n">
        <x:v>0</x:v>
      </x:c>
      <x:c r="AD56" s="1" t="str">
        <x:f>IF('Raw properties'!Y56="","",'Raw properties'!Y56)</x:f>
      </x:c>
      <x:c r="AE56" s="1" t="str"/>
      <x:c r="AF56" s="1" t="str">
        <x:v>Included in rent means</x:v>
      </x:c>
      <x:c r="AG56" s="5" t="str">
        <x:v>Source pricing flag retained; automated consistency checks passed. This is not independent landlord verification.</x:v>
      </x:c>
      <x:c r="AH56" s="1" t="str">
        <x:v>$1,095</x:v>
      </x:c>
      <x:c r="AI56" s="8" t="n">
        <x:f>MIN(ABS(P56-1),ABS(P56-3),ABS(P56-5))*5280</x:f>
        <x:v>3081.9322617665657</x:v>
      </x:c>
      <x:c r="AJ56" s="8" t="n">
        <x:f>MIN(ABS(R56-1),ABS(R56-3),ABS(R56-5))*5280</x:f>
        <x:v>2953.4240413249413</x:v>
      </x:c>
      <x:c r="AK56" s="8" t="n">
        <x:f>MIN(ABS(T56-1),ABS(T56-3),ABS(T56-5))*5280</x:f>
        <x:v>4746.66459989653</x:v>
      </x:c>
      <x:c r="AL56" s="1" t="n">
        <x:f>IF(MIN(AI56,AJ56,AK56)&lt;=100,1,0)</x:f>
        <x:v>0</x:v>
      </x:c>
    </x:row>
    <x:row r="57" ht="15" hidden="0" customHeight="1">
      <x:c r="A57" s="1" t="str">
        <x:f>IF('Raw properties'!A57="","",'Raw properties'!A57)</x:f>
        <x:v>ocpwwwe8yh</x:v>
      </x:c>
      <x:c r="B57" s="1" t="str">
        <x:f>IF('Raw properties'!D57="","",'Raw properties'!D57)</x:f>
        <x:v>FURNISHED TOWNHOME RENTAL – 10 Mins to NCSU - 3 Bedroom - starting $750 per room</x:v>
      </x:c>
      <x:c r="C57" s="1" t="str">
        <x:f>IF('Raw properties'!AG57="","",'Raw properties'!AG57)</x:f>
        <x:v>https://offcampus.dasa.ncsu.edu/housing/property/furnished-townhome-rental-10-mins-to-ncsu-3-bedroom-starting-750-per-room/ocpwwwe8yh</x:v>
      </x:c>
      <x:c r="D57" s="1" t="str">
        <x:v>Per bedroom</x:v>
      </x:c>
      <x:c r="E57" s="1" t="str">
        <x:v>Per bedroom</x:v>
      </x:c>
      <x:c r="F57" s="7" t="n">
        <x:f>IF('Raw properties'!I57="","",'Raw properties'!I57)</x:f>
        <x:v>35.739252</x:v>
      </x:c>
      <x:c r="G57" s="7" t="n">
        <x:f>IF('Raw properties'!J57="","",'Raw properties'!J57)</x:f>
        <x:v>-78.628621</x:v>
      </x:c>
      <x:c r="H57" s="6" t="n">
        <x:f>IF('Raw properties'!M57="","",'Raw properties'!M57)</x:f>
        <x:v>750</x:v>
      </x:c>
      <x:c r="I57" s="6" t="n">
        <x:f>IF('Raw properties'!N57="","",'Raw properties'!N57)</x:f>
        <x:v>750</x:v>
      </x:c>
      <x:c r="J57" s="6" t="n">
        <x:f>IF((IF('Raw floorplans'!H358&gt;0,1,0))=0,"",MIN(IF('Raw floorplans'!H358&gt;0,'Raw floorplans'!H358,1E99)))</x:f>
        <x:v>750</x:v>
      </x:c>
      <x:c r="K57" s="6" t="n">
        <x:f>IF((IF('Raw floorplans'!I358&gt;0,1,0))=0,"",MAX(IF('Raw floorplans'!I358&gt;0,'Raw floorplans'!I358,0)))</x:f>
        <x:v>750</x:v>
      </x:c>
      <x:c r="L57" s="1" t="n">
        <x:v>0</x:v>
      </x:c>
      <x:c r="M57" s="1" t="n">
        <x:f>IF(AND(ISNUMBER(H57),ISNUMBER(I57),ISNUMBER(J57),ISNUMBER(K57),H57&gt;0,I57&gt;0),IF(OR(H57&lt;&gt;J57,I57&lt;&gt;K57),1,0),0)</x:f>
        <x:v>0</x:v>
      </x:c>
      <x:c r="N57" s="1" t="n">
        <x:f>IF(AND(ISNUMBER(H57),ISNUMBER(I57),H57&gt;0,I57&gt;=H57),1,0)</x:f>
        <x:v>1</x:v>
      </x:c>
      <x:c r="O57" s="1" t="n">
        <x:f>IF(AND(L57=0,M57=0,N57=1),1,0)</x:f>
        <x:v>1</x:v>
      </x:c>
      <x:c r="P57" s="7" t="n">
        <x:f>2*3958.7613*ASIN(SQRT(SIN(RADIANS(F57-35.77951)/2)^2+COS(RADIANS(35.77951))*COS(RADIANS(F57))*SIN(RADIANS(G57-(-78.68168))/2)^2))</x:f>
        <x:v>4.072730365284002</x:v>
      </x:c>
      <x:c r="Q57" s="1" t="str">
        <x:f>IF(P57&lt;=1,"0–1 mi",IF(P57&lt;=3,"&gt;1–3 mi",IF(P57&lt;=5,"&gt;3–5 mi","Outside 5 mi")))</x:f>
        <x:v>&gt;3–5 mi</x:v>
      </x:c>
      <x:c r="R57" s="7" t="n">
        <x:f>2*3958.7613*ASIN(SQRT(SIN(RADIANS(F57-35.7687)/2)^2+COS(RADIANS(35.7687))*COS(RADIANS(F57))*SIN(RADIANS(G57-(-78.6775))/2)^2))</x:f>
        <x:v>3.4134183517210834</x:v>
      </x:c>
      <x:c r="S57" s="1" t="str">
        <x:f>IF(R57&lt;=1,"0–1 mi",IF(R57&lt;=3,"&gt;1–3 mi",IF(R57&lt;=5,"&gt;3–5 mi","Outside 5 mi")))</x:f>
        <x:v>&gt;3–5 mi</x:v>
      </x:c>
      <x:c r="T57" s="7" t="n">
        <x:f>2*3958.7613*ASIN(SQRT(SIN(RADIANS(F57-35.79847)/2)^2+COS(RADIANS(35.79847))*COS(RADIANS(F57))*SIN(RADIANS(G57-(-78.70408))/2)^2))</x:f>
        <x:v>5.88528279559682</x:v>
      </x:c>
      <x:c r="U57" s="1" t="str">
        <x:f>IF(T57&lt;=1,"0–1 mi",IF(T57&lt;=3,"&gt;1–3 mi",IF(T57&lt;=5,"&gt;3–5 mi","Outside 5 mi")))</x:f>
        <x:v>Outside 5 mi</x:v>
      </x:c>
      <x:c r="V57" s="1" t="n">
        <x:f>IF(MIN(P57,R57,T57)&lt;=5,1,0)</x:f>
        <x:v>1</x:v>
      </x:c>
      <x:c r="W57" s="6" t="n">
        <x:f>IF(O57=1,(H57+I57)/2,"")</x:f>
        <x:v>750</x:v>
      </x:c>
      <x:c r="X57" s="1" t="n">
        <x:f>O57*V57</x:f>
        <x:v>1</x:v>
      </x:c>
      <x:c r="Y57" s="1" t="n">
        <x:v>0</x:v>
      </x:c>
      <x:c r="Z57" s="1" t="n">
        <x:v>0</x:v>
      </x:c>
      <x:c r="AA57" s="1" t="n">
        <x:v>0</x:v>
      </x:c>
      <x:c r="AB57" s="1" t="n">
        <x:v>0</x:v>
      </x:c>
      <x:c r="AC57" s="1" t="n">
        <x:v>0</x:v>
      </x:c>
      <x:c r="AD57" s="1" t="str">
        <x:f>IF('Raw properties'!Y57="","",'Raw properties'!Y57)</x:f>
        <x:v>12 Month Lease</x:v>
      </x:c>
      <x:c r="AE57" s="1" t="str">
        <x:v>2026-08-01</x:v>
      </x:c>
      <x:c r="AF57" s="1" t="str">
        <x:v>Included in rent means</x:v>
      </x:c>
      <x:c r="AG57" s="5" t="str">
        <x:v>Source pricing flag retained; automated consistency checks passed. This is not independent landlord verification.</x:v>
      </x:c>
      <x:c r="AH57" s="1" t="str">
        <x:v>$750</x:v>
      </x:c>
      <x:c r="AI57" s="8" t="n">
        <x:f>MIN(ABS(P57-1),ABS(P57-3),ABS(P57-5))*5280</x:f>
        <x:v>4895.983671300469</x:v>
      </x:c>
      <x:c r="AJ57" s="8" t="n">
        <x:f>MIN(ABS(R57-1),ABS(R57-3),ABS(R57-5))*5280</x:f>
        <x:v>2182.8488970873204</x:v>
      </x:c>
      <x:c r="AK57" s="8" t="n">
        <x:f>MIN(ABS(T57-1),ABS(T57-3),ABS(T57-5))*5280</x:f>
        <x:v>4674.293160751208</x:v>
      </x:c>
      <x:c r="AL57" s="1" t="n">
        <x:f>IF(MIN(AI57,AJ57,AK57)&lt;=100,1,0)</x:f>
        <x:v>0</x:v>
      </x:c>
    </x:row>
    <x:row r="58" ht="15" hidden="0" customHeight="1">
      <x:c r="A58" s="1" t="str">
        <x:f>IF('Raw properties'!A58="","",'Raw properties'!A58)</x:f>
        <x:v>5je4q3n</x:v>
      </x:c>
      <x:c r="B58" s="1" t="str">
        <x:f>IF('Raw properties'!D58="","",'Raw properties'!D58)</x:f>
        <x:v>Signature 1505</x:v>
      </x:c>
      <x:c r="C58" s="1" t="str">
        <x:f>IF('Raw properties'!AG58="","",'Raw properties'!AG58)</x:f>
        <x:v>https://offcampus.dasa.ncsu.edu/housing/property/signature-1505/5je4q3n</x:v>
      </x:c>
      <x:c r="D58" s="1" t="str">
        <x:v>Per bedroom</x:v>
      </x:c>
      <x:c r="E58" s="1" t="str">
        <x:v>Per bedroom</x:v>
      </x:c>
      <x:c r="F58" s="7" t="n">
        <x:f>IF('Raw properties'!I58="","",'Raw properties'!I58)</x:f>
        <x:v>35.78383</x:v>
      </x:c>
      <x:c r="G58" s="7" t="n">
        <x:f>IF('Raw properties'!J58="","",'Raw properties'!J58)</x:f>
        <x:v>-78.658382</x:v>
      </x:c>
      <x:c r="H58" s="6" t="n">
        <x:f>IF('Raw properties'!M58="","",'Raw properties'!M58)</x:f>
        <x:v>650</x:v>
      </x:c>
      <x:c r="I58" s="6" t="n">
        <x:f>IF('Raw properties'!N58="","",'Raw properties'!N58)</x:f>
        <x:v>1305</x:v>
      </x:c>
      <x:c r="J58" s="6" t="n">
        <x:f>IF((IF('Raw floorplans'!H359&gt;0,1,0)+IF('Raw floorplans'!H360&gt;0,1,0)+IF('Raw floorplans'!H361&gt;0,1,0)+IF('Raw floorplans'!H362&gt;0,1,0)+IF('Raw floorplans'!H363&gt;0,1,0)+IF('Raw floorplans'!H364&gt;0,1,0)+IF('Raw floorplans'!H365&gt;0,1,0))=0,"",MIN(IF('Raw floorplans'!H359&gt;0,'Raw floorplans'!H359,1E99),IF('Raw floorplans'!H360&gt;0,'Raw floorplans'!H360,1E99),IF('Raw floorplans'!H361&gt;0,'Raw floorplans'!H361,1E99),IF('Raw floorplans'!H362&gt;0,'Raw floorplans'!H362,1E99),IF('Raw floorplans'!H363&gt;0,'Raw floorplans'!H363,1E99),IF('Raw floorplans'!H364&gt;0,'Raw floorplans'!H364,1E99),IF('Raw floorplans'!H365&gt;0,'Raw floorplans'!H365,1E99)))</x:f>
        <x:v>650</x:v>
      </x:c>
      <x:c r="K58" s="6" t="n">
        <x:f>IF((IF('Raw floorplans'!I359&gt;0,1,0)+IF('Raw floorplans'!I360&gt;0,1,0)+IF('Raw floorplans'!I361&gt;0,1,0)+IF('Raw floorplans'!I362&gt;0,1,0)+IF('Raw floorplans'!I363&gt;0,1,0)+IF('Raw floorplans'!I364&gt;0,1,0)+IF('Raw floorplans'!I365&gt;0,1,0))=0,"",MAX(IF('Raw floorplans'!I359&gt;0,'Raw floorplans'!I359,0),IF('Raw floorplans'!I360&gt;0,'Raw floorplans'!I360,0),IF('Raw floorplans'!I361&gt;0,'Raw floorplans'!I361,0),IF('Raw floorplans'!I362&gt;0,'Raw floorplans'!I362,0),IF('Raw floorplans'!I363&gt;0,'Raw floorplans'!I363,0),IF('Raw floorplans'!I364&gt;0,'Raw floorplans'!I364,0),IF('Raw floorplans'!I365&gt;0,'Raw floorplans'!I365,0)))</x:f>
        <x:v>1305</x:v>
      </x:c>
      <x:c r="L58" s="1" t="n">
        <x:v>0</x:v>
      </x:c>
      <x:c r="M58" s="1" t="n">
        <x:f>IF(AND(ISNUMBER(H58),ISNUMBER(I58),ISNUMBER(J58),ISNUMBER(K58),H58&gt;0,I58&gt;0),IF(OR(H58&lt;&gt;J58,I58&lt;&gt;K58),1,0),0)</x:f>
        <x:v>0</x:v>
      </x:c>
      <x:c r="N58" s="1" t="n">
        <x:f>IF(AND(ISNUMBER(H58),ISNUMBER(I58),H58&gt;0,I58&gt;=H58),1,0)</x:f>
        <x:v>1</x:v>
      </x:c>
      <x:c r="O58" s="1" t="n">
        <x:f>IF(AND(L58=0,M58=0,N58=1),1,0)</x:f>
        <x:v>1</x:v>
      </x:c>
      <x:c r="P58" s="7" t="n">
        <x:f>2*3958.7613*ASIN(SQRT(SIN(RADIANS(F58-35.77951)/2)^2+COS(RADIANS(35.77951))*COS(RADIANS(F58))*SIN(RADIANS(G58-(-78.68168))/2)^2))</x:f>
        <x:v>1.339579030176162</x:v>
      </x:c>
      <x:c r="Q58" s="1" t="str">
        <x:f>IF(P58&lt;=1,"0–1 mi",IF(P58&lt;=3,"&gt;1–3 mi",IF(P58&lt;=5,"&gt;3–5 mi","Outside 5 mi")))</x:f>
        <x:v>&gt;1–3 mi</x:v>
      </x:c>
      <x:c r="R58" s="7" t="n">
        <x:f>2*3958.7613*ASIN(SQRT(SIN(RADIANS(F58-35.7687)/2)^2+COS(RADIANS(35.7687))*COS(RADIANS(F58))*SIN(RADIANS(G58-(-78.6775))/2)^2))</x:f>
        <x:v>1.497103154260487</x:v>
      </x:c>
      <x:c r="S58" s="1" t="str">
        <x:f>IF(R58&lt;=1,"0–1 mi",IF(R58&lt;=3,"&gt;1–3 mi",IF(R58&lt;=5,"&gt;3–5 mi","Outside 5 mi")))</x:f>
        <x:v>&gt;1–3 mi</x:v>
      </x:c>
      <x:c r="T58" s="7" t="n">
        <x:f>2*3958.7613*ASIN(SQRT(SIN(RADIANS(F58-35.79847)/2)^2+COS(RADIANS(35.79847))*COS(RADIANS(F58))*SIN(RADIANS(G58-(-78.70408))/2)^2))</x:f>
        <x:v>2.753678573077496</x:v>
      </x:c>
      <x:c r="U58" s="1" t="str">
        <x:f>IF(T58&lt;=1,"0–1 mi",IF(T58&lt;=3,"&gt;1–3 mi",IF(T58&lt;=5,"&gt;3–5 mi","Outside 5 mi")))</x:f>
        <x:v>&gt;1–3 mi</x:v>
      </x:c>
      <x:c r="V58" s="1" t="n">
        <x:f>IF(MIN(P58,R58,T58)&lt;=5,1,0)</x:f>
        <x:v>1</x:v>
      </x:c>
      <x:c r="W58" s="6" t="n">
        <x:f>IF(O58=1,(H58+I58)/2,"")</x:f>
        <x:v>977.5</x:v>
      </x:c>
      <x:c r="X58" s="1" t="n">
        <x:f>O58*V58</x:f>
        <x:v>1</x:v>
      </x:c>
      <x:c r="Y58" s="1" t="n">
        <x:v>0</x:v>
      </x:c>
      <x:c r="Z58" s="1" t="n">
        <x:v>0</x:v>
      </x:c>
      <x:c r="AA58" s="1" t="n">
        <x:v>0</x:v>
      </x:c>
      <x:c r="AB58" s="1" t="n">
        <x:v>1</x:v>
      </x:c>
      <x:c r="AC58" s="1" t="n">
        <x:v>0</x:v>
      </x:c>
      <x:c r="AD58" s="1" t="str">
        <x:f>IF('Raw properties'!Y58="","",'Raw properties'!Y58)</x:f>
        <x:v>11 Month Lease</x:v>
      </x:c>
      <x:c r="AE58" s="1" t="str">
        <x:v>2025-08-13</x:v>
      </x:c>
      <x:c r="AF58" s="1" t="str">
        <x:v>Included in rent means</x:v>
      </x:c>
      <x:c r="AG58" s="5" t="str">
        <x:v>Source pricing flag retained; automated consistency checks passed. This is not independent landlord verification.</x:v>
      </x:c>
      <x:c r="AH58" s="1" t="str">
        <x:v>$650 - $1,305</x:v>
      </x:c>
      <x:c r="AI58" s="8" t="n">
        <x:f>MIN(ABS(P58-1),ABS(P58-3),ABS(P58-5))*5280</x:f>
        <x:v>1792.9772793301358</x:v>
      </x:c>
      <x:c r="AJ58" s="8" t="n">
        <x:f>MIN(ABS(R58-1),ABS(R58-3),ABS(R58-5))*5280</x:f>
        <x:v>2624.704654495371</x:v>
      </x:c>
      <x:c r="AK58" s="8" t="n">
        <x:f>MIN(ABS(T58-1),ABS(T58-3),ABS(T58-5))*5280</x:f>
        <x:v>1300.5771341508212</x:v>
      </x:c>
      <x:c r="AL58" s="1" t="n">
        <x:f>IF(MIN(AI58,AJ58,AK58)&lt;=100,1,0)</x:f>
        <x:v>0</x:v>
      </x:c>
    </x:row>
    <x:row r="59" ht="15" hidden="0" customHeight="1">
      <x:c r="A59" s="1" t="str">
        <x:f>IF('Raw properties'!A59="","",'Raw properties'!A59)</x:f>
        <x:v>ocptf3fhqb</x:v>
      </x:c>
      <x:c r="B59" s="1" t="str">
        <x:f>IF('Raw properties'!D59="","",'Raw properties'!D59)</x:f>
        <x:v>Spacious 2BD/1BA apartment available 08/01/26- 1 block from the NCSU McKimmon Center!</x:v>
      </x:c>
      <x:c r="C59" s="1" t="str">
        <x:f>IF('Raw properties'!AG59="","",'Raw properties'!AG59)</x:f>
        <x:v>https://offcampus.dasa.ncsu.edu/housing/property/spacious-2bd-1ba-apartment-available-08-01-26-1-block-from-the-ncsu-mckimmon-center/ocptf3fhqb</x:v>
      </x:c>
      <x:c r="D59" s="1" t="str">
        <x:v>Whole unit</x:v>
      </x:c>
      <x:c r="E59" s="1" t="str">
        <x:v>Whole unit</x:v>
      </x:c>
      <x:c r="F59" s="7" t="n">
        <x:f>IF('Raw properties'!I59="","",'Raw properties'!I59)</x:f>
        <x:v>35.7814</x:v>
      </x:c>
      <x:c r="G59" s="7" t="n">
        <x:f>IF('Raw properties'!J59="","",'Raw properties'!J59)</x:f>
        <x:v>-78.688225</x:v>
      </x:c>
      <x:c r="H59" s="6" t="n">
        <x:f>IF('Raw properties'!M59="","",'Raw properties'!M59)</x:f>
        <x:v>1200</x:v>
      </x:c>
      <x:c r="I59" s="6" t="n">
        <x:f>IF('Raw properties'!N59="","",'Raw properties'!N59)</x:f>
        <x:v>1200</x:v>
      </x:c>
      <x:c r="J59" s="6" t="n">
        <x:f>IF((IF('Raw floorplans'!H366&gt;0,1,0))=0,"",MIN(IF('Raw floorplans'!H366&gt;0,'Raw floorplans'!H366,1E99)))</x:f>
        <x:v>1200</x:v>
      </x:c>
      <x:c r="K59" s="6" t="n">
        <x:f>IF((IF('Raw floorplans'!I366&gt;0,1,0))=0,"",MAX(IF('Raw floorplans'!I366&gt;0,'Raw floorplans'!I366,0)))</x:f>
        <x:v>1200</x:v>
      </x:c>
      <x:c r="L59" s="1" t="n">
        <x:v>0</x:v>
      </x:c>
      <x:c r="M59" s="1" t="n">
        <x:f>IF(AND(ISNUMBER(H59),ISNUMBER(I59),ISNUMBER(J59),ISNUMBER(K59),H59&gt;0,I59&gt;0),IF(OR(H59&lt;&gt;J59,I59&lt;&gt;K59),1,0),0)</x:f>
        <x:v>0</x:v>
      </x:c>
      <x:c r="N59" s="1" t="n">
        <x:f>IF(AND(ISNUMBER(H59),ISNUMBER(I59),H59&gt;0,I59&gt;=H59),1,0)</x:f>
        <x:v>1</x:v>
      </x:c>
      <x:c r="O59" s="1" t="n">
        <x:f>IF(AND(L59=0,M59=0,N59=1),1,0)</x:f>
        <x:v>1</x:v>
      </x:c>
      <x:c r="P59" s="7" t="n">
        <x:f>2*3958.7613*ASIN(SQRT(SIN(RADIANS(F59-35.77951)/2)^2+COS(RADIANS(35.77951))*COS(RADIANS(F59))*SIN(RADIANS(G59-(-78.68168))/2)^2))</x:f>
        <x:v>0.38941488259119367</x:v>
      </x:c>
      <x:c r="Q59" s="1" t="str">
        <x:f>IF(P59&lt;=1,"0–1 mi",IF(P59&lt;=3,"&gt;1–3 mi",IF(P59&lt;=5,"&gt;3–5 mi","Outside 5 mi")))</x:f>
        <x:v>0–1 mi</x:v>
      </x:c>
      <x:c r="R59" s="7" t="n">
        <x:f>2*3958.7613*ASIN(SQRT(SIN(RADIANS(F59-35.7687)/2)^2+COS(RADIANS(35.7687))*COS(RADIANS(F59))*SIN(RADIANS(G59-(-78.6775))/2)^2))</x:f>
        <x:v>1.0636890829480463</x:v>
      </x:c>
      <x:c r="S59" s="1" t="str">
        <x:f>IF(R59&lt;=1,"0–1 mi",IF(R59&lt;=3,"&gt;1–3 mi",IF(R59&lt;=5,"&gt;3–5 mi","Outside 5 mi")))</x:f>
        <x:v>&gt;1–3 mi</x:v>
      </x:c>
      <x:c r="T59" s="7" t="n">
        <x:f>2*3958.7613*ASIN(SQRT(SIN(RADIANS(F59-35.79847)/2)^2+COS(RADIANS(35.79847))*COS(RADIANS(F59))*SIN(RADIANS(G59-(-78.70408))/2)^2))</x:f>
        <x:v>1.4767114488047344</x:v>
      </x:c>
      <x:c r="U59" s="1" t="str">
        <x:f>IF(T59&lt;=1,"0–1 mi",IF(T59&lt;=3,"&gt;1–3 mi",IF(T59&lt;=5,"&gt;3–5 mi","Outside 5 mi")))</x:f>
        <x:v>&gt;1–3 mi</x:v>
      </x:c>
      <x:c r="V59" s="1" t="n">
        <x:f>IF(MIN(P59,R59,T59)&lt;=5,1,0)</x:f>
        <x:v>1</x:v>
      </x:c>
      <x:c r="W59" s="6" t="n">
        <x:f>IF(O59=1,(H59+I59)/2,"")</x:f>
        <x:v>1200</x:v>
      </x:c>
      <x:c r="X59" s="1" t="n">
        <x:f>O59*V59</x:f>
        <x:v>1</x:v>
      </x:c>
      <x:c r="Y59" s="1" t="n">
        <x:v>0</x:v>
      </x:c>
      <x:c r="Z59" s="1" t="n">
        <x:v>0</x:v>
      </x:c>
      <x:c r="AA59" s="1" t="n">
        <x:v>0</x:v>
      </x:c>
      <x:c r="AB59" s="1" t="n">
        <x:v>0</x:v>
      </x:c>
      <x:c r="AC59" s="1" t="n">
        <x:v>0</x:v>
      </x:c>
      <x:c r="AD59" s="1" t="str">
        <x:f>IF('Raw properties'!Y59="","",'Raw properties'!Y59)</x:f>
        <x:v>12 Month Lease</x:v>
      </x:c>
      <x:c r="AE59" s="1" t="str">
        <x:v>2026-08-01</x:v>
      </x:c>
      <x:c r="AF59" s="1" t="str">
        <x:v>Included in rent means</x:v>
      </x:c>
      <x:c r="AG59" s="5" t="str">
        <x:v>Source pricing flag retained; automated consistency checks passed. This is not independent landlord verification.</x:v>
      </x:c>
      <x:c r="AH59" s="1" t="str">
        <x:v>$1,200</x:v>
      </x:c>
      <x:c r="AI59" s="8" t="n">
        <x:f>MIN(ABS(P59-1),ABS(P59-3),ABS(P59-5))*5280</x:f>
        <x:v>3223.889419918498</x:v>
      </x:c>
      <x:c r="AJ59" s="8" t="n">
        <x:f>MIN(ABS(R59-1),ABS(R59-3),ABS(R59-5))*5280</x:f>
        <x:v>336.27835796568456</x:v>
      </x:c>
      <x:c r="AK59" s="8" t="n">
        <x:f>MIN(ABS(T59-1),ABS(T59-3),ABS(T59-5))*5280</x:f>
        <x:v>2517.0364496889974</x:v>
      </x:c>
      <x:c r="AL59" s="1" t="n">
        <x:f>IF(MIN(AI59,AJ59,AK59)&lt;=100,1,0)</x:f>
        <x:v>0</x:v>
      </x:c>
    </x:row>
    <x:row r="60" ht="15" hidden="0" customHeight="1">
      <x:c r="A60" s="1" t="str">
        <x:f>IF('Raw properties'!A60="","",'Raw properties'!A60)</x:f>
        <x:v>h2l8mh2</x:v>
      </x:c>
      <x:c r="B60" s="1" t="str">
        <x:f>IF('Raw properties'!D60="","",'Raw properties'!D60)</x:f>
        <x:v>Redfield Villages</x:v>
      </x:c>
      <x:c r="C60" s="1" t="str">
        <x:f>IF('Raw properties'!AG60="","",'Raw properties'!AG60)</x:f>
        <x:v>https://offcampus.dasa.ncsu.edu/housing/property/redfield-villages/h2l8mh2</x:v>
      </x:c>
      <x:c r="D60" s="1" t="str">
        <x:v>Per bedroom</x:v>
      </x:c>
      <x:c r="E60" s="1" t="str">
        <x:v>Per bedroom</x:v>
      </x:c>
      <x:c r="F60" s="7" t="n">
        <x:f>IF('Raw properties'!I60="","",'Raw properties'!I60)</x:f>
        <x:v>35.785828</x:v>
      </x:c>
      <x:c r="G60" s="7" t="n">
        <x:f>IF('Raw properties'!J60="","",'Raw properties'!J60)</x:f>
        <x:v>-78.688022</x:v>
      </x:c>
      <x:c r="H60" s="6" t="n">
        <x:f>IF('Raw properties'!M60="","",'Raw properties'!M60)</x:f>
        <x:v>799</x:v>
      </x:c>
      <x:c r="I60" s="6" t="n">
        <x:f>IF('Raw properties'!N60="","",'Raw properties'!N60)</x:f>
        <x:v>899</x:v>
      </x:c>
      <x:c r="J60" s="6" t="n">
        <x:f>IF((IF('Raw floorplans'!H367&gt;0,1,0)+IF('Raw floorplans'!H368&gt;0,1,0)+IF('Raw floorplans'!H369&gt;0,1,0))=0,"",MIN(IF('Raw floorplans'!H367&gt;0,'Raw floorplans'!H367,1E99),IF('Raw floorplans'!H368&gt;0,'Raw floorplans'!H368,1E99),IF('Raw floorplans'!H369&gt;0,'Raw floorplans'!H369,1E99)))</x:f>
        <x:v>799</x:v>
      </x:c>
      <x:c r="K60" s="6" t="n">
        <x:f>IF((IF('Raw floorplans'!I367&gt;0,1,0)+IF('Raw floorplans'!I368&gt;0,1,0)+IF('Raw floorplans'!I369&gt;0,1,0))=0,"",MAX(IF('Raw floorplans'!I367&gt;0,'Raw floorplans'!I367,0),IF('Raw floorplans'!I368&gt;0,'Raw floorplans'!I368,0),IF('Raw floorplans'!I369&gt;0,'Raw floorplans'!I369,0)))</x:f>
        <x:v>899</x:v>
      </x:c>
      <x:c r="L60" s="1" t="n">
        <x:v>0</x:v>
      </x:c>
      <x:c r="M60" s="1" t="n">
        <x:f>IF(AND(ISNUMBER(H60),ISNUMBER(I60),ISNUMBER(J60),ISNUMBER(K60),H60&gt;0,I60&gt;0),IF(OR(H60&lt;&gt;J60,I60&lt;&gt;K60),1,0),0)</x:f>
        <x:v>0</x:v>
      </x:c>
      <x:c r="N60" s="1" t="n">
        <x:f>IF(AND(ISNUMBER(H60),ISNUMBER(I60),H60&gt;0,I60&gt;=H60),1,0)</x:f>
        <x:v>1</x:v>
      </x:c>
      <x:c r="O60" s="1" t="n">
        <x:f>IF(AND(L60=0,M60=0,N60=1),1,0)</x:f>
        <x:v>1</x:v>
      </x:c>
      <x:c r="P60" s="7" t="n">
        <x:f>2*3958.7613*ASIN(SQRT(SIN(RADIANS(F60-35.77951)/2)^2+COS(RADIANS(35.77951))*COS(RADIANS(F60))*SIN(RADIANS(G60-(-78.68168))/2)^2))</x:f>
        <x:v>0.5629608787051822</x:v>
      </x:c>
      <x:c r="Q60" s="1" t="str">
        <x:f>IF(P60&lt;=1,"0–1 mi",IF(P60&lt;=3,"&gt;1–3 mi",IF(P60&lt;=5,"&gt;3–5 mi","Outside 5 mi")))</x:f>
        <x:v>0–1 mi</x:v>
      </x:c>
      <x:c r="R60" s="7" t="n">
        <x:f>2*3958.7613*ASIN(SQRT(SIN(RADIANS(F60-35.7687)/2)^2+COS(RADIANS(35.7687))*COS(RADIANS(F60))*SIN(RADIANS(G60-(-78.6775))/2)^2))</x:f>
        <x:v>1.3222672618363482</x:v>
      </x:c>
      <x:c r="S60" s="1" t="str">
        <x:f>IF(R60&lt;=1,"0–1 mi",IF(R60&lt;=3,"&gt;1–3 mi",IF(R60&lt;=5,"&gt;3–5 mi","Outside 5 mi")))</x:f>
        <x:v>&gt;1–3 mi</x:v>
      </x:c>
      <x:c r="T60" s="7" t="n">
        <x:f>2*3958.7613*ASIN(SQRT(SIN(RADIANS(F60-35.79847)/2)^2+COS(RADIANS(35.79847))*COS(RADIANS(F60))*SIN(RADIANS(G60-(-78.70408))/2)^2))</x:f>
        <x:v>1.2541548036334251</x:v>
      </x:c>
      <x:c r="U60" s="1" t="str">
        <x:f>IF(T60&lt;=1,"0–1 mi",IF(T60&lt;=3,"&gt;1–3 mi",IF(T60&lt;=5,"&gt;3–5 mi","Outside 5 mi")))</x:f>
        <x:v>&gt;1–3 mi</x:v>
      </x:c>
      <x:c r="V60" s="1" t="n">
        <x:f>IF(MIN(P60,R60,T60)&lt;=5,1,0)</x:f>
        <x:v>1</x:v>
      </x:c>
      <x:c r="W60" s="6" t="n">
        <x:f>IF(O60=1,(H60+I60)/2,"")</x:f>
        <x:v>849</x:v>
      </x:c>
      <x:c r="X60" s="1" t="n">
        <x:f>O60*V60</x:f>
        <x:v>1</x:v>
      </x:c>
      <x:c r="Y60" s="1" t="n">
        <x:v>0</x:v>
      </x:c>
      <x:c r="Z60" s="1" t="n">
        <x:v>0</x:v>
      </x:c>
      <x:c r="AA60" s="1" t="n">
        <x:v>0</x:v>
      </x:c>
      <x:c r="AB60" s="1" t="n">
        <x:v>0</x:v>
      </x:c>
      <x:c r="AC60" s="1" t="n">
        <x:v>0</x:v>
      </x:c>
      <x:c r="AD60" s="1" t="str">
        <x:f>IF('Raw properties'!Y60="","",'Raw properties'!Y60)</x:f>
        <x:v>11 Month Lease</x:v>
      </x:c>
      <x:c r="AE60" s="1" t="str">
        <x:v>2026-08-10</x:v>
      </x:c>
      <x:c r="AF60" s="1" t="str">
        <x:v>Included in rent means</x:v>
      </x:c>
      <x:c r="AG60" s="5" t="str">
        <x:v>Source pricing flag retained; automated consistency checks passed. This is not independent landlord verification.</x:v>
      </x:c>
      <x:c r="AH60" s="1" t="str">
        <x:v>$799 - $899</x:v>
      </x:c>
      <x:c r="AI60" s="8" t="n">
        <x:f>MIN(ABS(P60-1),ABS(P60-3),ABS(P60-5))*5280</x:f>
        <x:v>2307.566560436638</x:v>
      </x:c>
      <x:c r="AJ60" s="8" t="n">
        <x:f>MIN(ABS(R60-1),ABS(R60-3),ABS(R60-5))*5280</x:f>
        <x:v>1701.5711424959186</x:v>
      </x:c>
      <x:c r="AK60" s="8" t="n">
        <x:f>MIN(ABS(T60-1),ABS(T60-3),ABS(T60-5))*5280</x:f>
        <x:v>1341.9373631844846</x:v>
      </x:c>
      <x:c r="AL60" s="1" t="n">
        <x:f>IF(MIN(AI60,AJ60,AK60)&lt;=100,1,0)</x:f>
        <x:v>0</x:v>
      </x:c>
    </x:row>
    <x:row r="61" ht="15" hidden="0" customHeight="1">
      <x:c r="A61" s="1" t="str">
        <x:f>IF('Raw properties'!A61="","",'Raw properties'!A61)</x:f>
        <x:v>ocpthnbmc9</x:v>
      </x:c>
      <x:c r="B61" s="1" t="str">
        <x:f>IF('Raw properties'!D61="","",'Raw properties'!D61)</x:f>
        <x:v>Luxury 4 Bedroom 4 Full Bath w free parking, 1 gig internet included. 2027-2028 School yea</x:v>
      </x:c>
      <x:c r="C61" s="1" t="str">
        <x:f>IF('Raw properties'!AG61="","",'Raw properties'!AG61)</x:f>
        <x:v>https://offcampus.dasa.ncsu.edu/housing/property/luxury-4-bedroom-4-full-bath-w-free-parking-1-gig-internet-included-2027-2028-school-yea/ocpthnbmc9</x:v>
      </x:c>
      <x:c r="D61" s="1" t="str">
        <x:v>Whole unit</x:v>
      </x:c>
      <x:c r="E61" s="1" t="str">
        <x:v>Whole unit</x:v>
      </x:c>
      <x:c r="F61" s="7" t="n">
        <x:f>IF('Raw properties'!I61="","",'Raw properties'!I61)</x:f>
        <x:v>35.777786</x:v>
      </x:c>
      <x:c r="G61" s="7" t="n">
        <x:f>IF('Raw properties'!J61="","",'Raw properties'!J61)</x:f>
        <x:v>-78.687882</x:v>
      </x:c>
      <x:c r="H61" s="6" t="n">
        <x:f>IF('Raw properties'!M61="","",'Raw properties'!M61)</x:f>
        <x:v>4000</x:v>
      </x:c>
      <x:c r="I61" s="6" t="n">
        <x:f>IF('Raw properties'!N61="","",'Raw properties'!N61)</x:f>
        <x:v>4000</x:v>
      </x:c>
      <x:c r="J61" s="6" t="n">
        <x:f>IF((IF('Raw floorplans'!H370&gt;0,1,0))=0,"",MIN(IF('Raw floorplans'!H370&gt;0,'Raw floorplans'!H370,1E99)))</x:f>
        <x:v>4000</x:v>
      </x:c>
      <x:c r="K61" s="6" t="n">
        <x:f>IF((IF('Raw floorplans'!I370&gt;0,1,0))=0,"",MAX(IF('Raw floorplans'!I370&gt;0,'Raw floorplans'!I370,0)))</x:f>
        <x:v>4000</x:v>
      </x:c>
      <x:c r="L61" s="1" t="n">
        <x:v>0</x:v>
      </x:c>
      <x:c r="M61" s="1" t="n">
        <x:f>IF(AND(ISNUMBER(H61),ISNUMBER(I61),ISNUMBER(J61),ISNUMBER(K61),H61&gt;0,I61&gt;0),IF(OR(H61&lt;&gt;J61,I61&lt;&gt;K61),1,0),0)</x:f>
        <x:v>0</x:v>
      </x:c>
      <x:c r="N61" s="1" t="n">
        <x:f>IF(AND(ISNUMBER(H61),ISNUMBER(I61),H61&gt;0,I61&gt;=H61),1,0)</x:f>
        <x:v>1</x:v>
      </x:c>
      <x:c r="O61" s="1" t="n">
        <x:f>IF(AND(L61=0,M61=0,N61=1),1,0)</x:f>
        <x:v>1</x:v>
      </x:c>
      <x:c r="P61" s="7" t="n">
        <x:f>2*3958.7613*ASIN(SQRT(SIN(RADIANS(F61-35.77951)/2)^2+COS(RADIANS(35.77951))*COS(RADIANS(F61))*SIN(RADIANS(G61-(-78.68168))/2)^2))</x:f>
        <x:v>0.3674890989066945</x:v>
      </x:c>
      <x:c r="Q61" s="1" t="str">
        <x:f>IF(P61&lt;=1,"0–1 mi",IF(P61&lt;=3,"&gt;1–3 mi",IF(P61&lt;=5,"&gt;3–5 mi","Outside 5 mi")))</x:f>
        <x:v>0–1 mi</x:v>
      </x:c>
      <x:c r="R61" s="7" t="n">
        <x:f>2*3958.7613*ASIN(SQRT(SIN(RADIANS(F61-35.7687)/2)^2+COS(RADIANS(35.7687))*COS(RADIANS(F61))*SIN(RADIANS(G61-(-78.6775))/2)^2))</x:f>
        <x:v>0.8560542840213713</x:v>
      </x:c>
      <x:c r="S61" s="1" t="str">
        <x:f>IF(R61&lt;=1,"0–1 mi",IF(R61&lt;=3,"&gt;1–3 mi",IF(R61&lt;=5,"&gt;3–5 mi","Outside 5 mi")))</x:f>
        <x:v>0–1 mi</x:v>
      </x:c>
      <x:c r="T61" s="7" t="n">
        <x:f>2*3958.7613*ASIN(SQRT(SIN(RADIANS(F61-35.79847)/2)^2+COS(RADIANS(35.79847))*COS(RADIANS(F61))*SIN(RADIANS(G61-(-78.70408))/2)^2))</x:f>
        <x:v>1.6931077995776556</x:v>
      </x:c>
      <x:c r="U61" s="1" t="str">
        <x:f>IF(T61&lt;=1,"0–1 mi",IF(T61&lt;=3,"&gt;1–3 mi",IF(T61&lt;=5,"&gt;3–5 mi","Outside 5 mi")))</x:f>
        <x:v>&gt;1–3 mi</x:v>
      </x:c>
      <x:c r="V61" s="1" t="n">
        <x:f>IF(MIN(P61,R61,T61)&lt;=5,1,0)</x:f>
        <x:v>1</x:v>
      </x:c>
      <x:c r="W61" s="6" t="n">
        <x:f>IF(O61=1,(H61+I61)/2,"")</x:f>
        <x:v>4000</x:v>
      </x:c>
      <x:c r="X61" s="1" t="n">
        <x:f>O61*V61</x:f>
        <x:v>1</x:v>
      </x:c>
      <x:c r="Y61" s="1" t="n">
        <x:v>1</x:v>
      </x:c>
      <x:c r="Z61" s="1" t="n">
        <x:v>0</x:v>
      </x:c>
      <x:c r="AA61" s="1" t="n">
        <x:v>0</x:v>
      </x:c>
      <x:c r="AB61" s="1" t="n">
        <x:v>0</x:v>
      </x:c>
      <x:c r="AC61" s="1" t="n">
        <x:v>0</x:v>
      </x:c>
      <x:c r="AD61" s="1" t="str">
        <x:f>IF('Raw properties'!Y61="","",'Raw properties'!Y61)</x:f>
        <x:v>12 Month Lease</x:v>
      </x:c>
      <x:c r="AE61" s="1" t="str">
        <x:v>2027-07-07</x:v>
      </x:c>
      <x:c r="AF61" s="1" t="str">
        <x:v>Included in rent means</x:v>
      </x:c>
      <x:c r="AG61" s="5" t="str">
        <x:v>Source pricing flag retained; automated consistency checks passed. This is not independent landlord verification.</x:v>
      </x:c>
      <x:c r="AH61" s="1" t="str">
        <x:v>$4,000</x:v>
      </x:c>
      <x:c r="AI61" s="8" t="n">
        <x:f>MIN(ABS(P61-1),ABS(P61-3),ABS(P61-5))*5280</x:f>
        <x:v>3339.6575577726526</x:v>
      </x:c>
      <x:c r="AJ61" s="8" t="n">
        <x:f>MIN(ABS(R61-1),ABS(R61-3),ABS(R61-5))*5280</x:f>
        <x:v>760.0333803671596</x:v>
      </x:c>
      <x:c r="AK61" s="8" t="n">
        <x:f>MIN(ABS(T61-1),ABS(T61-3),ABS(T61-5))*5280</x:f>
        <x:v>3659.609181770021</x:v>
      </x:c>
      <x:c r="AL61" s="1" t="n">
        <x:f>IF(MIN(AI61,AJ61,AK61)&lt;=100,1,0)</x:f>
        <x:v>0</x:v>
      </x:c>
    </x:row>
    <x:row r="62" ht="24" hidden="0" customHeight="1">
      <x:c r="A62" s="1" t="str">
        <x:f>IF('Raw properties'!A62="","",'Raw properties'!A62)</x:f>
        <x:v>vw4rv9e</x:v>
      </x:c>
      <x:c r="B62" s="1" t="str">
        <x:f>IF('Raw properties'!D62="","",'Raw properties'!D62)</x:f>
        <x:v>Signature at Varsity</x:v>
      </x:c>
      <x:c r="C62" s="1" t="str">
        <x:f>IF('Raw properties'!AG62="","",'Raw properties'!AG62)</x:f>
        <x:v>https://offcampus.dasa.ncsu.edu/housing/property/signature-at-varsity/vw4rv9e</x:v>
      </x:c>
      <x:c r="D62" s="1" t="str">
        <x:v>Whole unit</x:v>
      </x:c>
      <x:c r="E62" s="1" t="str">
        <x:v>Review</x:v>
      </x:c>
      <x:c r="F62" s="7" t="n">
        <x:f>IF('Raw properties'!I62="","",'Raw properties'!I62)</x:f>
        <x:v>35.778885</x:v>
      </x:c>
      <x:c r="G62" s="7" t="n">
        <x:f>IF('Raw properties'!J62="","",'Raw properties'!J62)</x:f>
        <x:v>-78.683032</x:v>
      </x:c>
      <x:c r="H62" s="6" t="n">
        <x:f>IF('Raw properties'!M62="","",'Raw properties'!M62)</x:f>
        <x:v>1249</x:v>
      </x:c>
      <x:c r="I62" s="6" t="n">
        <x:f>IF('Raw properties'!N62="","",'Raw properties'!N62)</x:f>
        <x:v>2222</x:v>
      </x:c>
      <x:c r="J62" s="6" t="n">
        <x:f>IF((IF('Raw floorplans'!H371&gt;0,1,0)+IF('Raw floorplans'!H372&gt;0,1,0)+IF('Raw floorplans'!H373&gt;0,1,0)+IF('Raw floorplans'!H374&gt;0,1,0)+IF('Raw floorplans'!H375&gt;0,1,0)+IF('Raw floorplans'!H376&gt;0,1,0)+IF('Raw floorplans'!H377&gt;0,1,0)+IF('Raw floorplans'!H378&gt;0,1,0)+IF('Raw floorplans'!H379&gt;0,1,0)+IF('Raw floorplans'!H380&gt;0,1,0)+IF('Raw floorplans'!H381&gt;0,1,0)+IF('Raw floorplans'!H382&gt;0,1,0)+IF('Raw floorplans'!H383&gt;0,1,0)+IF('Raw floorplans'!H384&gt;0,1,0)+IF('Raw floorplans'!H385&gt;0,1,0)+IF('Raw floorplans'!H386&gt;0,1,0))=0,"",MIN(IF('Raw floorplans'!H371&gt;0,'Raw floorplans'!H371,1E99),IF('Raw floorplans'!H372&gt;0,'Raw floorplans'!H372,1E99),IF('Raw floorplans'!H373&gt;0,'Raw floorplans'!H373,1E99),IF('Raw floorplans'!H374&gt;0,'Raw floorplans'!H374,1E99),IF('Raw floorplans'!H375&gt;0,'Raw floorplans'!H375,1E99),IF('Raw floorplans'!H376&gt;0,'Raw floorplans'!H376,1E99),IF('Raw floorplans'!H377&gt;0,'Raw floorplans'!H377,1E99),IF('Raw floorplans'!H378&gt;0,'Raw floorplans'!H378,1E99),IF('Raw floorplans'!H379&gt;0,'Raw floorplans'!H379,1E99),IF('Raw floorplans'!H380&gt;0,'Raw floorplans'!H380,1E99),IF('Raw floorplans'!H381&gt;0,'Raw floorplans'!H381,1E99),IF('Raw floorplans'!H382&gt;0,'Raw floorplans'!H382,1E99),IF('Raw floorplans'!H383&gt;0,'Raw floorplans'!H383,1E99),IF('Raw floorplans'!H384&gt;0,'Raw floorplans'!H384,1E99),IF('Raw floorplans'!H385&gt;0,'Raw floorplans'!H385,1E99),IF('Raw floorplans'!H386&gt;0,'Raw floorplans'!H386,1E99)))</x:f>
        <x:v>1249</x:v>
      </x:c>
      <x:c r="K62" s="6" t="n">
        <x:f>IF((IF('Raw floorplans'!I371&gt;0,1,0)+IF('Raw floorplans'!I372&gt;0,1,0)+IF('Raw floorplans'!I373&gt;0,1,0)+IF('Raw floorplans'!I374&gt;0,1,0)+IF('Raw floorplans'!I375&gt;0,1,0)+IF('Raw floorplans'!I376&gt;0,1,0)+IF('Raw floorplans'!I377&gt;0,1,0)+IF('Raw floorplans'!I378&gt;0,1,0)+IF('Raw floorplans'!I379&gt;0,1,0)+IF('Raw floorplans'!I380&gt;0,1,0)+IF('Raw floorplans'!I381&gt;0,1,0)+IF('Raw floorplans'!I382&gt;0,1,0)+IF('Raw floorplans'!I383&gt;0,1,0)+IF('Raw floorplans'!I384&gt;0,1,0)+IF('Raw floorplans'!I385&gt;0,1,0)+IF('Raw floorplans'!I386&gt;0,1,0))=0,"",MAX(IF('Raw floorplans'!I371&gt;0,'Raw floorplans'!I371,0),IF('Raw floorplans'!I372&gt;0,'Raw floorplans'!I372,0),IF('Raw floorplans'!I373&gt;0,'Raw floorplans'!I373,0),IF('Raw floorplans'!I374&gt;0,'Raw floorplans'!I374,0),IF('Raw floorplans'!I375&gt;0,'Raw floorplans'!I375,0),IF('Raw floorplans'!I376&gt;0,'Raw floorplans'!I376,0),IF('Raw floorplans'!I377&gt;0,'Raw floorplans'!I377,0),IF('Raw floorplans'!I378&gt;0,'Raw floorplans'!I378,0),IF('Raw floorplans'!I379&gt;0,'Raw floorplans'!I379,0),IF('Raw floorplans'!I380&gt;0,'Raw floorplans'!I380,0),IF('Raw floorplans'!I381&gt;0,'Raw floorplans'!I381,0),IF('Raw floorplans'!I382&gt;0,'Raw floorplans'!I382,0),IF('Raw floorplans'!I383&gt;0,'Raw floorplans'!I383,0),IF('Raw floorplans'!I384&gt;0,'Raw floorplans'!I384,0),IF('Raw floorplans'!I385&gt;0,'Raw floorplans'!I385,0),IF('Raw floorplans'!I386&gt;0,'Raw floorplans'!I386,0)))</x:f>
        <x:v>2222</x:v>
      </x:c>
      <x:c r="L62" s="1" t="n">
        <x:v>1</x:v>
      </x:c>
      <x:c r="M62" s="1" t="n">
        <x:f>IF(AND(ISNUMBER(H62),ISNUMBER(I62),ISNUMBER(J62),ISNUMBER(K62),H62&gt;0,I62&gt;0),IF(OR(H62&lt;&gt;J62,I62&lt;&gt;K62),1,0),0)</x:f>
        <x:v>0</x:v>
      </x:c>
      <x:c r="N62" s="1" t="n">
        <x:f>IF(AND(ISNUMBER(H62),ISNUMBER(I62),H62&gt;0,I62&gt;=H62),1,0)</x:f>
        <x:v>1</x:v>
      </x:c>
      <x:c r="O62" s="1" t="n">
        <x:f>IF(AND(L62=0,M62=0,N62=1),1,0)</x:f>
        <x:v>0</x:v>
      </x:c>
      <x:c r="P62" s="7" t="n">
        <x:f>2*3958.7613*ASIN(SQRT(SIN(RADIANS(F62-35.77951)/2)^2+COS(RADIANS(35.77951))*COS(RADIANS(F62))*SIN(RADIANS(G62-(-78.68168))/2)^2))</x:f>
        <x:v>0.08722465314846953</x:v>
      </x:c>
      <x:c r="Q62" s="1" t="str">
        <x:f>IF(P62&lt;=1,"0–1 mi",IF(P62&lt;=3,"&gt;1–3 mi",IF(P62&lt;=5,"&gt;3–5 mi","Outside 5 mi")))</x:f>
        <x:v>0–1 mi</x:v>
      </x:c>
      <x:c r="R62" s="7" t="n">
        <x:f>2*3958.7613*ASIN(SQRT(SIN(RADIANS(F62-35.7687)/2)^2+COS(RADIANS(35.7687))*COS(RADIANS(F62))*SIN(RADIANS(G62-(-78.6775))/2)^2))</x:f>
        <x:v>0.7690160380200368</x:v>
      </x:c>
      <x:c r="S62" s="1" t="str">
        <x:f>IF(R62&lt;=1,"0–1 mi",IF(R62&lt;=3,"&gt;1–3 mi",IF(R62&lt;=5,"&gt;3–5 mi","Outside 5 mi")))</x:f>
        <x:v>0–1 mi</x:v>
      </x:c>
      <x:c r="T62" s="7" t="n">
        <x:f>2*3958.7613*ASIN(SQRT(SIN(RADIANS(F62-35.79847)/2)^2+COS(RADIANS(35.79847))*COS(RADIANS(F62))*SIN(RADIANS(G62-(-78.70408))/2)^2))</x:f>
        <x:v>1.7952108219949172</x:v>
      </x:c>
      <x:c r="U62" s="1" t="str">
        <x:f>IF(T62&lt;=1,"0–1 mi",IF(T62&lt;=3,"&gt;1–3 mi",IF(T62&lt;=5,"&gt;3–5 mi","Outside 5 mi")))</x:f>
        <x:v>&gt;1–3 mi</x:v>
      </x:c>
      <x:c r="V62" s="1" t="n">
        <x:f>IF(MIN(P62,R62,T62)&lt;=5,1,0)</x:f>
        <x:v>1</x:v>
      </x:c>
      <x:c r="W62" s="6" t="str">
        <x:f>IF(O62=1,(H62+I62)/2,"")</x:f>
      </x:c>
      <x:c r="X62" s="1" t="n">
        <x:f>O62*V62</x:f>
        <x:v>0</x:v>
      </x:c>
      <x:c r="Y62" s="1" t="n">
        <x:v>1</x:v>
      </x:c>
      <x:c r="Z62" s="1" t="n">
        <x:v>0</x:v>
      </x:c>
      <x:c r="AA62" s="1" t="n">
        <x:v>0</x:v>
      </x:c>
      <x:c r="AB62" s="1" t="n">
        <x:v>1</x:v>
      </x:c>
      <x:c r="AC62" s="1" t="n">
        <x:v>0</x:v>
      </x:c>
      <x:c r="AD62" s="1" t="str">
        <x:f>IF('Raw properties'!Y62="","",'Raw properties'!Y62)</x:f>
      </x:c>
      <x:c r="AE62" s="1" t="str">
        <x:v>2027-08-01</x:v>
      </x:c>
      <x:c r="AF62" s="1" t="str">
        <x:v>Excluded from rent means</x:v>
      </x:c>
      <x:c r="AG62" s="5" t="str">
        <x:v>Signature at Varsity's saved studio/one-bedroom prices exceed its four/five-bedroom prices; all flags nevertheless say whole-unit. This is a pricing-basis review flag, not proof of an error. Excluded pending confirmation of plan-level basis; no inferred correction.</x:v>
      </x:c>
      <x:c r="AH62" s="1" t="str">
        <x:v>$1,249 - $2,222</x:v>
      </x:c>
      <x:c r="AI62" s="8" t="n">
        <x:f>MIN(ABS(P62-1),ABS(P62-3),ABS(P62-5))*5280</x:f>
        <x:v>4819.453831376081</x:v>
      </x:c>
      <x:c r="AJ62" s="8" t="n">
        <x:f>MIN(ABS(R62-1),ABS(R62-3),ABS(R62-5))*5280</x:f>
        <x:v>1219.5953192542056</x:v>
      </x:c>
      <x:c r="AK62" s="8" t="n">
        <x:f>MIN(ABS(T62-1),ABS(T62-3),ABS(T62-5))*5280</x:f>
        <x:v>4198.713140133163</x:v>
      </x:c>
      <x:c r="AL62" s="1" t="n">
        <x:f>IF(MIN(AI62,AJ62,AK62)&lt;=100,1,0)</x:f>
        <x:v>0</x:v>
      </x:c>
    </x:row>
    <x:row r="63" ht="15" hidden="0" customHeight="1">
      <x:c r="A63" s="1" t="str">
        <x:f>IF('Raw properties'!A63="","",'Raw properties'!A63)</x:f>
        <x:v>ocp8c26c92</x:v>
      </x:c>
      <x:c r="B63" s="1" t="str">
        <x:f>IF('Raw properties'!D63="","",'Raw properties'!D63)</x:f>
        <x:v>Fully Furnished 3BR Townhome Steps from Lake Johnson</x:v>
      </x:c>
      <x:c r="C63" s="1" t="str">
        <x:f>IF('Raw properties'!AG63="","",'Raw properties'!AG63)</x:f>
        <x:v>https://offcampus.dasa.ncsu.edu/housing/property/fully-furnished-3br-townhome-steps-from-lake-johnson/ocp8c26c92</x:v>
      </x:c>
      <x:c r="D63" s="1" t="str">
        <x:v>Whole unit</x:v>
      </x:c>
      <x:c r="E63" s="1" t="str">
        <x:v>Whole unit</x:v>
      </x:c>
      <x:c r="F63" s="7" t="n">
        <x:f>IF('Raw properties'!I63="","",'Raw properties'!I63)</x:f>
        <x:v>35.766646</x:v>
      </x:c>
      <x:c r="G63" s="7" t="n">
        <x:f>IF('Raw properties'!J63="","",'Raw properties'!J63)</x:f>
        <x:v>-78.707047</x:v>
      </x:c>
      <x:c r="H63" s="6" t="n">
        <x:f>IF('Raw properties'!M63="","",'Raw properties'!M63)</x:f>
        <x:v>2500</x:v>
      </x:c>
      <x:c r="I63" s="6" t="n">
        <x:f>IF('Raw properties'!N63="","",'Raw properties'!N63)</x:f>
        <x:v>2500</x:v>
      </x:c>
      <x:c r="J63" s="6" t="n">
        <x:f>IF((IF('Raw floorplans'!H387&gt;0,1,0))=0,"",MIN(IF('Raw floorplans'!H387&gt;0,'Raw floorplans'!H387,1E99)))</x:f>
        <x:v>2500</x:v>
      </x:c>
      <x:c r="K63" s="6" t="n">
        <x:f>IF((IF('Raw floorplans'!I387&gt;0,1,0))=0,"",MAX(IF('Raw floorplans'!I387&gt;0,'Raw floorplans'!I387,0)))</x:f>
        <x:v>2500</x:v>
      </x:c>
      <x:c r="L63" s="1" t="n">
        <x:v>0</x:v>
      </x:c>
      <x:c r="M63" s="1" t="n">
        <x:f>IF(AND(ISNUMBER(H63),ISNUMBER(I63),ISNUMBER(J63),ISNUMBER(K63),H63&gt;0,I63&gt;0),IF(OR(H63&lt;&gt;J63,I63&lt;&gt;K63),1,0),0)</x:f>
        <x:v>0</x:v>
      </x:c>
      <x:c r="N63" s="1" t="n">
        <x:f>IF(AND(ISNUMBER(H63),ISNUMBER(I63),H63&gt;0,I63&gt;=H63),1,0)</x:f>
        <x:v>1</x:v>
      </x:c>
      <x:c r="O63" s="1" t="n">
        <x:f>IF(AND(L63=0,M63=0,N63=1),1,0)</x:f>
        <x:v>1</x:v>
      </x:c>
      <x:c r="P63" s="7" t="n">
        <x:f>2*3958.7613*ASIN(SQRT(SIN(RADIANS(F63-35.77951)/2)^2+COS(RADIANS(35.77951))*COS(RADIANS(F63))*SIN(RADIANS(G63-(-78.68168))/2)^2))</x:f>
        <x:v>1.6769491636461944</x:v>
      </x:c>
      <x:c r="Q63" s="1" t="str">
        <x:f>IF(P63&lt;=1,"0–1 mi",IF(P63&lt;=3,"&gt;1–3 mi",IF(P63&lt;=5,"&gt;3–5 mi","Outside 5 mi")))</x:f>
        <x:v>&gt;1–3 mi</x:v>
      </x:c>
      <x:c r="R63" s="7" t="n">
        <x:f>2*3958.7613*ASIN(SQRT(SIN(RADIANS(F63-35.7687)/2)^2+COS(RADIANS(35.7687))*COS(RADIANS(F63))*SIN(RADIANS(G63-(-78.6775))/2)^2))</x:f>
        <x:v>1.6625312416434643</x:v>
      </x:c>
      <x:c r="S63" s="1" t="str">
        <x:f>IF(R63&lt;=1,"0–1 mi",IF(R63&lt;=3,"&gt;1–3 mi",IF(R63&lt;=5,"&gt;3–5 mi","Outside 5 mi")))</x:f>
        <x:v>&gt;1–3 mi</x:v>
      </x:c>
      <x:c r="T63" s="7" t="n">
        <x:f>2*3958.7613*ASIN(SQRT(SIN(RADIANS(F63-35.79847)/2)^2+COS(RADIANS(35.79847))*COS(RADIANS(F63))*SIN(RADIANS(G63-(-78.70408))/2)^2))</x:f>
        <x:v>2.2051090855931723</x:v>
      </x:c>
      <x:c r="U63" s="1" t="str">
        <x:f>IF(T63&lt;=1,"0–1 mi",IF(T63&lt;=3,"&gt;1–3 mi",IF(T63&lt;=5,"&gt;3–5 mi","Outside 5 mi")))</x:f>
        <x:v>&gt;1–3 mi</x:v>
      </x:c>
      <x:c r="V63" s="1" t="n">
        <x:f>IF(MIN(P63,R63,T63)&lt;=5,1,0)</x:f>
        <x:v>1</x:v>
      </x:c>
      <x:c r="W63" s="6" t="n">
        <x:f>IF(O63=1,(H63+I63)/2,"")</x:f>
        <x:v>2500</x:v>
      </x:c>
      <x:c r="X63" s="1" t="n">
        <x:f>O63*V63</x:f>
        <x:v>1</x:v>
      </x:c>
      <x:c r="Y63" s="1" t="n">
        <x:v>0</x:v>
      </x:c>
      <x:c r="Z63" s="1" t="n">
        <x:v>0</x:v>
      </x:c>
      <x:c r="AA63" s="1" t="n">
        <x:v>0</x:v>
      </x:c>
      <x:c r="AB63" s="1" t="n">
        <x:v>0</x:v>
      </x:c>
      <x:c r="AC63" s="1" t="n">
        <x:v>0</x:v>
      </x:c>
      <x:c r="AD63" s="1" t="str">
        <x:f>IF('Raw properties'!Y63="","",'Raw properties'!Y63)</x:f>
        <x:v>12 Month Lease</x:v>
      </x:c>
      <x:c r="AE63" s="1" t="str">
        <x:v>2026-06-01</x:v>
      </x:c>
      <x:c r="AF63" s="1" t="str">
        <x:v>Included in rent means</x:v>
      </x:c>
      <x:c r="AG63" s="5" t="str">
        <x:v>Source pricing flag retained; automated consistency checks passed. This is not independent landlord verification.</x:v>
      </x:c>
      <x:c r="AH63" s="1" t="str">
        <x:v>$2,500</x:v>
      </x:c>
      <x:c r="AI63" s="8" t="n">
        <x:f>MIN(ABS(P63-1),ABS(P63-3),ABS(P63-5))*5280</x:f>
        <x:v>3574.2915840519063</x:v>
      </x:c>
      <x:c r="AJ63" s="8" t="n">
        <x:f>MIN(ABS(R63-1),ABS(R63-3),ABS(R63-5))*5280</x:f>
        <x:v>3498.1649558774916</x:v>
      </x:c>
      <x:c r="AK63" s="8" t="n">
        <x:f>MIN(ABS(T63-1),ABS(T63-3),ABS(T63-5))*5280</x:f>
        <x:v>4197.02402806805</x:v>
      </x:c>
      <x:c r="AL63" s="1" t="n">
        <x:f>IF(MIN(AI63,AJ63,AK63)&lt;=100,1,0)</x:f>
        <x:v>0</x:v>
      </x:c>
    </x:row>
    <x:row r="64" ht="15" hidden="0" customHeight="1">
      <x:c r="A64" s="1" t="str">
        <x:f>IF('Raw properties'!A64="","",'Raw properties'!A64)</x:f>
        <x:v>rf696l2</x:v>
      </x:c>
      <x:c r="B64" s="1" t="str">
        <x:f>IF('Raw properties'!D64="","",'Raw properties'!D64)</x:f>
        <x:v>Madison Hunters Glen</x:v>
      </x:c>
      <x:c r="C64" s="1" t="str">
        <x:f>IF('Raw properties'!AG64="","",'Raw properties'!AG64)</x:f>
        <x:v>https://offcampus.dasa.ncsu.edu/housing/property/madison-hunters-glen/rf696l2</x:v>
      </x:c>
      <x:c r="D64" s="1" t="str">
        <x:v>Whole unit</x:v>
      </x:c>
      <x:c r="E64" s="1" t="str">
        <x:v>Whole unit</x:v>
      </x:c>
      <x:c r="F64" s="7" t="n">
        <x:f>IF('Raw properties'!I64="","",'Raw properties'!I64)</x:f>
        <x:v>35.783971</x:v>
      </x:c>
      <x:c r="G64" s="7" t="n">
        <x:f>IF('Raw properties'!J64="","",'Raw properties'!J64)</x:f>
        <x:v>-78.719274</x:v>
      </x:c>
      <x:c r="H64" s="6" t="n">
        <x:f>IF('Raw properties'!M64="","",'Raw properties'!M64)</x:f>
        <x:v>1081</x:v>
      </x:c>
      <x:c r="I64" s="6" t="n">
        <x:f>IF('Raw properties'!N64="","",'Raw properties'!N64)</x:f>
        <x:v>1534</x:v>
      </x:c>
      <x:c r="J64" s="6" t="n">
        <x:f>IF((IF('Raw floorplans'!H388&gt;0,1,0)+IF('Raw floorplans'!H389&gt;0,1,0)+IF('Raw floorplans'!H390&gt;0,1,0)+IF('Raw floorplans'!H391&gt;0,1,0)+IF('Raw floorplans'!H392&gt;0,1,0)+IF('Raw floorplans'!H393&gt;0,1,0))=0,"",MIN(IF('Raw floorplans'!H388&gt;0,'Raw floorplans'!H388,1E99),IF('Raw floorplans'!H389&gt;0,'Raw floorplans'!H389,1E99),IF('Raw floorplans'!H390&gt;0,'Raw floorplans'!H390,1E99),IF('Raw floorplans'!H391&gt;0,'Raw floorplans'!H391,1E99),IF('Raw floorplans'!H392&gt;0,'Raw floorplans'!H392,1E99),IF('Raw floorplans'!H393&gt;0,'Raw floorplans'!H393,1E99)))</x:f>
        <x:v>1081</x:v>
      </x:c>
      <x:c r="K64" s="6" t="n">
        <x:f>IF((IF('Raw floorplans'!I388&gt;0,1,0)+IF('Raw floorplans'!I389&gt;0,1,0)+IF('Raw floorplans'!I390&gt;0,1,0)+IF('Raw floorplans'!I391&gt;0,1,0)+IF('Raw floorplans'!I392&gt;0,1,0)+IF('Raw floorplans'!I393&gt;0,1,0))=0,"",MAX(IF('Raw floorplans'!I388&gt;0,'Raw floorplans'!I388,0),IF('Raw floorplans'!I389&gt;0,'Raw floorplans'!I389,0),IF('Raw floorplans'!I390&gt;0,'Raw floorplans'!I390,0),IF('Raw floorplans'!I391&gt;0,'Raw floorplans'!I391,0),IF('Raw floorplans'!I392&gt;0,'Raw floorplans'!I392,0),IF('Raw floorplans'!I393&gt;0,'Raw floorplans'!I393,0)))</x:f>
        <x:v>1534</x:v>
      </x:c>
      <x:c r="L64" s="1" t="n">
        <x:v>0</x:v>
      </x:c>
      <x:c r="M64" s="1" t="n">
        <x:f>IF(AND(ISNUMBER(H64),ISNUMBER(I64),ISNUMBER(J64),ISNUMBER(K64),H64&gt;0,I64&gt;0),IF(OR(H64&lt;&gt;J64,I64&lt;&gt;K64),1,0),0)</x:f>
        <x:v>0</x:v>
      </x:c>
      <x:c r="N64" s="1" t="n">
        <x:f>IF(AND(ISNUMBER(H64),ISNUMBER(I64),H64&gt;0,I64&gt;=H64),1,0)</x:f>
        <x:v>1</x:v>
      </x:c>
      <x:c r="O64" s="1" t="n">
        <x:f>IF(AND(L64=0,M64=0,N64=1),1,0)</x:f>
        <x:v>1</x:v>
      </x:c>
      <x:c r="P64" s="7" t="n">
        <x:f>2*3958.7613*ASIN(SQRT(SIN(RADIANS(F64-35.77951)/2)^2+COS(RADIANS(35.77951))*COS(RADIANS(F64))*SIN(RADIANS(G64-(-78.68168))/2)^2))</x:f>
        <x:v>2.1296437200785223</x:v>
      </x:c>
      <x:c r="Q64" s="1" t="str">
        <x:f>IF(P64&lt;=1,"0–1 mi",IF(P64&lt;=3,"&gt;1–3 mi",IF(P64&lt;=5,"&gt;3–5 mi","Outside 5 mi")))</x:f>
        <x:v>&gt;1–3 mi</x:v>
      </x:c>
      <x:c r="R64" s="7" t="n">
        <x:f>2*3958.7613*ASIN(SQRT(SIN(RADIANS(F64-35.7687)/2)^2+COS(RADIANS(35.7687))*COS(RADIANS(F64))*SIN(RADIANS(G64-(-78.6775))/2)^2))</x:f>
        <x:v>2.5684126359676975</x:v>
      </x:c>
      <x:c r="S64" s="1" t="str">
        <x:f>IF(R64&lt;=1,"0–1 mi",IF(R64&lt;=3,"&gt;1–3 mi",IF(R64&lt;=5,"&gt;3–5 mi","Outside 5 mi")))</x:f>
        <x:v>&gt;1–3 mi</x:v>
      </x:c>
      <x:c r="T64" s="7" t="n">
        <x:f>2*3958.7613*ASIN(SQRT(SIN(RADIANS(F64-35.79847)/2)^2+COS(RADIANS(35.79847))*COS(RADIANS(F64))*SIN(RADIANS(G64-(-78.70408))/2)^2))</x:f>
        <x:v>1.314806873451647</x:v>
      </x:c>
      <x:c r="U64" s="1" t="str">
        <x:f>IF(T64&lt;=1,"0–1 mi",IF(T64&lt;=3,"&gt;1–3 mi",IF(T64&lt;=5,"&gt;3–5 mi","Outside 5 mi")))</x:f>
        <x:v>&gt;1–3 mi</x:v>
      </x:c>
      <x:c r="V64" s="1" t="n">
        <x:f>IF(MIN(P64,R64,T64)&lt;=5,1,0)</x:f>
        <x:v>1</x:v>
      </x:c>
      <x:c r="W64" s="6" t="n">
        <x:f>IF(O64=1,(H64+I64)/2,"")</x:f>
        <x:v>1307.5</x:v>
      </x:c>
      <x:c r="X64" s="1" t="n">
        <x:f>O64*V64</x:f>
        <x:v>1</x:v>
      </x:c>
      <x:c r="Y64" s="1" t="n">
        <x:v>0</x:v>
      </x:c>
      <x:c r="Z64" s="1" t="n">
        <x:v>0</x:v>
      </x:c>
      <x:c r="AA64" s="1" t="n">
        <x:v>0</x:v>
      </x:c>
      <x:c r="AB64" s="1" t="n">
        <x:v>0</x:v>
      </x:c>
      <x:c r="AC64" s="1" t="n">
        <x:v>0</x:v>
      </x:c>
      <x:c r="AD64" s="1" t="str">
        <x:f>IF('Raw properties'!Y64="","",'Raw properties'!Y64)</x:f>
      </x:c>
      <x:c r="AE64" s="1" t="str">
        <x:v>2026-06-23</x:v>
      </x:c>
      <x:c r="AF64" s="1" t="str">
        <x:v>Included in rent means</x:v>
      </x:c>
      <x:c r="AG64" s="5" t="str">
        <x:v>Source pricing flag retained; automated consistency checks passed. This is not independent landlord verification.</x:v>
      </x:c>
      <x:c r="AH64" s="1" t="str">
        <x:v>$1,081 - $1,534</x:v>
      </x:c>
      <x:c r="AI64" s="8" t="n">
        <x:f>MIN(ABS(P64-1),ABS(P64-3),ABS(P64-5))*5280</x:f>
        <x:v>4595.481157985402</x:v>
      </x:c>
      <x:c r="AJ64" s="8" t="n">
        <x:f>MIN(ABS(R64-1),ABS(R64-3),ABS(R64-5))*5280</x:f>
        <x:v>2278.781282090557</x:v>
      </x:c>
      <x:c r="AK64" s="8" t="n">
        <x:f>MIN(ABS(T64-1),ABS(T64-3),ABS(T64-5))*5280</x:f>
        <x:v>1662.1802918246958</x:v>
      </x:c>
      <x:c r="AL64" s="1" t="n">
        <x:f>IF(MIN(AI64,AJ64,AK64)&lt;=100,1,0)</x:f>
        <x:v>0</x:v>
      </x:c>
    </x:row>
    <x:row r="65" ht="15" hidden="0" customHeight="1">
      <x:c r="A65" s="1" t="str">
        <x:f>IF('Raw properties'!A65="","",'Raw properties'!A65)</x:f>
        <x:v>ocpszex2v4</x:v>
      </x:c>
      <x:c r="B65" s="1" t="str">
        <x:f>IF('Raw properties'!D65="","",'Raw properties'!D65)</x:f>
        <x:v>Spacious bedroom with private bath in 2BR townhome – 5 minutes to NC State</x:v>
      </x:c>
      <x:c r="C65" s="1" t="str">
        <x:f>IF('Raw properties'!AG65="","",'Raw properties'!AG65)</x:f>
        <x:v>https://offcampus.dasa.ncsu.edu/housing/property/spacious-bedroom-with-private-bath-in-2br-townhome-5-minutes-to-nc-state/ocpszex2v4</x:v>
      </x:c>
      <x:c r="D65" s="1" t="str">
        <x:v>Per bedroom</x:v>
      </x:c>
      <x:c r="E65" s="1" t="str">
        <x:v>Per bedroom</x:v>
      </x:c>
      <x:c r="F65" s="7" t="n">
        <x:f>IF('Raw properties'!I65="","",'Raw properties'!I65)</x:f>
        <x:v>35.775635</x:v>
      </x:c>
      <x:c r="G65" s="7" t="n">
        <x:f>IF('Raw properties'!J65="","",'Raw properties'!J65)</x:f>
        <x:v>-78.69008</x:v>
      </x:c>
      <x:c r="H65" s="6" t="n">
        <x:f>IF('Raw properties'!M65="","",'Raw properties'!M65)</x:f>
        <x:v>800</x:v>
      </x:c>
      <x:c r="I65" s="6" t="n">
        <x:f>IF('Raw properties'!N65="","",'Raw properties'!N65)</x:f>
        <x:v>800</x:v>
      </x:c>
      <x:c r="J65" s="6" t="n">
        <x:f>IF((IF('Raw floorplans'!H394&gt;0,1,0))=0,"",MIN(IF('Raw floorplans'!H394&gt;0,'Raw floorplans'!H394,1E99)))</x:f>
        <x:v>800</x:v>
      </x:c>
      <x:c r="K65" s="6" t="n">
        <x:f>IF((IF('Raw floorplans'!I394&gt;0,1,0))=0,"",MAX(IF('Raw floorplans'!I394&gt;0,'Raw floorplans'!I394,0)))</x:f>
        <x:v>800</x:v>
      </x:c>
      <x:c r="L65" s="1" t="n">
        <x:v>0</x:v>
      </x:c>
      <x:c r="M65" s="1" t="n">
        <x:f>IF(AND(ISNUMBER(H65),ISNUMBER(I65),ISNUMBER(J65),ISNUMBER(K65),H65&gt;0,I65&gt;0),IF(OR(H65&lt;&gt;J65,I65&lt;&gt;K65),1,0),0)</x:f>
        <x:v>0</x:v>
      </x:c>
      <x:c r="N65" s="1" t="n">
        <x:f>IF(AND(ISNUMBER(H65),ISNUMBER(I65),H65&gt;0,I65&gt;=H65),1,0)</x:f>
        <x:v>1</x:v>
      </x:c>
      <x:c r="O65" s="1" t="n">
        <x:f>IF(AND(L65=0,M65=0,N65=1),1,0)</x:f>
        <x:v>1</x:v>
      </x:c>
      <x:c r="P65" s="7" t="n">
        <x:f>2*3958.7613*ASIN(SQRT(SIN(RADIANS(F65-35.77951)/2)^2+COS(RADIANS(35.77951))*COS(RADIANS(F65))*SIN(RADIANS(G65-(-78.68168))/2)^2))</x:f>
        <x:v>0.541658593294306</x:v>
      </x:c>
      <x:c r="Q65" s="1" t="str">
        <x:f>IF(P65&lt;=1,"0–1 mi",IF(P65&lt;=3,"&gt;1–3 mi",IF(P65&lt;=5,"&gt;3–5 mi","Outside 5 mi")))</x:f>
        <x:v>0–1 mi</x:v>
      </x:c>
      <x:c r="R65" s="7" t="n">
        <x:f>2*3958.7613*ASIN(SQRT(SIN(RADIANS(F65-35.7687)/2)^2+COS(RADIANS(35.7687))*COS(RADIANS(F65))*SIN(RADIANS(G65-(-78.6775))/2)^2))</x:f>
        <x:v>0.8526029879890701</x:v>
      </x:c>
      <x:c r="S65" s="1" t="str">
        <x:f>IF(R65&lt;=1,"0–1 mi",IF(R65&lt;=3,"&gt;1–3 mi",IF(R65&lt;=5,"&gt;3–5 mi","Outside 5 mi")))</x:f>
        <x:v>0–1 mi</x:v>
      </x:c>
      <x:c r="T65" s="7" t="n">
        <x:f>2*3958.7613*ASIN(SQRT(SIN(RADIANS(F65-35.79847)/2)^2+COS(RADIANS(35.79847))*COS(RADIANS(F65))*SIN(RADIANS(G65-(-78.70408))/2)^2))</x:f>
        <x:v>1.7621027949735748</x:v>
      </x:c>
      <x:c r="U65" s="1" t="str">
        <x:f>IF(T65&lt;=1,"0–1 mi",IF(T65&lt;=3,"&gt;1–3 mi",IF(T65&lt;=5,"&gt;3–5 mi","Outside 5 mi")))</x:f>
        <x:v>&gt;1–3 mi</x:v>
      </x:c>
      <x:c r="V65" s="1" t="n">
        <x:f>IF(MIN(P65,R65,T65)&lt;=5,1,0)</x:f>
        <x:v>1</x:v>
      </x:c>
      <x:c r="W65" s="6" t="n">
        <x:f>IF(O65=1,(H65+I65)/2,"")</x:f>
        <x:v>800</x:v>
      </x:c>
      <x:c r="X65" s="1" t="n">
        <x:f>O65*V65</x:f>
        <x:v>1</x:v>
      </x:c>
      <x:c r="Y65" s="1" t="n">
        <x:v>0</x:v>
      </x:c>
      <x:c r="Z65" s="1" t="n">
        <x:v>0</x:v>
      </x:c>
      <x:c r="AA65" s="1" t="n">
        <x:v>0</x:v>
      </x:c>
      <x:c r="AB65" s="1" t="n">
        <x:v>0</x:v>
      </x:c>
      <x:c r="AC65" s="1" t="n">
        <x:v>0</x:v>
      </x:c>
      <x:c r="AD65" s="1" t="str">
        <x:f>IF('Raw properties'!Y65="","",'Raw properties'!Y65)</x:f>
        <x:v>12 Month Lease</x:v>
      </x:c>
      <x:c r="AE65" s="1" t="str">
        <x:v>1970-01-01</x:v>
      </x:c>
      <x:c r="AF65" s="1" t="str">
        <x:v>Included in rent means</x:v>
      </x:c>
      <x:c r="AG65" s="5" t="str">
        <x:v>Source pricing flag retained; automated consistency checks passed. This is not independent landlord verification.</x:v>
      </x:c>
      <x:c r="AH65" s="1" t="str">
        <x:v>$800</x:v>
      </x:c>
      <x:c r="AI65" s="8" t="n">
        <x:f>MIN(ABS(P65-1),ABS(P65-3),ABS(P65-5))*5280</x:f>
        <x:v>2420.042627406064</x:v>
      </x:c>
      <x:c r="AJ65" s="8" t="n">
        <x:f>MIN(ABS(R65-1),ABS(R65-3),ABS(R65-5))*5280</x:f>
        <x:v>778.25622341771</x:v>
      </x:c>
      <x:c r="AK65" s="8" t="n">
        <x:f>MIN(ABS(T65-1),ABS(T65-3),ABS(T65-5))*5280</x:f>
        <x:v>4023.902757460475</x:v>
      </x:c>
      <x:c r="AL65" s="1" t="n">
        <x:f>IF(MIN(AI65,AJ65,AK65)&lt;=100,1,0)</x:f>
        <x:v>0</x:v>
      </x:c>
    </x:row>
    <x:row r="66" ht="24" hidden="0" customHeight="1">
      <x:c r="A66" s="1" t="str">
        <x:f>IF('Raw properties'!A66="","",'Raw properties'!A66)</x:f>
        <x:v>6mnn0qr</x:v>
      </x:c>
      <x:c r="B66" s="1" t="str">
        <x:f>IF('Raw properties'!D66="","",'Raw properties'!D66)</x:f>
        <x:v>Live on Hillsborough</x:v>
      </x:c>
      <x:c r="C66" s="1" t="str">
        <x:f>IF('Raw properties'!AG66="","",'Raw properties'!AG66)</x:f>
        <x:v>https://offcampus.dasa.ncsu.edu/housing/property/live-on-hillsborough/6mnn0qr</x:v>
      </x:c>
      <x:c r="D66" s="1" t="str">
        <x:v>Whole unit</x:v>
      </x:c>
      <x:c r="E66" s="1" t="str">
        <x:v>Review</x:v>
      </x:c>
      <x:c r="F66" s="7" t="n">
        <x:f>IF('Raw properties'!I66="","",'Raw properties'!I66)</x:f>
        <x:v>35.788966</x:v>
      </x:c>
      <x:c r="G66" s="7" t="n">
        <x:f>IF('Raw properties'!J66="","",'Raw properties'!J66)</x:f>
        <x:v>-78.674783</x:v>
      </x:c>
      <x:c r="H66" s="6" t="n">
        <x:f>IF('Raw properties'!M66="","",'Raw properties'!M66)</x:f>
        <x:v>979</x:v>
      </x:c>
      <x:c r="I66" s="6" t="n">
        <x:f>IF('Raw properties'!N66="","",'Raw properties'!N66)</x:f>
        <x:v>1435</x:v>
      </x:c>
      <x:c r="J66" s="6" t="n">
        <x:f>IF((IF('Raw floorplans'!H395&gt;0,1,0)+IF('Raw floorplans'!H396&gt;0,1,0)+IF('Raw floorplans'!H397&gt;0,1,0)+IF('Raw floorplans'!H398&gt;0,1,0)+IF('Raw floorplans'!H399&gt;0,1,0)+IF('Raw floorplans'!H400&gt;0,1,0)+IF('Raw floorplans'!H401&gt;0,1,0)+IF('Raw floorplans'!H402&gt;0,1,0)+IF('Raw floorplans'!H403&gt;0,1,0)+IF('Raw floorplans'!H404&gt;0,1,0)+IF('Raw floorplans'!H405&gt;0,1,0)+IF('Raw floorplans'!H406&gt;0,1,0)+IF('Raw floorplans'!H407&gt;0,1,0)+IF('Raw floorplans'!H408&gt;0,1,0)+IF('Raw floorplans'!H409&gt;0,1,0)+IF('Raw floorplans'!H410&gt;0,1,0)+IF('Raw floorplans'!H411&gt;0,1,0))=0,"",MIN(IF('Raw floorplans'!H395&gt;0,'Raw floorplans'!H395,1E99),IF('Raw floorplans'!H396&gt;0,'Raw floorplans'!H396,1E99),IF('Raw floorplans'!H397&gt;0,'Raw floorplans'!H397,1E99),IF('Raw floorplans'!H398&gt;0,'Raw floorplans'!H398,1E99),IF('Raw floorplans'!H399&gt;0,'Raw floorplans'!H399,1E99),IF('Raw floorplans'!H400&gt;0,'Raw floorplans'!H400,1E99),IF('Raw floorplans'!H401&gt;0,'Raw floorplans'!H401,1E99),IF('Raw floorplans'!H402&gt;0,'Raw floorplans'!H402,1E99),IF('Raw floorplans'!H403&gt;0,'Raw floorplans'!H403,1E99),IF('Raw floorplans'!H404&gt;0,'Raw floorplans'!H404,1E99),IF('Raw floorplans'!H405&gt;0,'Raw floorplans'!H405,1E99),IF('Raw floorplans'!H406&gt;0,'Raw floorplans'!H406,1E99),IF('Raw floorplans'!H407&gt;0,'Raw floorplans'!H407,1E99),IF('Raw floorplans'!H408&gt;0,'Raw floorplans'!H408,1E99),IF('Raw floorplans'!H409&gt;0,'Raw floorplans'!H409,1E99),IF('Raw floorplans'!H410&gt;0,'Raw floorplans'!H410,1E99),IF('Raw floorplans'!H411&gt;0,'Raw floorplans'!H411,1E99)))</x:f>
        <x:v>979</x:v>
      </x:c>
      <x:c r="K66" s="6" t="n">
        <x:f>IF((IF('Raw floorplans'!I395&gt;0,1,0)+IF('Raw floorplans'!I396&gt;0,1,0)+IF('Raw floorplans'!I397&gt;0,1,0)+IF('Raw floorplans'!I398&gt;0,1,0)+IF('Raw floorplans'!I399&gt;0,1,0)+IF('Raw floorplans'!I400&gt;0,1,0)+IF('Raw floorplans'!I401&gt;0,1,0)+IF('Raw floorplans'!I402&gt;0,1,0)+IF('Raw floorplans'!I403&gt;0,1,0)+IF('Raw floorplans'!I404&gt;0,1,0)+IF('Raw floorplans'!I405&gt;0,1,0)+IF('Raw floorplans'!I406&gt;0,1,0)+IF('Raw floorplans'!I407&gt;0,1,0)+IF('Raw floorplans'!I408&gt;0,1,0)+IF('Raw floorplans'!I409&gt;0,1,0)+IF('Raw floorplans'!I410&gt;0,1,0)+IF('Raw floorplans'!I411&gt;0,1,0))=0,"",MAX(IF('Raw floorplans'!I395&gt;0,'Raw floorplans'!I395,0),IF('Raw floorplans'!I396&gt;0,'Raw floorplans'!I396,0),IF('Raw floorplans'!I397&gt;0,'Raw floorplans'!I397,0),IF('Raw floorplans'!I398&gt;0,'Raw floorplans'!I398,0),IF('Raw floorplans'!I399&gt;0,'Raw floorplans'!I399,0),IF('Raw floorplans'!I400&gt;0,'Raw floorplans'!I400,0),IF('Raw floorplans'!I401&gt;0,'Raw floorplans'!I401,0),IF('Raw floorplans'!I402&gt;0,'Raw floorplans'!I402,0),IF('Raw floorplans'!I403&gt;0,'Raw floorplans'!I403,0),IF('Raw floorplans'!I404&gt;0,'Raw floorplans'!I404,0),IF('Raw floorplans'!I405&gt;0,'Raw floorplans'!I405,0),IF('Raw floorplans'!I406&gt;0,'Raw floorplans'!I406,0),IF('Raw floorplans'!I407&gt;0,'Raw floorplans'!I407,0),IF('Raw floorplans'!I408&gt;0,'Raw floorplans'!I408,0),IF('Raw floorplans'!I409&gt;0,'Raw floorplans'!I409,0),IF('Raw floorplans'!I410&gt;0,'Raw floorplans'!I410,0),IF('Raw floorplans'!I411&gt;0,'Raw floorplans'!I411,0)))</x:f>
        <x:v>1435</x:v>
      </x:c>
      <x:c r="L66" s="1" t="n">
        <x:v>1</x:v>
      </x:c>
      <x:c r="M66" s="1" t="n">
        <x:f>IF(AND(ISNUMBER(H66),ISNUMBER(I66),ISNUMBER(J66),ISNUMBER(K66),H66&gt;0,I66&gt;0),IF(OR(H66&lt;&gt;J66,I66&lt;&gt;K66),1,0),0)</x:f>
        <x:v>0</x:v>
      </x:c>
      <x:c r="N66" s="1" t="n">
        <x:f>IF(AND(ISNUMBER(H66),ISNUMBER(I66),H66&gt;0,I66&gt;=H66),1,0)</x:f>
        <x:v>1</x:v>
      </x:c>
      <x:c r="O66" s="1" t="n">
        <x:f>IF(AND(L66=0,M66=0,N66=1),1,0)</x:f>
        <x:v>0</x:v>
      </x:c>
      <x:c r="P66" s="7" t="n">
        <x:f>2*3958.7613*ASIN(SQRT(SIN(RADIANS(F66-35.77951)/2)^2+COS(RADIANS(35.77951))*COS(RADIANS(F66))*SIN(RADIANS(G66-(-78.68168))/2)^2))</x:f>
        <x:v>0.759148197335244</x:v>
      </x:c>
      <x:c r="Q66" s="1" t="str">
        <x:f>IF(P66&lt;=1,"0–1 mi",IF(P66&lt;=3,"&gt;1–3 mi",IF(P66&lt;=5,"&gt;3–5 mi","Outside 5 mi")))</x:f>
        <x:v>0–1 mi</x:v>
      </x:c>
      <x:c r="R66" s="7" t="n">
        <x:f>2*3958.7613*ASIN(SQRT(SIN(RADIANS(F66-35.7687)/2)^2+COS(RADIANS(35.7687))*COS(RADIANS(F66))*SIN(RADIANS(G66-(-78.6775))/2)^2))</x:f>
        <x:v>1.4085053369475802</x:v>
      </x:c>
      <x:c r="S66" s="1" t="str">
        <x:f>IF(R66&lt;=1,"0–1 mi",IF(R66&lt;=3,"&gt;1–3 mi",IF(R66&lt;=5,"&gt;3–5 mi","Outside 5 mi")))</x:f>
        <x:v>&gt;1–3 mi</x:v>
      </x:c>
      <x:c r="T66" s="7" t="n">
        <x:f>2*3958.7613*ASIN(SQRT(SIN(RADIANS(F66-35.79847)/2)^2+COS(RADIANS(35.79847))*COS(RADIANS(F66))*SIN(RADIANS(G66-(-78.70408))/2)^2))</x:f>
        <x:v>1.7683534738416387</x:v>
      </x:c>
      <x:c r="U66" s="1" t="str">
        <x:f>IF(T66&lt;=1,"0–1 mi",IF(T66&lt;=3,"&gt;1–3 mi",IF(T66&lt;=5,"&gt;3–5 mi","Outside 5 mi")))</x:f>
        <x:v>&gt;1–3 mi</x:v>
      </x:c>
      <x:c r="V66" s="1" t="n">
        <x:f>IF(MIN(P66,R66,T66)&lt;=5,1,0)</x:f>
        <x:v>1</x:v>
      </x:c>
      <x:c r="W66" s="6" t="str">
        <x:f>IF(O66=1,(H66+I66)/2,"")</x:f>
      </x:c>
      <x:c r="X66" s="1" t="n">
        <x:f>O66*V66</x:f>
        <x:v>0</x:v>
      </x:c>
      <x:c r="Y66" s="1" t="n">
        <x:v>0</x:v>
      </x:c>
      <x:c r="Z66" s="1" t="n">
        <x:v>0</x:v>
      </x:c>
      <x:c r="AA66" s="1" t="n">
        <x:v>0</x:v>
      </x:c>
      <x:c r="AB66" s="1" t="n">
        <x:v>1</x:v>
      </x:c>
      <x:c r="AC66" s="1" t="n">
        <x:v>0</x:v>
      </x:c>
      <x:c r="AD66" s="1" t="str">
        <x:f>IF('Raw properties'!Y66="","",'Raw properties'!Y66)</x:f>
        <x:v>11 Month Lease</x:v>
      </x:c>
      <x:c r="AE66" s="1" t="str">
        <x:v>2026-08-13</x:v>
      </x:c>
      <x:c r="AF66" s="1" t="str">
        <x:v>Excluded from rent means</x:v>
      </x:c>
      <x:c r="AG66" s="5" t="str">
        <x:v>September 13 portal shows one-bedroom whole-unit prices and two/three-bedroom per-bedroom prices. The saved property range mixes these bases. Excluded rather than treating all floor plans as independent listings or assigning the whole range to one group.</x:v>
      </x:c>
      <x:c r="AH66" s="1" t="str">
        <x:v>$979 - $1,435</x:v>
      </x:c>
      <x:c r="AI66" s="8" t="n">
        <x:f>MIN(ABS(P66-1),ABS(P66-3),ABS(P66-5))*5280</x:f>
        <x:v>1271.697518069912</x:v>
      </x:c>
      <x:c r="AJ66" s="8" t="n">
        <x:f>MIN(ABS(R66-1),ABS(R66-3),ABS(R66-5))*5280</x:f>
        <x:v>2156.9081790832233</x:v>
      </x:c>
      <x:c r="AK66" s="8" t="n">
        <x:f>MIN(ABS(T66-1),ABS(T66-3),ABS(T66-5))*5280</x:f>
        <x:v>4056.9063418838523</x:v>
      </x:c>
      <x:c r="AL66" s="1" t="n">
        <x:f>IF(MIN(AI66,AJ66,AK66)&lt;=100,1,0)</x:f>
        <x:v>0</x:v>
      </x:c>
    </x:row>
    <x:row r="67" ht="15" hidden="0" customHeight="1">
      <x:c r="A67" s="1" t="str">
        <x:f>IF('Raw properties'!A67="","",'Raw properties'!A67)</x:f>
        <x:v>ocp74dcp6w</x:v>
      </x:c>
      <x:c r="B67" s="1" t="str">
        <x:f>IF('Raw properties'!D67="","",'Raw properties'!D67)</x:f>
        <x:v>Crabtree Woods Townhome West Raleigh</x:v>
      </x:c>
      <x:c r="C67" s="1" t="str">
        <x:f>IF('Raw properties'!AG67="","",'Raw properties'!AG67)</x:f>
        <x:v>https://offcampus.dasa.ncsu.edu/housing/property/crabtree-woods-townhome-west-raleigh/ocp74dcp6w</x:v>
      </x:c>
      <x:c r="D67" s="1" t="str">
        <x:v>Whole unit</x:v>
      </x:c>
      <x:c r="E67" s="1" t="str">
        <x:v>Whole unit</x:v>
      </x:c>
      <x:c r="F67" s="7" t="n">
        <x:f>IF('Raw properties'!I67="","",'Raw properties'!I67)</x:f>
        <x:v>35.836233</x:v>
      </x:c>
      <x:c r="G67" s="7" t="n">
        <x:f>IF('Raw properties'!J67="","",'Raw properties'!J67)</x:f>
        <x:v>-78.685876</x:v>
      </x:c>
      <x:c r="H67" s="6" t="n">
        <x:f>IF('Raw properties'!M67="","",'Raw properties'!M67)</x:f>
        <x:v>1595</x:v>
      </x:c>
      <x:c r="I67" s="6" t="n">
        <x:f>IF('Raw properties'!N67="","",'Raw properties'!N67)</x:f>
        <x:v>1595</x:v>
      </x:c>
      <x:c r="J67" s="6" t="n">
        <x:f>IF((IF('Raw floorplans'!H412&gt;0,1,0))=0,"",MIN(IF('Raw floorplans'!H412&gt;0,'Raw floorplans'!H412,1E99)))</x:f>
        <x:v>1595</x:v>
      </x:c>
      <x:c r="K67" s="6" t="n">
        <x:f>IF((IF('Raw floorplans'!I412&gt;0,1,0))=0,"",MAX(IF('Raw floorplans'!I412&gt;0,'Raw floorplans'!I412,0)))</x:f>
        <x:v>1595</x:v>
      </x:c>
      <x:c r="L67" s="1" t="n">
        <x:v>0</x:v>
      </x:c>
      <x:c r="M67" s="1" t="n">
        <x:f>IF(AND(ISNUMBER(H67),ISNUMBER(I67),ISNUMBER(J67),ISNUMBER(K67),H67&gt;0,I67&gt;0),IF(OR(H67&lt;&gt;J67,I67&lt;&gt;K67),1,0),0)</x:f>
        <x:v>0</x:v>
      </x:c>
      <x:c r="N67" s="1" t="n">
        <x:f>IF(AND(ISNUMBER(H67),ISNUMBER(I67),H67&gt;0,I67&gt;=H67),1,0)</x:f>
        <x:v>1</x:v>
      </x:c>
      <x:c r="O67" s="1" t="n">
        <x:f>IF(AND(L67=0,M67=0,N67=1),1,0)</x:f>
        <x:v>1</x:v>
      </x:c>
      <x:c r="P67" s="7" t="n">
        <x:f>2*3958.7613*ASIN(SQRT(SIN(RADIANS(F67-35.77951)/2)^2+COS(RADIANS(35.77951))*COS(RADIANS(F67))*SIN(RADIANS(G67-(-78.68168))/2)^2))</x:f>
        <x:v>3.9262321589303384</x:v>
      </x:c>
      <x:c r="Q67" s="1" t="str">
        <x:f>IF(P67&lt;=1,"0–1 mi",IF(P67&lt;=3,"&gt;1–3 mi",IF(P67&lt;=5,"&gt;3–5 mi","Outside 5 mi")))</x:f>
        <x:v>&gt;3–5 mi</x:v>
      </x:c>
      <x:c r="R67" s="7" t="n">
        <x:f>2*3958.7613*ASIN(SQRT(SIN(RADIANS(F67-35.7687)/2)^2+COS(RADIANS(35.7687))*COS(RADIANS(F67))*SIN(RADIANS(G67-(-78.6775))/2)^2))</x:f>
        <x:v>4.689633779601277</x:v>
      </x:c>
      <x:c r="S67" s="1" t="str">
        <x:f>IF(R67&lt;=1,"0–1 mi",IF(R67&lt;=3,"&gt;1–3 mi",IF(R67&lt;=5,"&gt;3–5 mi","Outside 5 mi")))</x:f>
        <x:v>&gt;3–5 mi</x:v>
      </x:c>
      <x:c r="T67" s="7" t="n">
        <x:f>2*3958.7613*ASIN(SQRT(SIN(RADIANS(F67-35.79847)/2)^2+COS(RADIANS(35.79847))*COS(RADIANS(F67))*SIN(RADIANS(G67-(-78.70408))/2)^2))</x:f>
        <x:v>2.8014314159508897</x:v>
      </x:c>
      <x:c r="U67" s="1" t="str">
        <x:f>IF(T67&lt;=1,"0–1 mi",IF(T67&lt;=3,"&gt;1–3 mi",IF(T67&lt;=5,"&gt;3–5 mi","Outside 5 mi")))</x:f>
        <x:v>&gt;1–3 mi</x:v>
      </x:c>
      <x:c r="V67" s="1" t="n">
        <x:f>IF(MIN(P67,R67,T67)&lt;=5,1,0)</x:f>
        <x:v>1</x:v>
      </x:c>
      <x:c r="W67" s="6" t="n">
        <x:f>IF(O67=1,(H67+I67)/2,"")</x:f>
        <x:v>1595</x:v>
      </x:c>
      <x:c r="X67" s="1" t="n">
        <x:f>O67*V67</x:f>
        <x:v>1</x:v>
      </x:c>
      <x:c r="Y67" s="1" t="n">
        <x:v>0</x:v>
      </x:c>
      <x:c r="Z67" s="1" t="n">
        <x:v>0</x:v>
      </x:c>
      <x:c r="AA67" s="1" t="n">
        <x:v>0</x:v>
      </x:c>
      <x:c r="AB67" s="1" t="n">
        <x:v>0</x:v>
      </x:c>
      <x:c r="AC67" s="1" t="n">
        <x:v>0</x:v>
      </x:c>
      <x:c r="AD67" s="1" t="str">
        <x:f>IF('Raw properties'!Y67="","",'Raw properties'!Y67)</x:f>
        <x:v>12 Month Lease</x:v>
      </x:c>
      <x:c r="AE67" s="1" t="str">
        <x:v>1970-01-01</x:v>
      </x:c>
      <x:c r="AF67" s="1" t="str">
        <x:v>Included in rent means</x:v>
      </x:c>
      <x:c r="AG67" s="5" t="str">
        <x:v>Source pricing flag retained; automated consistency checks passed. This is not independent landlord verification.</x:v>
      </x:c>
      <x:c r="AH67" s="1" t="str">
        <x:v>$1,595</x:v>
      </x:c>
      <x:c r="AI67" s="8" t="n">
        <x:f>MIN(ABS(P67-1),ABS(P67-3),ABS(P67-5))*5280</x:f>
        <x:v>4890.505799152187</x:v>
      </x:c>
      <x:c r="AJ67" s="8" t="n">
        <x:f>MIN(ABS(R67-1),ABS(R67-3),ABS(R67-5))*5280</x:f>
        <x:v>1638.7336437052595</x:v>
      </x:c>
      <x:c r="AK67" s="8" t="n">
        <x:f>MIN(ABS(T67-1),ABS(T67-3),ABS(T67-5))*5280</x:f>
        <x:v>1048.4421237793022</x:v>
      </x:c>
      <x:c r="AL67" s="1" t="n">
        <x:f>IF(MIN(AI67,AJ67,AK67)&lt;=100,1,0)</x:f>
        <x:v>0</x:v>
      </x:c>
    </x:row>
    <x:row r="68" ht="15" hidden="0" customHeight="1">
      <x:c r="A68" s="1" t="str">
        <x:f>IF('Raw properties'!A68="","",'Raw properties'!A68)</x:f>
        <x:v>nhblm0q</x:v>
      </x:c>
      <x:c r="B68" s="1" t="str">
        <x:f>IF('Raw properties'!D68="","",'Raw properties'!D68)</x:f>
        <x:v>Viceroy Apartments</x:v>
      </x:c>
      <x:c r="C68" s="1" t="str">
        <x:f>IF('Raw properties'!AG68="","",'Raw properties'!AG68)</x:f>
        <x:v>https://offcampus.dasa.ncsu.edu/housing/property/viceroy-apartments/nhblm0q</x:v>
      </x:c>
      <x:c r="D68" s="1" t="str">
        <x:v>Whole unit</x:v>
      </x:c>
      <x:c r="E68" s="1" t="str">
        <x:v>Whole unit</x:v>
      </x:c>
      <x:c r="F68" s="7" t="n">
        <x:f>IF('Raw properties'!I68="","",'Raw properties'!I68)</x:f>
        <x:v>35.991864</x:v>
      </x:c>
      <x:c r="G68" s="7" t="n">
        <x:f>IF('Raw properties'!J68="","",'Raw properties'!J68)</x:f>
        <x:v>-78.922841</x:v>
      </x:c>
      <x:c r="H68" s="6" t="n">
        <x:f>IF('Raw properties'!M68="","",'Raw properties'!M68)</x:f>
        <x:v>1099</x:v>
      </x:c>
      <x:c r="I68" s="6" t="n">
        <x:f>IF('Raw properties'!N68="","",'Raw properties'!N68)</x:f>
        <x:v>1099</x:v>
      </x:c>
      <x:c r="J68" s="6" t="n">
        <x:f>IF((IF('Raw floorplans'!H413&gt;0,1,0))=0,"",MIN(IF('Raw floorplans'!H413&gt;0,'Raw floorplans'!H413,1E99)))</x:f>
        <x:v>1099</x:v>
      </x:c>
      <x:c r="K68" s="6" t="n">
        <x:f>IF((IF('Raw floorplans'!I413&gt;0,1,0))=0,"",MAX(IF('Raw floorplans'!I413&gt;0,'Raw floorplans'!I413,0)))</x:f>
        <x:v>1099</x:v>
      </x:c>
      <x:c r="L68" s="1" t="n">
        <x:v>0</x:v>
      </x:c>
      <x:c r="M68" s="1" t="n">
        <x:f>IF(AND(ISNUMBER(H68),ISNUMBER(I68),ISNUMBER(J68),ISNUMBER(K68),H68&gt;0,I68&gt;0),IF(OR(H68&lt;&gt;J68,I68&lt;&gt;K68),1,0),0)</x:f>
        <x:v>0</x:v>
      </x:c>
      <x:c r="N68" s="1" t="n">
        <x:f>IF(AND(ISNUMBER(H68),ISNUMBER(I68),H68&gt;0,I68&gt;=H68),1,0)</x:f>
        <x:v>1</x:v>
      </x:c>
      <x:c r="O68" s="1" t="n">
        <x:f>IF(AND(L68=0,M68=0,N68=1),1,0)</x:f>
        <x:v>1</x:v>
      </x:c>
      <x:c r="P68" s="7" t="n">
        <x:f>2*3958.7613*ASIN(SQRT(SIN(RADIANS(F68-35.77951)/2)^2+COS(RADIANS(35.77951))*COS(RADIANS(F68))*SIN(RADIANS(G68-(-78.68168))/2)^2))</x:f>
        <x:v>19.93793408098136</x:v>
      </x:c>
      <x:c r="Q68" s="1" t="str">
        <x:f>IF(P68&lt;=1,"0–1 mi",IF(P68&lt;=3,"&gt;1–3 mi",IF(P68&lt;=5,"&gt;3–5 mi","Outside 5 mi")))</x:f>
        <x:v>Outside 5 mi</x:v>
      </x:c>
      <x:c r="R68" s="7" t="n">
        <x:f>2*3958.7613*ASIN(SQRT(SIN(RADIANS(F68-35.7687)/2)^2+COS(RADIANS(35.7687))*COS(RADIANS(F68))*SIN(RADIANS(G68-(-78.6775))/2)^2))</x:f>
        <x:v>20.6493245650563</x:v>
      </x:c>
      <x:c r="S68" s="1" t="str">
        <x:f>IF(R68&lt;=1,"0–1 mi",IF(R68&lt;=3,"&gt;1–3 mi",IF(R68&lt;=5,"&gt;3–5 mi","Outside 5 mi")))</x:f>
        <x:v>Outside 5 mi</x:v>
      </x:c>
      <x:c r="T68" s="7" t="n">
        <x:f>2*3958.7613*ASIN(SQRT(SIN(RADIANS(F68-35.79847)/2)^2+COS(RADIANS(35.79847))*COS(RADIANS(F68))*SIN(RADIANS(G68-(-78.70408))/2)^2))</x:f>
        <x:v>18.12392688669125</x:v>
      </x:c>
      <x:c r="U68" s="1" t="str">
        <x:f>IF(T68&lt;=1,"0–1 mi",IF(T68&lt;=3,"&gt;1–3 mi",IF(T68&lt;=5,"&gt;3–5 mi","Outside 5 mi")))</x:f>
        <x:v>Outside 5 mi</x:v>
      </x:c>
      <x:c r="V68" s="1" t="n">
        <x:f>IF(MIN(P68,R68,T68)&lt;=5,1,0)</x:f>
        <x:v>0</x:v>
      </x:c>
      <x:c r="W68" s="6" t="n">
        <x:f>IF(O68=1,(H68+I68)/2,"")</x:f>
        <x:v>1099</x:v>
      </x:c>
      <x:c r="X68" s="1" t="n">
        <x:f>O68*V68</x:f>
        <x:v>0</x:v>
      </x:c>
      <x:c r="Y68" s="1" t="n">
        <x:v>0</x:v>
      </x:c>
      <x:c r="Z68" s="1" t="n">
        <x:v>0</x:v>
      </x:c>
      <x:c r="AA68" s="1" t="n">
        <x:v>0</x:v>
      </x:c>
      <x:c r="AB68" s="1" t="n">
        <x:v>0</x:v>
      </x:c>
      <x:c r="AC68" s="1" t="n">
        <x:v>0</x:v>
      </x:c>
      <x:c r="AD68" s="1" t="str">
        <x:f>IF('Raw properties'!Y68="","",'Raw properties'!Y68)</x:f>
      </x:c>
      <x:c r="AE68" s="1" t="str">
        <x:v>2026-09-05</x:v>
      </x:c>
      <x:c r="AF68" s="1" t="str">
        <x:v>Included in rent means</x:v>
      </x:c>
      <x:c r="AG68" s="5" t="str">
        <x:v>Source pricing flag retained; automated consistency checks passed. This is not independent landlord verification.</x:v>
      </x:c>
      <x:c r="AH68" s="1" t="str">
        <x:v>$1,099</x:v>
      </x:c>
      <x:c r="AI68" s="8" t="n">
        <x:f>MIN(ABS(P68-1),ABS(P68-3),ABS(P68-5))*5280</x:f>
        <x:v>78872.29194758159</x:v>
      </x:c>
      <x:c r="AJ68" s="8" t="n">
        <x:f>MIN(ABS(R68-1),ABS(R68-3),ABS(R68-5))*5280</x:f>
        <x:v>82628.43370349727</x:v>
      </x:c>
      <x:c r="AK68" s="8" t="n">
        <x:f>MIN(ABS(T68-1),ABS(T68-3),ABS(T68-5))*5280</x:f>
        <x:v>69294.3339617298</x:v>
      </x:c>
      <x:c r="AL68" s="1" t="n">
        <x:f>IF(MIN(AI68,AJ68,AK68)&lt;=100,1,0)</x:f>
        <x:v>0</x:v>
      </x:c>
    </x:row>
    <x:row r="69" ht="15" hidden="0" customHeight="1">
      <x:c r="A69" s="1" t="str">
        <x:f>IF('Raw properties'!A69="","",'Raw properties'!A69)</x:f>
        <x:v>ocpkb0kbhb</x:v>
      </x:c>
      <x:c r="B69" s="1" t="str">
        <x:f>IF('Raw properties'!D69="","",'Raw properties'!D69)</x:f>
        <x:v>Great Location - Connected to Centennial Campus</x:v>
      </x:c>
      <x:c r="C69" s="1" t="str">
        <x:f>IF('Raw properties'!AG69="","",'Raw properties'!AG69)</x:f>
        <x:v>https://offcampus.dasa.ncsu.edu/housing/property/great-location-connected-to-centennial-campus/ocpkb0kbhb</x:v>
      </x:c>
      <x:c r="D69" s="1" t="str">
        <x:v>Whole unit</x:v>
      </x:c>
      <x:c r="E69" s="1" t="str">
        <x:v>Whole unit</x:v>
      </x:c>
      <x:c r="F69" s="7" t="n">
        <x:f>IF('Raw properties'!I69="","",'Raw properties'!I69)</x:f>
        <x:v>35.770311</x:v>
      </x:c>
      <x:c r="G69" s="7" t="n">
        <x:f>IF('Raw properties'!J69="","",'Raw properties'!J69)</x:f>
        <x:v>-78.682992</x:v>
      </x:c>
      <x:c r="H69" s="6" t="n">
        <x:f>IF('Raw properties'!M69="","",'Raw properties'!M69)</x:f>
        <x:v>1240</x:v>
      </x:c>
      <x:c r="I69" s="6" t="n">
        <x:f>IF('Raw properties'!N69="","",'Raw properties'!N69)</x:f>
        <x:v>1240</x:v>
      </x:c>
      <x:c r="J69" s="6" t="n">
        <x:f>IF((IF('Raw floorplans'!H414&gt;0,1,0))=0,"",MIN(IF('Raw floorplans'!H414&gt;0,'Raw floorplans'!H414,1E99)))</x:f>
        <x:v>1240</x:v>
      </x:c>
      <x:c r="K69" s="6" t="n">
        <x:f>IF((IF('Raw floorplans'!I414&gt;0,1,0))=0,"",MAX(IF('Raw floorplans'!I414&gt;0,'Raw floorplans'!I414,0)))</x:f>
        <x:v>1240</x:v>
      </x:c>
      <x:c r="L69" s="1" t="n">
        <x:v>0</x:v>
      </x:c>
      <x:c r="M69" s="1" t="n">
        <x:f>IF(AND(ISNUMBER(H69),ISNUMBER(I69),ISNUMBER(J69),ISNUMBER(K69),H69&gt;0,I69&gt;0),IF(OR(H69&lt;&gt;J69,I69&lt;&gt;K69),1,0),0)</x:f>
        <x:v>0</x:v>
      </x:c>
      <x:c r="N69" s="1" t="n">
        <x:f>IF(AND(ISNUMBER(H69),ISNUMBER(I69),H69&gt;0,I69&gt;=H69),1,0)</x:f>
        <x:v>1</x:v>
      </x:c>
      <x:c r="O69" s="1" t="n">
        <x:f>IF(AND(L69=0,M69=0,N69=1),1,0)</x:f>
        <x:v>1</x:v>
      </x:c>
      <x:c r="P69" s="7" t="n">
        <x:f>2*3958.7613*ASIN(SQRT(SIN(RADIANS(F69-35.77951)/2)^2+COS(RADIANS(35.77951))*COS(RADIANS(F69))*SIN(RADIANS(G69-(-78.68168))/2)^2))</x:f>
        <x:v>0.6398313923955044</x:v>
      </x:c>
      <x:c r="Q69" s="1" t="str">
        <x:f>IF(P69&lt;=1,"0–1 mi",IF(P69&lt;=3,"&gt;1–3 mi",IF(P69&lt;=5,"&gt;3–5 mi","Outside 5 mi")))</x:f>
        <x:v>0–1 mi</x:v>
      </x:c>
      <x:c r="R69" s="7" t="n">
        <x:f>2*3958.7613*ASIN(SQRT(SIN(RADIANS(F69-35.7687)/2)^2+COS(RADIANS(35.7687))*COS(RADIANS(F69))*SIN(RADIANS(G69-(-78.6775))/2)^2))</x:f>
        <x:v>0.3273883296477936</x:v>
      </x:c>
      <x:c r="S69" s="1" t="str">
        <x:f>IF(R69&lt;=1,"0–1 mi",IF(R69&lt;=3,"&gt;1–3 mi",IF(R69&lt;=5,"&gt;3–5 mi","Outside 5 mi")))</x:f>
        <x:v>0–1 mi</x:v>
      </x:c>
      <x:c r="T69" s="7" t="n">
        <x:f>2*3958.7613*ASIN(SQRT(SIN(RADIANS(F69-35.79847)/2)^2+COS(RADIANS(35.79847))*COS(RADIANS(F69))*SIN(RADIANS(G69-(-78.70408))/2)^2))</x:f>
        <x:v>2.276501016564099</x:v>
      </x:c>
      <x:c r="U69" s="1" t="str">
        <x:f>IF(T69&lt;=1,"0–1 mi",IF(T69&lt;=3,"&gt;1–3 mi",IF(T69&lt;=5,"&gt;3–5 mi","Outside 5 mi")))</x:f>
        <x:v>&gt;1–3 mi</x:v>
      </x:c>
      <x:c r="V69" s="1" t="n">
        <x:f>IF(MIN(P69,R69,T69)&lt;=5,1,0)</x:f>
        <x:v>1</x:v>
      </x:c>
      <x:c r="W69" s="6" t="n">
        <x:f>IF(O69=1,(H69+I69)/2,"")</x:f>
        <x:v>1240</x:v>
      </x:c>
      <x:c r="X69" s="1" t="n">
        <x:f>O69*V69</x:f>
        <x:v>1</x:v>
      </x:c>
      <x:c r="Y69" s="1" t="n">
        <x:v>0</x:v>
      </x:c>
      <x:c r="Z69" s="1" t="n">
        <x:v>0</x:v>
      </x:c>
      <x:c r="AA69" s="1" t="n">
        <x:v>0</x:v>
      </x:c>
      <x:c r="AB69" s="1" t="n">
        <x:v>0</x:v>
      </x:c>
      <x:c r="AC69" s="1" t="n">
        <x:v>0</x:v>
      </x:c>
      <x:c r="AD69" s="1" t="str">
        <x:f>IF('Raw properties'!Y69="","",'Raw properties'!Y69)</x:f>
        <x:v>12 Month Lease</x:v>
      </x:c>
      <x:c r="AE69" s="1" t="str">
        <x:v>2026-08-01</x:v>
      </x:c>
      <x:c r="AF69" s="1" t="str">
        <x:v>Included in rent means</x:v>
      </x:c>
      <x:c r="AG69" s="5" t="str">
        <x:v>Source pricing flag retained; automated consistency checks passed. This is not independent landlord verification.</x:v>
      </x:c>
      <x:c r="AH69" s="1" t="str">
        <x:v>$1,240</x:v>
      </x:c>
      <x:c r="AI69" s="8" t="n">
        <x:f>MIN(ABS(P69-1),ABS(P69-3),ABS(P69-5))*5280</x:f>
        <x:v>1901.690248151737</x:v>
      </x:c>
      <x:c r="AJ69" s="8" t="n">
        <x:f>MIN(ABS(R69-1),ABS(R69-3),ABS(R69-5))*5280</x:f>
        <x:v>3551.38961945965</x:v>
      </x:c>
      <x:c r="AK69" s="8" t="n">
        <x:f>MIN(ABS(T69-1),ABS(T69-3),ABS(T69-5))*5280</x:f>
        <x:v>3820.0746325415566</x:v>
      </x:c>
      <x:c r="AL69" s="1" t="n">
        <x:f>IF(MIN(AI69,AJ69,AK69)&lt;=100,1,0)</x:f>
        <x:v>0</x:v>
      </x:c>
    </x:row>
    <x:row r="70" ht="15" hidden="0" customHeight="1">
      <x:c r="A70" s="1" t="str">
        <x:f>IF('Raw properties'!A70="","",'Raw properties'!A70)</x:f>
        <x:v>jjs8f07</x:v>
      </x:c>
      <x:c r="B70" s="1" t="str">
        <x:f>IF('Raw properties'!D70="","",'Raw properties'!D70)</x:f>
        <x:v>Village Green Student Housing</x:v>
      </x:c>
      <x:c r="C70" s="1" t="str">
        <x:f>IF('Raw properties'!AG70="","",'Raw properties'!AG70)</x:f>
        <x:v>https://offcampus.dasa.ncsu.edu/housing/property/village-green-student-housing/jjs8f07</x:v>
      </x:c>
      <x:c r="D70" s="1" t="str">
        <x:v>Per bedroom</x:v>
      </x:c>
      <x:c r="E70" s="1" t="str">
        <x:v>Per bedroom</x:v>
      </x:c>
      <x:c r="F70" s="7" t="n">
        <x:f>IF('Raw properties'!I70="","",'Raw properties'!I70)</x:f>
        <x:v>35.754039</x:v>
      </x:c>
      <x:c r="G70" s="7" t="n">
        <x:f>IF('Raw properties'!J70="","",'Raw properties'!J70)</x:f>
        <x:v>-78.667439</x:v>
      </x:c>
      <x:c r="H70" s="6" t="n">
        <x:f>IF('Raw properties'!M70="","",'Raw properties'!M70)</x:f>
        <x:v>649</x:v>
      </x:c>
      <x:c r="I70" s="6" t="n">
        <x:f>IF('Raw properties'!N70="","",'Raw properties'!N70)</x:f>
        <x:v>839</x:v>
      </x:c>
      <x:c r="J70" s="6" t="n">
        <x:f>IF((IF('Raw floorplans'!H415&gt;0,1,0)+IF('Raw floorplans'!H416&gt;0,1,0)+IF('Raw floorplans'!H417&gt;0,1,0))=0,"",MIN(IF('Raw floorplans'!H415&gt;0,'Raw floorplans'!H415,1E99),IF('Raw floorplans'!H416&gt;0,'Raw floorplans'!H416,1E99),IF('Raw floorplans'!H417&gt;0,'Raw floorplans'!H417,1E99)))</x:f>
        <x:v>649</x:v>
      </x:c>
      <x:c r="K70" s="6" t="n">
        <x:f>IF((IF('Raw floorplans'!I415&gt;0,1,0)+IF('Raw floorplans'!I416&gt;0,1,0)+IF('Raw floorplans'!I417&gt;0,1,0))=0,"",MAX(IF('Raw floorplans'!I415&gt;0,'Raw floorplans'!I415,0),IF('Raw floorplans'!I416&gt;0,'Raw floorplans'!I416,0),IF('Raw floorplans'!I417&gt;0,'Raw floorplans'!I417,0)))</x:f>
        <x:v>839</x:v>
      </x:c>
      <x:c r="L70" s="1" t="n">
        <x:v>0</x:v>
      </x:c>
      <x:c r="M70" s="1" t="n">
        <x:f>IF(AND(ISNUMBER(H70),ISNUMBER(I70),ISNUMBER(J70),ISNUMBER(K70),H70&gt;0,I70&gt;0),IF(OR(H70&lt;&gt;J70,I70&lt;&gt;K70),1,0),0)</x:f>
        <x:v>0</x:v>
      </x:c>
      <x:c r="N70" s="1" t="n">
        <x:f>IF(AND(ISNUMBER(H70),ISNUMBER(I70),H70&gt;0,I70&gt;=H70),1,0)</x:f>
        <x:v>1</x:v>
      </x:c>
      <x:c r="O70" s="1" t="n">
        <x:f>IF(AND(L70=0,M70=0,N70=1),1,0)</x:f>
        <x:v>1</x:v>
      </x:c>
      <x:c r="P70" s="7" t="n">
        <x:f>2*3958.7613*ASIN(SQRT(SIN(RADIANS(F70-35.77951)/2)^2+COS(RADIANS(35.77951))*COS(RADIANS(F70))*SIN(RADIANS(G70-(-78.68168))/2)^2))</x:f>
        <x:v>1.932509975086681</x:v>
      </x:c>
      <x:c r="Q70" s="1" t="str">
        <x:f>IF(P70&lt;=1,"0–1 mi",IF(P70&lt;=3,"&gt;1–3 mi",IF(P70&lt;=5,"&gt;3–5 mi","Outside 5 mi")))</x:f>
        <x:v>&gt;1–3 mi</x:v>
      </x:c>
      <x:c r="R70" s="7" t="n">
        <x:f>2*3958.7613*ASIN(SQRT(SIN(RADIANS(F70-35.7687)/2)^2+COS(RADIANS(35.7687))*COS(RADIANS(F70))*SIN(RADIANS(G70-(-78.6775))/2)^2))</x:f>
        <x:v>1.1594466770752816</x:v>
      </x:c>
      <x:c r="S70" s="1" t="str">
        <x:f>IF(R70&lt;=1,"0–1 mi",IF(R70&lt;=3,"&gt;1–3 mi",IF(R70&lt;=5,"&gt;3–5 mi","Outside 5 mi")))</x:f>
        <x:v>&gt;1–3 mi</x:v>
      </x:c>
      <x:c r="T70" s="7" t="n">
        <x:f>2*3958.7613*ASIN(SQRT(SIN(RADIANS(F70-35.79847)/2)^2+COS(RADIANS(35.79847))*COS(RADIANS(F70))*SIN(RADIANS(G70-(-78.70408))/2)^2))</x:f>
        <x:v>3.693631240134844</x:v>
      </x:c>
      <x:c r="U70" s="1" t="str">
        <x:f>IF(T70&lt;=1,"0–1 mi",IF(T70&lt;=3,"&gt;1–3 mi",IF(T70&lt;=5,"&gt;3–5 mi","Outside 5 mi")))</x:f>
        <x:v>&gt;3–5 mi</x:v>
      </x:c>
      <x:c r="V70" s="1" t="n">
        <x:f>IF(MIN(P70,R70,T70)&lt;=5,1,0)</x:f>
        <x:v>1</x:v>
      </x:c>
      <x:c r="W70" s="6" t="n">
        <x:f>IF(O70=1,(H70+I70)/2,"")</x:f>
        <x:v>744</x:v>
      </x:c>
      <x:c r="X70" s="1" t="n">
        <x:f>O70*V70</x:f>
        <x:v>1</x:v>
      </x:c>
      <x:c r="Y70" s="1" t="n">
        <x:v>0</x:v>
      </x:c>
      <x:c r="Z70" s="1" t="n">
        <x:v>0</x:v>
      </x:c>
      <x:c r="AA70" s="1" t="n">
        <x:v>0</x:v>
      </x:c>
      <x:c r="AB70" s="1" t="n">
        <x:v>1</x:v>
      </x:c>
      <x:c r="AC70" s="1" t="n">
        <x:v>0</x:v>
      </x:c>
      <x:c r="AD70" s="1" t="str">
        <x:f>IF('Raw properties'!Y70="","",'Raw properties'!Y70)</x:f>
        <x:v>11 Month Lease</x:v>
      </x:c>
      <x:c r="AE70" s="1" t="str">
        <x:v>2026-08-14</x:v>
      </x:c>
      <x:c r="AF70" s="1" t="str">
        <x:v>Included in rent means</x:v>
      </x:c>
      <x:c r="AG70" s="5" t="str">
        <x:v>Source pricing flag retained; automated consistency checks passed. This is not independent landlord verification.</x:v>
      </x:c>
      <x:c r="AH70" s="1" t="str">
        <x:v>$649 - $839</x:v>
      </x:c>
      <x:c r="AI70" s="8" t="n">
        <x:f>MIN(ABS(P70-1),ABS(P70-3),ABS(P70-5))*5280</x:f>
        <x:v>4923.652668457676</x:v>
      </x:c>
      <x:c r="AJ70" s="8" t="n">
        <x:f>MIN(ABS(R70-1),ABS(R70-3),ABS(R70-5))*5280</x:f>
        <x:v>841.8784549574868</x:v>
      </x:c>
      <x:c r="AK70" s="8" t="n">
        <x:f>MIN(ABS(T70-1),ABS(T70-3),ABS(T70-5))*5280</x:f>
        <x:v>3662.3729479119756</x:v>
      </x:c>
      <x:c r="AL70" s="1" t="n">
        <x:f>IF(MIN(AI70,AJ70,AK70)&lt;=100,1,0)</x:f>
        <x:v>0</x:v>
      </x:c>
    </x:row>
    <x:row r="71" ht="15" hidden="0" customHeight="1">
      <x:c r="A71" s="1" t="str">
        <x:f>IF('Raw properties'!A71="","",'Raw properties'!A71)</x:f>
        <x:v>ocpjh4j574</x:v>
      </x:c>
      <x:c r="B71" s="1" t="str">
        <x:f>IF('Raw properties'!D71="","",'Raw properties'!D71)</x:f>
        <x:v>4BD/3.5BA townhome near NCSU &amp; Downtown Raleigh available August 2026!</x:v>
      </x:c>
      <x:c r="C71" s="1" t="str">
        <x:f>IF('Raw properties'!AG71="","",'Raw properties'!AG71)</x:f>
        <x:v>https://offcampus.dasa.ncsu.edu/housing/property/4bd-3-5ba-townhome-near-ncsu-and-downtown-raleigh-available-august-2026/ocpjh4j574</x:v>
      </x:c>
      <x:c r="D71" s="1" t="str">
        <x:v>Whole unit</x:v>
      </x:c>
      <x:c r="E71" s="1" t="str">
        <x:v>Whole unit</x:v>
      </x:c>
      <x:c r="F71" s="7" t="n">
        <x:f>IF('Raw properties'!I71="","",'Raw properties'!I71)</x:f>
        <x:v>35.776319</x:v>
      </x:c>
      <x:c r="G71" s="7" t="n">
        <x:f>IF('Raw properties'!J71="","",'Raw properties'!J71)</x:f>
        <x:v>-78.690643</x:v>
      </x:c>
      <x:c r="H71" s="6" t="n">
        <x:f>IF('Raw properties'!M71="","",'Raw properties'!M71)</x:f>
        <x:v>2200</x:v>
      </x:c>
      <x:c r="I71" s="6" t="n">
        <x:f>IF('Raw properties'!N71="","",'Raw properties'!N71)</x:f>
        <x:v>2200</x:v>
      </x:c>
      <x:c r="J71" s="6" t="n">
        <x:f>IF((IF('Raw floorplans'!H418&gt;0,1,0))=0,"",MIN(IF('Raw floorplans'!H418&gt;0,'Raw floorplans'!H418,1E99)))</x:f>
        <x:v>2200</x:v>
      </x:c>
      <x:c r="K71" s="6" t="n">
        <x:f>IF((IF('Raw floorplans'!I418&gt;0,1,0))=0,"",MAX(IF('Raw floorplans'!I418&gt;0,'Raw floorplans'!I418,0)))</x:f>
        <x:v>2200</x:v>
      </x:c>
      <x:c r="L71" s="1" t="n">
        <x:v>0</x:v>
      </x:c>
      <x:c r="M71" s="1" t="n">
        <x:f>IF(AND(ISNUMBER(H71),ISNUMBER(I71),ISNUMBER(J71),ISNUMBER(K71),H71&gt;0,I71&gt;0),IF(OR(H71&lt;&gt;J71,I71&lt;&gt;K71),1,0),0)</x:f>
        <x:v>0</x:v>
      </x:c>
      <x:c r="N71" s="1" t="n">
        <x:f>IF(AND(ISNUMBER(H71),ISNUMBER(I71),H71&gt;0,I71&gt;=H71),1,0)</x:f>
        <x:v>1</x:v>
      </x:c>
      <x:c r="O71" s="1" t="n">
        <x:f>IF(AND(L71=0,M71=0,N71=1),1,0)</x:f>
        <x:v>1</x:v>
      </x:c>
      <x:c r="P71" s="7" t="n">
        <x:f>2*3958.7613*ASIN(SQRT(SIN(RADIANS(F71-35.77951)/2)^2+COS(RADIANS(35.77951))*COS(RADIANS(F71))*SIN(RADIANS(G71-(-78.68168))/2)^2))</x:f>
        <x:v>0.5486662935451818</x:v>
      </x:c>
      <x:c r="Q71" s="1" t="str">
        <x:f>IF(P71&lt;=1,"0–1 mi",IF(P71&lt;=3,"&gt;1–3 mi",IF(P71&lt;=5,"&gt;3–5 mi","Outside 5 mi")))</x:f>
        <x:v>0–1 mi</x:v>
      </x:c>
      <x:c r="R71" s="7" t="n">
        <x:f>2*3958.7613*ASIN(SQRT(SIN(RADIANS(F71-35.7687)/2)^2+COS(RADIANS(35.7687))*COS(RADIANS(F71))*SIN(RADIANS(G71-(-78.6775))/2)^2))</x:f>
        <x:v>0.9055176346310464</x:v>
      </x:c>
      <x:c r="S71" s="1" t="str">
        <x:f>IF(R71&lt;=1,"0–1 mi",IF(R71&lt;=3,"&gt;1–3 mi",IF(R71&lt;=5,"&gt;3–5 mi","Outside 5 mi")))</x:f>
        <x:v>0–1 mi</x:v>
      </x:c>
      <x:c r="T71" s="7" t="n">
        <x:f>2*3958.7613*ASIN(SQRT(SIN(RADIANS(F71-35.79847)/2)^2+COS(RADIANS(35.79847))*COS(RADIANS(F71))*SIN(RADIANS(G71-(-78.70408))/2)^2))</x:f>
        <x:v>1.7057493787969082</x:v>
      </x:c>
      <x:c r="U71" s="1" t="str">
        <x:f>IF(T71&lt;=1,"0–1 mi",IF(T71&lt;=3,"&gt;1–3 mi",IF(T71&lt;=5,"&gt;3–5 mi","Outside 5 mi")))</x:f>
        <x:v>&gt;1–3 mi</x:v>
      </x:c>
      <x:c r="V71" s="1" t="n">
        <x:f>IF(MIN(P71,R71,T71)&lt;=5,1,0)</x:f>
        <x:v>1</x:v>
      </x:c>
      <x:c r="W71" s="6" t="n">
        <x:f>IF(O71=1,(H71+I71)/2,"")</x:f>
        <x:v>2200</x:v>
      </x:c>
      <x:c r="X71" s="1" t="n">
        <x:f>O71*V71</x:f>
        <x:v>1</x:v>
      </x:c>
      <x:c r="Y71" s="1" t="n">
        <x:v>0</x:v>
      </x:c>
      <x:c r="Z71" s="1" t="n">
        <x:v>0</x:v>
      </x:c>
      <x:c r="AA71" s="1" t="n">
        <x:v>0</x:v>
      </x:c>
      <x:c r="AB71" s="1" t="n">
        <x:v>0</x:v>
      </x:c>
      <x:c r="AC71" s="1" t="n">
        <x:v>0</x:v>
      </x:c>
      <x:c r="AD71" s="1" t="str">
        <x:f>IF('Raw properties'!Y71="","",'Raw properties'!Y71)</x:f>
        <x:v>12 Month Lease</x:v>
      </x:c>
      <x:c r="AE71" s="1" t="str">
        <x:v>2026-08-13</x:v>
      </x:c>
      <x:c r="AF71" s="1" t="str">
        <x:v>Included in rent means</x:v>
      </x:c>
      <x:c r="AG71" s="5" t="str">
        <x:v>Source pricing flag retained; automated consistency checks passed. This is not independent landlord verification.</x:v>
      </x:c>
      <x:c r="AH71" s="1" t="str">
        <x:v>$2,200</x:v>
      </x:c>
      <x:c r="AI71" s="8" t="n">
        <x:f>MIN(ABS(P71-1),ABS(P71-3),ABS(P71-5))*5280</x:f>
        <x:v>2383.04197008144</x:v>
      </x:c>
      <x:c r="AJ71" s="8" t="n">
        <x:f>MIN(ABS(R71-1),ABS(R71-3),ABS(R71-5))*5280</x:f>
        <x:v>498.866889148075</x:v>
      </x:c>
      <x:c r="AK71" s="8" t="n">
        <x:f>MIN(ABS(T71-1),ABS(T71-3),ABS(T71-5))*5280</x:f>
        <x:v>3726.3567200476755</x:v>
      </x:c>
      <x:c r="AL71" s="1" t="n">
        <x:f>IF(MIN(AI71,AJ71,AK71)&lt;=100,1,0)</x:f>
        <x:v>0</x:v>
      </x:c>
    </x:row>
    <x:row r="72" ht="36" hidden="0" customHeight="1">
      <x:c r="A72" s="1" t="str">
        <x:f>IF('Raw properties'!A72="","",'Raw properties'!A72)</x:f>
        <x:v>8gchf40</x:v>
      </x:c>
      <x:c r="B72" s="1" t="str">
        <x:f>IF('Raw properties'!D72="","",'Raw properties'!D72)</x:f>
        <x:v>The Hillsborough</x:v>
      </x:c>
      <x:c r="C72" s="1" t="str">
        <x:f>IF('Raw properties'!AG72="","",'Raw properties'!AG72)</x:f>
        <x:v>https://offcampus.dasa.ncsu.edu/housing/property/the-hillsborough/8gchf40</x:v>
      </x:c>
      <x:c r="D72" s="1" t="str">
        <x:v>Per bedroom</x:v>
      </x:c>
      <x:c r="E72" s="1" t="str">
        <x:v>Per bedroom</x:v>
      </x:c>
      <x:c r="F72" s="7" t="n">
        <x:f>IF('Raw properties'!I72="","",'Raw properties'!I72)</x:f>
        <x:v>35.78758</x:v>
      </x:c>
      <x:c r="G72" s="7" t="n">
        <x:f>IF('Raw properties'!J72="","",'Raw properties'!J72)</x:f>
        <x:v>-78.66618</x:v>
      </x:c>
      <x:c r="H72" s="6" t="n">
        <x:f>IF('Raw properties'!M72="","",'Raw properties'!M72)</x:f>
        <x:v>1000</x:v>
      </x:c>
      <x:c r="I72" s="6" t="n">
        <x:f>IF('Raw properties'!N72="","",'Raw properties'!N72)</x:f>
        <x:v>1350</x:v>
      </x:c>
      <x:c r="J72" s="6" t="n">
        <x:f>IF((IF('Raw floorplans'!H419&gt;0,1,0)+IF('Raw floorplans'!H420&gt;0,1,0)+IF('Raw floorplans'!H421&gt;0,1,0))=0,"",MIN(IF('Raw floorplans'!H419&gt;0,'Raw floorplans'!H419,1E99),IF('Raw floorplans'!H420&gt;0,'Raw floorplans'!H420,1E99),IF('Raw floorplans'!H421&gt;0,'Raw floorplans'!H421,1E99)))</x:f>
        <x:v>1100</x:v>
      </x:c>
      <x:c r="K72" s="6" t="n">
        <x:f>IF((IF('Raw floorplans'!I419&gt;0,1,0)+IF('Raw floorplans'!I420&gt;0,1,0)+IF('Raw floorplans'!I421&gt;0,1,0))=0,"",MAX(IF('Raw floorplans'!I419&gt;0,'Raw floorplans'!I419,0),IF('Raw floorplans'!I420&gt;0,'Raw floorplans'!I420,0),IF('Raw floorplans'!I421&gt;0,'Raw floorplans'!I421,0)))</x:f>
        <x:v>1350</x:v>
      </x:c>
      <x:c r="L72" s="1" t="n">
        <x:v>0</x:v>
      </x:c>
      <x:c r="M72" s="1" t="n">
        <x:f>IF(AND(ISNUMBER(H72),ISNUMBER(I72),ISNUMBER(J72),ISNUMBER(K72),H72&gt;0,I72&gt;0),IF(OR(H72&lt;&gt;J72,I72&lt;&gt;K72),1,0),0)</x:f>
        <x:v>1</x:v>
      </x:c>
      <x:c r="N72" s="1" t="n">
        <x:f>IF(AND(ISNUMBER(H72),ISNUMBER(I72),H72&gt;0,I72&gt;=H72),1,0)</x:f>
        <x:v>1</x:v>
      </x:c>
      <x:c r="O72" s="1" t="n">
        <x:f>IF(AND(L72=0,M72=0,N72=1),1,0)</x:f>
        <x:v>0</x:v>
      </x:c>
      <x:c r="P72" s="7" t="n">
        <x:f>2*3958.7613*ASIN(SQRT(SIN(RADIANS(F72-35.77951)/2)^2+COS(RADIANS(35.77951))*COS(RADIANS(F72))*SIN(RADIANS(G72-(-78.68168))/2)^2))</x:f>
        <x:v>1.0323229768849904</x:v>
      </x:c>
      <x:c r="Q72" s="1" t="str">
        <x:f>IF(P72&lt;=1,"0–1 mi",IF(P72&lt;=3,"&gt;1–3 mi",IF(P72&lt;=5,"&gt;3–5 mi","Outside 5 mi")))</x:f>
        <x:v>&gt;1–3 mi</x:v>
      </x:c>
      <x:c r="R72" s="7" t="n">
        <x:f>2*3958.7613*ASIN(SQRT(SIN(RADIANS(F72-35.7687)/2)^2+COS(RADIANS(35.7687))*COS(RADIANS(F72))*SIN(RADIANS(G72-(-78.6775))/2)^2))</x:f>
        <x:v>1.4506261554086923</x:v>
      </x:c>
      <x:c r="S72" s="1" t="str">
        <x:f>IF(R72&lt;=1,"0–1 mi",IF(R72&lt;=3,"&gt;1–3 mi",IF(R72&lt;=5,"&gt;3–5 mi","Outside 5 mi")))</x:f>
        <x:v>&gt;1–3 mi</x:v>
      </x:c>
      <x:c r="T72" s="7" t="n">
        <x:f>2*3958.7613*ASIN(SQRT(SIN(RADIANS(F72-35.79847)/2)^2+COS(RADIANS(35.79847))*COS(RADIANS(F72))*SIN(RADIANS(G72-(-78.70408))/2)^2))</x:f>
        <x:v>2.2534029356616454</x:v>
      </x:c>
      <x:c r="U72" s="1" t="str">
        <x:f>IF(T72&lt;=1,"0–1 mi",IF(T72&lt;=3,"&gt;1–3 mi",IF(T72&lt;=5,"&gt;3–5 mi","Outside 5 mi")))</x:f>
        <x:v>&gt;1–3 mi</x:v>
      </x:c>
      <x:c r="V72" s="1" t="n">
        <x:f>IF(MIN(P72,R72,T72)&lt;=5,1,0)</x:f>
        <x:v>1</x:v>
      </x:c>
      <x:c r="W72" s="6" t="str">
        <x:f>IF(O72=1,(H72+I72)/2,"")</x:f>
      </x:c>
      <x:c r="X72" s="1" t="n">
        <x:f>O72*V72</x:f>
        <x:v>0</x:v>
      </x:c>
      <x:c r="Y72" s="1" t="n">
        <x:v>0</x:v>
      </x:c>
      <x:c r="Z72" s="1" t="n">
        <x:v>0</x:v>
      </x:c>
      <x:c r="AA72" s="1" t="n">
        <x:v>0</x:v>
      </x:c>
      <x:c r="AB72" s="1" t="n">
        <x:v>0</x:v>
      </x:c>
      <x:c r="AC72" s="1" t="n">
        <x:v>0</x:v>
      </x:c>
      <x:c r="AD72" s="1" t="str">
        <x:f>IF('Raw properties'!Y72="","",'Raw properties'!Y72)</x:f>
      </x:c>
      <x:c r="AE72" s="1" t="str">
        <x:v>2025-08-01</x:v>
      </x:c>
      <x:c r="AF72" s="1" t="str">
        <x:v>Excluded from rent means</x:v>
      </x:c>
      <x:c r="AG72" s="5" t="str">
        <x:v>Source pricing flag retained; automated consistency checks passed. This is not independent landlord verification. Search summary: $1000–$1350; saved floor-plan envelope: $1100–$1350. Difference may reflect fees, timing or scope; unresolved snapshot price excluded.</x:v>
      </x:c>
      <x:c r="AH72" s="1" t="str">
        <x:v>$1,000 - $1,350</x:v>
      </x:c>
      <x:c r="AI72" s="8" t="n">
        <x:f>MIN(ABS(P72-1),ABS(P72-3),ABS(P72-5))*5280</x:f>
        <x:v>170.6653179527494</x:v>
      </x:c>
      <x:c r="AJ72" s="8" t="n">
        <x:f>MIN(ABS(R72-1),ABS(R72-3),ABS(R72-5))*5280</x:f>
        <x:v>2379.3061005578957</x:v>
      </x:c>
      <x:c r="AK72" s="8" t="n">
        <x:f>MIN(ABS(T72-1),ABS(T72-3),ABS(T72-5))*5280</x:f>
        <x:v>3942.032499706512</x:v>
      </x:c>
      <x:c r="AL72" s="1" t="n">
        <x:f>IF(MIN(AI72,AJ72,AK72)&lt;=100,1,0)</x:f>
        <x:v>0</x:v>
      </x:c>
    </x:row>
    <x:row r="73" ht="15" hidden="0" customHeight="1">
      <x:c r="A73" s="1" t="str">
        <x:f>IF('Raw properties'!A73="","",'Raw properties'!A73)</x:f>
        <x:v>ocp032vj21</x:v>
      </x:c>
      <x:c r="B73" s="1" t="str">
        <x:f>IF('Raw properties'!D73="","",'Raw properties'!D73)</x:f>
        <x:v>5 bedroom 5 full Bath luxury house with 1Gig AT&amp;T Fiber and 1 free parking space per bedroom</x:v>
      </x:c>
      <x:c r="C73" s="1" t="str">
        <x:f>IF('Raw properties'!AG73="","",'Raw properties'!AG73)</x:f>
        <x:v>https://offcampus.dasa.ncsu.edu/housing/property/5-bedroom-5-full-bath-luxury-house-with-1gig-at-and-t-fiber-and-1-free-parking-space-per-bedroom/ocp032vj21</x:v>
      </x:c>
      <x:c r="D73" s="1" t="str">
        <x:v>Whole unit</x:v>
      </x:c>
      <x:c r="E73" s="1" t="str">
        <x:v>Whole unit</x:v>
      </x:c>
      <x:c r="F73" s="7" t="n">
        <x:f>IF('Raw properties'!I73="","",'Raw properties'!I73)</x:f>
        <x:v>35.786652</x:v>
      </x:c>
      <x:c r="G73" s="7" t="n">
        <x:f>IF('Raw properties'!J73="","",'Raw properties'!J73)</x:f>
        <x:v>-78.709465</x:v>
      </x:c>
      <x:c r="H73" s="6" t="n">
        <x:f>IF('Raw properties'!M73="","",'Raw properties'!M73)</x:f>
        <x:v>6000</x:v>
      </x:c>
      <x:c r="I73" s="6" t="n">
        <x:f>IF('Raw properties'!N73="","",'Raw properties'!N73)</x:f>
        <x:v>6000</x:v>
      </x:c>
      <x:c r="J73" s="6" t="n">
        <x:f>IF((IF('Raw floorplans'!H422&gt;0,1,0))=0,"",MIN(IF('Raw floorplans'!H422&gt;0,'Raw floorplans'!H422,1E99)))</x:f>
        <x:v>6000</x:v>
      </x:c>
      <x:c r="K73" s="6" t="n">
        <x:f>IF((IF('Raw floorplans'!I422&gt;0,1,0))=0,"",MAX(IF('Raw floorplans'!I422&gt;0,'Raw floorplans'!I422,0)))</x:f>
        <x:v>6000</x:v>
      </x:c>
      <x:c r="L73" s="1" t="n">
        <x:v>0</x:v>
      </x:c>
      <x:c r="M73" s="1" t="n">
        <x:f>IF(AND(ISNUMBER(H73),ISNUMBER(I73),ISNUMBER(J73),ISNUMBER(K73),H73&gt;0,I73&gt;0),IF(OR(H73&lt;&gt;J73,I73&lt;&gt;K73),1,0),0)</x:f>
        <x:v>0</x:v>
      </x:c>
      <x:c r="N73" s="1" t="n">
        <x:f>IF(AND(ISNUMBER(H73),ISNUMBER(I73),H73&gt;0,I73&gt;=H73),1,0)</x:f>
        <x:v>1</x:v>
      </x:c>
      <x:c r="O73" s="1" t="n">
        <x:f>IF(AND(L73=0,M73=0,N73=1),1,0)</x:f>
        <x:v>1</x:v>
      </x:c>
      <x:c r="P73" s="7" t="n">
        <x:f>2*3958.7613*ASIN(SQRT(SIN(RADIANS(F73-35.77951)/2)^2+COS(RADIANS(35.77951))*COS(RADIANS(F73))*SIN(RADIANS(G73-(-78.68168))/2)^2))</x:f>
        <x:v>1.6336891249337426</x:v>
      </x:c>
      <x:c r="Q73" s="1" t="str">
        <x:f>IF(P73&lt;=1,"0–1 mi",IF(P73&lt;=3,"&gt;1–3 mi",IF(P73&lt;=5,"&gt;3–5 mi","Outside 5 mi")))</x:f>
        <x:v>&gt;1–3 mi</x:v>
      </x:c>
      <x:c r="R73" s="7" t="n">
        <x:f>2*3958.7613*ASIN(SQRT(SIN(RADIANS(F73-35.7687)/2)^2+COS(RADIANS(35.7687))*COS(RADIANS(F73))*SIN(RADIANS(G73-(-78.6775))/2)^2))</x:f>
        <x:v>2.1792283129201913</x:v>
      </x:c>
      <x:c r="S73" s="1" t="str">
        <x:f>IF(R73&lt;=1,"0–1 mi",IF(R73&lt;=3,"&gt;1–3 mi",IF(R73&lt;=5,"&gt;3–5 mi","Outside 5 mi")))</x:f>
        <x:v>&gt;1–3 mi</x:v>
      </x:c>
      <x:c r="T73" s="7" t="n">
        <x:f>2*3958.7613*ASIN(SQRT(SIN(RADIANS(F73-35.79847)/2)^2+COS(RADIANS(35.79847))*COS(RADIANS(F73))*SIN(RADIANS(G73-(-78.70408))/2)^2))</x:f>
        <x:v>0.8705344145479793</x:v>
      </x:c>
      <x:c r="U73" s="1" t="str">
        <x:f>IF(T73&lt;=1,"0–1 mi",IF(T73&lt;=3,"&gt;1–3 mi",IF(T73&lt;=5,"&gt;3–5 mi","Outside 5 mi")))</x:f>
        <x:v>0–1 mi</x:v>
      </x:c>
      <x:c r="V73" s="1" t="n">
        <x:f>IF(MIN(P73,R73,T73)&lt;=5,1,0)</x:f>
        <x:v>1</x:v>
      </x:c>
      <x:c r="W73" s="6" t="n">
        <x:f>IF(O73=1,(H73+I73)/2,"")</x:f>
        <x:v>6000</x:v>
      </x:c>
      <x:c r="X73" s="1" t="n">
        <x:f>O73*V73</x:f>
        <x:v>1</x:v>
      </x:c>
      <x:c r="Y73" s="1" t="n">
        <x:v>1</x:v>
      </x:c>
      <x:c r="Z73" s="1" t="n">
        <x:v>0</x:v>
      </x:c>
      <x:c r="AA73" s="1" t="n">
        <x:v>0</x:v>
      </x:c>
      <x:c r="AB73" s="1" t="n">
        <x:v>0</x:v>
      </x:c>
      <x:c r="AC73" s="1" t="n">
        <x:v>0</x:v>
      </x:c>
      <x:c r="AD73" s="1" t="str">
        <x:f>IF('Raw properties'!Y73="","",'Raw properties'!Y73)</x:f>
        <x:v>12 Month Lease</x:v>
      </x:c>
      <x:c r="AE73" s="1" t="str">
        <x:v>2027-07-07</x:v>
      </x:c>
      <x:c r="AF73" s="1" t="str">
        <x:v>Included in rent means</x:v>
      </x:c>
      <x:c r="AG73" s="5" t="str">
        <x:v>Source pricing flag retained; automated consistency checks passed. This is not independent landlord verification.</x:v>
      </x:c>
      <x:c r="AH73" s="1" t="str">
        <x:v>$6,000</x:v>
      </x:c>
      <x:c r="AI73" s="8" t="n">
        <x:f>MIN(ABS(P73-1),ABS(P73-3),ABS(P73-5))*5280</x:f>
        <x:v>3345.878579650161</x:v>
      </x:c>
      <x:c r="AJ73" s="8" t="n">
        <x:f>MIN(ABS(R73-1),ABS(R73-3),ABS(R73-5))*5280</x:f>
        <x:v>4333.67450778139</x:v>
      </x:c>
      <x:c r="AK73" s="8" t="n">
        <x:f>MIN(ABS(T73-1),ABS(T73-3),ABS(T73-5))*5280</x:f>
        <x:v>683.5782911866693</x:v>
      </x:c>
      <x:c r="AL73" s="1" t="n">
        <x:f>IF(MIN(AI73,AJ73,AK73)&lt;=100,1,0)</x:f>
        <x:v>0</x:v>
      </x:c>
    </x:row>
    <x:row r="74" ht="15" hidden="0" customHeight="1">
      <x:c r="A74" s="1" t="str">
        <x:f>IF('Raw properties'!A74="","",'Raw properties'!A74)</x:f>
        <x:v>0pm7tt3</x:v>
      </x:c>
      <x:c r="B74" s="1" t="str">
        <x:f>IF('Raw properties'!D74="","",'Raw properties'!D74)</x:f>
        <x:v>Campus West at Tryon</x:v>
      </x:c>
      <x:c r="C74" s="1" t="str">
        <x:f>IF('Raw properties'!AG74="","",'Raw properties'!AG74)</x:f>
        <x:v>https://offcampus.dasa.ncsu.edu/housing/property/campus-west-at-tryon/0pm7tt3</x:v>
      </x:c>
      <x:c r="D74" s="1" t="str">
        <x:v>Per bedroom</x:v>
      </x:c>
      <x:c r="E74" s="1" t="str">
        <x:v>Per bedroom</x:v>
      </x:c>
      <x:c r="F74" s="7" t="n">
        <x:f>IF('Raw properties'!I74="","",'Raw properties'!I74)</x:f>
        <x:v>35.749441</x:v>
      </x:c>
      <x:c r="G74" s="7" t="n">
        <x:f>IF('Raw properties'!J74="","",'Raw properties'!J74)</x:f>
        <x:v>-78.717104</x:v>
      </x:c>
      <x:c r="H74" s="6" t="n">
        <x:f>IF('Raw properties'!M74="","",'Raw properties'!M74)</x:f>
        <x:v>699</x:v>
      </x:c>
      <x:c r="I74" s="6" t="n">
        <x:f>IF('Raw properties'!N74="","",'Raw properties'!N74)</x:f>
        <x:v>699</x:v>
      </x:c>
      <x:c r="J74" s="6" t="n">
        <x:f>IF((IF('Raw floorplans'!H423&gt;0,1,0))=0,"",MIN(IF('Raw floorplans'!H423&gt;0,'Raw floorplans'!H423,1E99)))</x:f>
        <x:v>699</x:v>
      </x:c>
      <x:c r="K74" s="6" t="n">
        <x:f>IF((IF('Raw floorplans'!I423&gt;0,1,0))=0,"",MAX(IF('Raw floorplans'!I423&gt;0,'Raw floorplans'!I423,0)))</x:f>
        <x:v>699</x:v>
      </x:c>
      <x:c r="L74" s="1" t="n">
        <x:v>0</x:v>
      </x:c>
      <x:c r="M74" s="1" t="n">
        <x:f>IF(AND(ISNUMBER(H74),ISNUMBER(I74),ISNUMBER(J74),ISNUMBER(K74),H74&gt;0,I74&gt;0),IF(OR(H74&lt;&gt;J74,I74&lt;&gt;K74),1,0),0)</x:f>
        <x:v>0</x:v>
      </x:c>
      <x:c r="N74" s="1" t="n">
        <x:f>IF(AND(ISNUMBER(H74),ISNUMBER(I74),H74&gt;0,I74&gt;=H74),1,0)</x:f>
        <x:v>1</x:v>
      </x:c>
      <x:c r="O74" s="1" t="n">
        <x:f>IF(AND(L74=0,M74=0,N74=1),1,0)</x:f>
        <x:v>1</x:v>
      </x:c>
      <x:c r="P74" s="7" t="n">
        <x:f>2*3958.7613*ASIN(SQRT(SIN(RADIANS(F74-35.77951)/2)^2+COS(RADIANS(35.77951))*COS(RADIANS(F74))*SIN(RADIANS(G74-(-78.68168))/2)^2))</x:f>
        <x:v>2.8741204175119663</x:v>
      </x:c>
      <x:c r="Q74" s="1" t="str">
        <x:f>IF(P74&lt;=1,"0–1 mi",IF(P74&lt;=3,"&gt;1–3 mi",IF(P74&lt;=5,"&gt;3–5 mi","Outside 5 mi")))</x:f>
        <x:v>&gt;1–3 mi</x:v>
      </x:c>
      <x:c r="R74" s="7" t="n">
        <x:f>2*3958.7613*ASIN(SQRT(SIN(RADIANS(F74-35.7687)/2)^2+COS(RADIANS(35.7687))*COS(RADIANS(F74))*SIN(RADIANS(G74-(-78.6775))/2)^2))</x:f>
        <x:v>2.5887031877732154</x:v>
      </x:c>
      <x:c r="S74" s="1" t="str">
        <x:f>IF(R74&lt;=1,"0–1 mi",IF(R74&lt;=3,"&gt;1–3 mi",IF(R74&lt;=5,"&gt;3–5 mi","Outside 5 mi")))</x:f>
        <x:v>&gt;1–3 mi</x:v>
      </x:c>
      <x:c r="T74" s="7" t="n">
        <x:f>2*3958.7613*ASIN(SQRT(SIN(RADIANS(F74-35.79847)/2)^2+COS(RADIANS(35.79847))*COS(RADIANS(F74))*SIN(RADIANS(G74-(-78.70408))/2)^2))</x:f>
        <x:v>3.4653633162352624</x:v>
      </x:c>
      <x:c r="U74" s="1" t="str">
        <x:f>IF(T74&lt;=1,"0–1 mi",IF(T74&lt;=3,"&gt;1–3 mi",IF(T74&lt;=5,"&gt;3–5 mi","Outside 5 mi")))</x:f>
        <x:v>&gt;3–5 mi</x:v>
      </x:c>
      <x:c r="V74" s="1" t="n">
        <x:f>IF(MIN(P74,R74,T74)&lt;=5,1,0)</x:f>
        <x:v>1</x:v>
      </x:c>
      <x:c r="W74" s="6" t="n">
        <x:f>IF(O74=1,(H74+I74)/2,"")</x:f>
        <x:v>699</x:v>
      </x:c>
      <x:c r="X74" s="1" t="n">
        <x:f>O74*V74</x:f>
        <x:v>1</x:v>
      </x:c>
      <x:c r="Y74" s="1" t="n">
        <x:v>0</x:v>
      </x:c>
      <x:c r="Z74" s="1" t="n">
        <x:v>0</x:v>
      </x:c>
      <x:c r="AA74" s="1" t="n">
        <x:v>0</x:v>
      </x:c>
      <x:c r="AB74" s="1" t="n">
        <x:v>1</x:v>
      </x:c>
      <x:c r="AC74" s="1" t="n">
        <x:v>0</x:v>
      </x:c>
      <x:c r="AD74" s="1" t="str">
        <x:f>IF('Raw properties'!Y74="","",'Raw properties'!Y74)</x:f>
        <x:v>11 Month Lease</x:v>
      </x:c>
      <x:c r="AE74" s="1" t="str">
        <x:v>2026-08-10</x:v>
      </x:c>
      <x:c r="AF74" s="1" t="str">
        <x:v>Included in rent means</x:v>
      </x:c>
      <x:c r="AG74" s="5" t="str">
        <x:v>Source pricing flag retained; automated consistency checks passed. This is not independent landlord verification.</x:v>
      </x:c>
      <x:c r="AH74" s="1" t="str">
        <x:v>$699</x:v>
      </x:c>
      <x:c r="AI74" s="8" t="n">
        <x:f>MIN(ABS(P74-1),ABS(P74-3),ABS(P74-5))*5280</x:f>
        <x:v>664.6441955368177</x:v>
      </x:c>
      <x:c r="AJ74" s="8" t="n">
        <x:f>MIN(ABS(R74-1),ABS(R74-3),ABS(R74-5))*5280</x:f>
        <x:v>2171.647168557423</x:v>
      </x:c>
      <x:c r="AK74" s="8" t="n">
        <x:f>MIN(ABS(T74-1),ABS(T74-3),ABS(T74-5))*5280</x:f>
        <x:v>2457.1183097221856</x:v>
      </x:c>
      <x:c r="AL74" s="1" t="n">
        <x:f>IF(MIN(AI74,AJ74,AK74)&lt;=100,1,0)</x:f>
        <x:v>0</x:v>
      </x:c>
    </x:row>
    <x:row r="75" ht="15" hidden="0" customHeight="1">
      <x:c r="A75" s="1" t="str">
        <x:f>IF('Raw properties'!A75="","",'Raw properties'!A75)</x:f>
        <x:v>ocpbhbkvy9</x:v>
      </x:c>
      <x:c r="B75" s="1" t="str">
        <x:f>IF('Raw properties'!D75="","",'Raw properties'!D75)</x:f>
        <x:v>Voyager House</x:v>
      </x:c>
      <x:c r="C75" s="1" t="str">
        <x:f>IF('Raw properties'!AG75="","",'Raw properties'!AG75)</x:f>
        <x:v>https://offcampus.dasa.ncsu.edu/housing/property/voyager-house/ocpbhbkvy9</x:v>
      </x:c>
      <x:c r="D75" s="1" t="str">
        <x:v>Per bedroom</x:v>
      </x:c>
      <x:c r="E75" s="1" t="str">
        <x:v>Per bedroom</x:v>
      </x:c>
      <x:c r="F75" s="7" t="n">
        <x:f>IF('Raw properties'!I75="","",'Raw properties'!I75)</x:f>
        <x:v>35.75259</x:v>
      </x:c>
      <x:c r="G75" s="7" t="n">
        <x:f>IF('Raw properties'!J75="","",'Raw properties'!J75)</x:f>
        <x:v>-78.676327</x:v>
      </x:c>
      <x:c r="H75" s="6" t="n">
        <x:f>IF('Raw properties'!M75="","",'Raw properties'!M75)</x:f>
        <x:v>800</x:v>
      </x:c>
      <x:c r="I75" s="6" t="n">
        <x:f>IF('Raw properties'!N75="","",'Raw properties'!N75)</x:f>
        <x:v>800</x:v>
      </x:c>
      <x:c r="J75" s="6" t="n">
        <x:f>IF((IF('Raw floorplans'!H424&gt;0,1,0))=0,"",MIN(IF('Raw floorplans'!H424&gt;0,'Raw floorplans'!H424,1E99)))</x:f>
        <x:v>800</x:v>
      </x:c>
      <x:c r="K75" s="6" t="n">
        <x:f>IF((IF('Raw floorplans'!I424&gt;0,1,0))=0,"",MAX(IF('Raw floorplans'!I424&gt;0,'Raw floorplans'!I424,0)))</x:f>
        <x:v>800</x:v>
      </x:c>
      <x:c r="L75" s="1" t="n">
        <x:v>0</x:v>
      </x:c>
      <x:c r="M75" s="1" t="n">
        <x:f>IF(AND(ISNUMBER(H75),ISNUMBER(I75),ISNUMBER(J75),ISNUMBER(K75),H75&gt;0,I75&gt;0),IF(OR(H75&lt;&gt;J75,I75&lt;&gt;K75),1,0),0)</x:f>
        <x:v>0</x:v>
      </x:c>
      <x:c r="N75" s="1" t="n">
        <x:f>IF(AND(ISNUMBER(H75),ISNUMBER(I75),H75&gt;0,I75&gt;=H75),1,0)</x:f>
        <x:v>1</x:v>
      </x:c>
      <x:c r="O75" s="1" t="n">
        <x:f>IF(AND(L75=0,M75=0,N75=1),1,0)</x:f>
        <x:v>1</x:v>
      </x:c>
      <x:c r="P75" s="7" t="n">
        <x:f>2*3958.7613*ASIN(SQRT(SIN(RADIANS(F75-35.77951)/2)^2+COS(RADIANS(35.77951))*COS(RADIANS(F75))*SIN(RADIANS(G75-(-78.68168))/2)^2))</x:f>
        <x:v>1.884049974938268</x:v>
      </x:c>
      <x:c r="Q75" s="1" t="str">
        <x:f>IF(P75&lt;=1,"0–1 mi",IF(P75&lt;=3,"&gt;1–3 mi",IF(P75&lt;=5,"&gt;3–5 mi","Outside 5 mi")))</x:f>
        <x:v>&gt;1–3 mi</x:v>
      </x:c>
      <x:c r="R75" s="7" t="n">
        <x:f>2*3958.7613*ASIN(SQRT(SIN(RADIANS(F75-35.7687)/2)^2+COS(RADIANS(35.7687))*COS(RADIANS(F75))*SIN(RADIANS(G75-(-78.6775))/2)^2))</x:f>
        <x:v>1.1150361726415428</x:v>
      </x:c>
      <x:c r="S75" s="1" t="str">
        <x:f>IF(R75&lt;=1,"0–1 mi",IF(R75&lt;=3,"&gt;1–3 mi",IF(R75&lt;=5,"&gt;3–5 mi","Outside 5 mi")))</x:f>
        <x:v>&gt;1–3 mi</x:v>
      </x:c>
      <x:c r="T75" s="7" t="n">
        <x:f>2*3958.7613*ASIN(SQRT(SIN(RADIANS(F75-35.79847)/2)^2+COS(RADIANS(35.79847))*COS(RADIANS(F75))*SIN(RADIANS(G75-(-78.70408))/2)^2))</x:f>
        <x:v>3.5311820332060013</x:v>
      </x:c>
      <x:c r="U75" s="1" t="str">
        <x:f>IF(T75&lt;=1,"0–1 mi",IF(T75&lt;=3,"&gt;1–3 mi",IF(T75&lt;=5,"&gt;3–5 mi","Outside 5 mi")))</x:f>
        <x:v>&gt;3–5 mi</x:v>
      </x:c>
      <x:c r="V75" s="1" t="n">
        <x:f>IF(MIN(P75,R75,T75)&lt;=5,1,0)</x:f>
        <x:v>1</x:v>
      </x:c>
      <x:c r="W75" s="6" t="n">
        <x:f>IF(O75=1,(H75+I75)/2,"")</x:f>
        <x:v>800</x:v>
      </x:c>
      <x:c r="X75" s="1" t="n">
        <x:f>O75*V75</x:f>
        <x:v>1</x:v>
      </x:c>
      <x:c r="Y75" s="1" t="n">
        <x:v>0</x:v>
      </x:c>
      <x:c r="Z75" s="1" t="n">
        <x:v>0</x:v>
      </x:c>
      <x:c r="AA75" s="1" t="n">
        <x:v>0</x:v>
      </x:c>
      <x:c r="AB75" s="1" t="n">
        <x:v>0</x:v>
      </x:c>
      <x:c r="AC75" s="1" t="n">
        <x:v>0</x:v>
      </x:c>
      <x:c r="AD75" s="1" t="str">
        <x:f>IF('Raw properties'!Y75="","",'Raw properties'!Y75)</x:f>
        <x:v>9 Month Lease</x:v>
      </x:c>
      <x:c r="AE75" s="1" t="str">
        <x:v>2026-06-15</x:v>
      </x:c>
      <x:c r="AF75" s="1" t="str">
        <x:v>Included in rent means</x:v>
      </x:c>
      <x:c r="AG75" s="5" t="str">
        <x:v>Source pricing flag retained; automated consistency checks passed. This is not independent landlord verification.</x:v>
      </x:c>
      <x:c r="AH75" s="1" t="str">
        <x:v>$800</x:v>
      </x:c>
      <x:c r="AI75" s="8" t="n">
        <x:f>MIN(ABS(P75-1),ABS(P75-3),ABS(P75-5))*5280</x:f>
        <x:v>4667.783867674055</x:v>
      </x:c>
      <x:c r="AJ75" s="8" t="n">
        <x:f>MIN(ABS(R75-1),ABS(R75-3),ABS(R75-5))*5280</x:f>
        <x:v>607.3909915473457</x:v>
      </x:c>
      <x:c r="AK75" s="8" t="n">
        <x:f>MIN(ABS(T75-1),ABS(T75-3),ABS(T75-5))*5280</x:f>
        <x:v>2804.641135327687</x:v>
      </x:c>
      <x:c r="AL75" s="1" t="n">
        <x:f>IF(MIN(AI75,AJ75,AK75)&lt;=100,1,0)</x:f>
        <x:v>0</x:v>
      </x:c>
    </x:row>
    <x:row r="76" ht="15" hidden="0" customHeight="1">
      <x:c r="A76" s="1" t="str">
        <x:f>IF('Raw properties'!A76="","",'Raw properties'!A76)</x:f>
        <x:v>e13mz5m</x:v>
      </x:c>
      <x:c r="B76" s="1" t="str">
        <x:f>IF('Raw properties'!D76="","",'Raw properties'!D76)</x:f>
        <x:v>University Suites Student Housing</x:v>
      </x:c>
      <x:c r="C76" s="1" t="str">
        <x:f>IF('Raw properties'!AG76="","",'Raw properties'!AG76)</x:f>
        <x:v>https://offcampus.dasa.ncsu.edu/housing/property/university-suites-student-housing/e13mz5m</x:v>
      </x:c>
      <x:c r="D76" s="1" t="str">
        <x:v>Per bedroom</x:v>
      </x:c>
      <x:c r="E76" s="1" t="str">
        <x:v>Per bedroom</x:v>
      </x:c>
      <x:c r="F76" s="7" t="n">
        <x:f>IF('Raw properties'!I76="","",'Raw properties'!I76)</x:f>
        <x:v>35.747754</x:v>
      </x:c>
      <x:c r="G76" s="7" t="n">
        <x:f>IF('Raw properties'!J76="","",'Raw properties'!J76)</x:f>
        <x:v>-78.693507</x:v>
      </x:c>
      <x:c r="H76" s="6" t="n">
        <x:f>IF('Raw properties'!M76="","",'Raw properties'!M76)</x:f>
        <x:v>699</x:v>
      </x:c>
      <x:c r="I76" s="6" t="n">
        <x:f>IF('Raw properties'!N76="","",'Raw properties'!N76)</x:f>
        <x:v>799</x:v>
      </x:c>
      <x:c r="J76" s="6" t="n">
        <x:f>IF((IF('Raw floorplans'!H425&gt;0,1,0)+IF('Raw floorplans'!H426&gt;0,1,0))=0,"",MIN(IF('Raw floorplans'!H425&gt;0,'Raw floorplans'!H425,1E99),IF('Raw floorplans'!H426&gt;0,'Raw floorplans'!H426,1E99)))</x:f>
        <x:v>699</x:v>
      </x:c>
      <x:c r="K76" s="6" t="n">
        <x:f>IF((IF('Raw floorplans'!I425&gt;0,1,0)+IF('Raw floorplans'!I426&gt;0,1,0))=0,"",MAX(IF('Raw floorplans'!I425&gt;0,'Raw floorplans'!I425,0),IF('Raw floorplans'!I426&gt;0,'Raw floorplans'!I426,0)))</x:f>
        <x:v>799</x:v>
      </x:c>
      <x:c r="L76" s="1" t="n">
        <x:v>0</x:v>
      </x:c>
      <x:c r="M76" s="1" t="n">
        <x:f>IF(AND(ISNUMBER(H76),ISNUMBER(I76),ISNUMBER(J76),ISNUMBER(K76),H76&gt;0,I76&gt;0),IF(OR(H76&lt;&gt;J76,I76&lt;&gt;K76),1,0),0)</x:f>
        <x:v>0</x:v>
      </x:c>
      <x:c r="N76" s="1" t="n">
        <x:f>IF(AND(ISNUMBER(H76),ISNUMBER(I76),H76&gt;0,I76&gt;=H76),1,0)</x:f>
        <x:v>1</x:v>
      </x:c>
      <x:c r="O76" s="1" t="n">
        <x:f>IF(AND(L76=0,M76=0,N76=1),1,0)</x:f>
        <x:v>1</x:v>
      </x:c>
      <x:c r="P76" s="7" t="n">
        <x:f>2*3958.7613*ASIN(SQRT(SIN(RADIANS(F76-35.77951)/2)^2+COS(RADIANS(35.77951))*COS(RADIANS(F76))*SIN(RADIANS(G76-(-78.68168))/2)^2))</x:f>
        <x:v>2.2921348798091907</x:v>
      </x:c>
      <x:c r="Q76" s="1" t="str">
        <x:f>IF(P76&lt;=1,"0–1 mi",IF(P76&lt;=3,"&gt;1–3 mi",IF(P76&lt;=5,"&gt;3–5 mi","Outside 5 mi")))</x:f>
        <x:v>&gt;1–3 mi</x:v>
      </x:c>
      <x:c r="R76" s="7" t="n">
        <x:f>2*3958.7613*ASIN(SQRT(SIN(RADIANS(F76-35.7687)/2)^2+COS(RADIANS(35.7687))*COS(RADIANS(F76))*SIN(RADIANS(G76-(-78.6775))/2)^2))</x:f>
        <x:v>1.702928645517731</x:v>
      </x:c>
      <x:c r="S76" s="1" t="str">
        <x:f>IF(R76&lt;=1,"0–1 mi",IF(R76&lt;=3,"&gt;1–3 mi",IF(R76&lt;=5,"&gt;3–5 mi","Outside 5 mi")))</x:f>
        <x:v>&gt;1–3 mi</x:v>
      </x:c>
      <x:c r="T76" s="7" t="n">
        <x:f>2*3958.7613*ASIN(SQRT(SIN(RADIANS(F76-35.79847)/2)^2+COS(RADIANS(35.79847))*COS(RADIANS(F76))*SIN(RADIANS(G76-(-78.70408))/2)^2))</x:f>
        <x:v>3.5539142331723608</x:v>
      </x:c>
      <x:c r="U76" s="1" t="str">
        <x:f>IF(T76&lt;=1,"0–1 mi",IF(T76&lt;=3,"&gt;1–3 mi",IF(T76&lt;=5,"&gt;3–5 mi","Outside 5 mi")))</x:f>
        <x:v>&gt;3–5 mi</x:v>
      </x:c>
      <x:c r="V76" s="1" t="n">
        <x:f>IF(MIN(P76,R76,T76)&lt;=5,1,0)</x:f>
        <x:v>1</x:v>
      </x:c>
      <x:c r="W76" s="6" t="n">
        <x:f>IF(O76=1,(H76+I76)/2,"")</x:f>
        <x:v>749</x:v>
      </x:c>
      <x:c r="X76" s="1" t="n">
        <x:f>O76*V76</x:f>
        <x:v>1</x:v>
      </x:c>
      <x:c r="Y76" s="1" t="n">
        <x:v>0</x:v>
      </x:c>
      <x:c r="Z76" s="1" t="n">
        <x:v>0</x:v>
      </x:c>
      <x:c r="AA76" s="1" t="n">
        <x:v>0</x:v>
      </x:c>
      <x:c r="AB76" s="1" t="n">
        <x:v>0</x:v>
      </x:c>
      <x:c r="AC76" s="1" t="n">
        <x:v>0</x:v>
      </x:c>
      <x:c r="AD76" s="1" t="str">
        <x:f>IF('Raw properties'!Y76="","",'Raw properties'!Y76)</x:f>
        <x:v>11 Month Lease</x:v>
      </x:c>
      <x:c r="AE76" s="1" t="str">
        <x:v>2026-08-14</x:v>
      </x:c>
      <x:c r="AF76" s="1" t="str">
        <x:v>Included in rent means</x:v>
      </x:c>
      <x:c r="AG76" s="5" t="str">
        <x:v>Source pricing flag retained; automated consistency checks passed. This is not independent landlord verification.</x:v>
      </x:c>
      <x:c r="AH76" s="1" t="str">
        <x:v>$699 - $799</x:v>
      </x:c>
      <x:c r="AI76" s="8" t="n">
        <x:f>MIN(ABS(P76-1),ABS(P76-3),ABS(P76-5))*5280</x:f>
        <x:v>3737.527834607473</x:v>
      </x:c>
      <x:c r="AJ76" s="8" t="n">
        <x:f>MIN(ABS(R76-1),ABS(R76-3),ABS(R76-5))*5280</x:f>
        <x:v>3711.46324833362</x:v>
      </x:c>
      <x:c r="AK76" s="8" t="n">
        <x:f>MIN(ABS(T76-1),ABS(T76-3),ABS(T76-5))*5280</x:f>
        <x:v>2924.667151150065</x:v>
      </x:c>
      <x:c r="AL76" s="1" t="n">
        <x:f>IF(MIN(AI76,AJ76,AK76)&lt;=100,1,0)</x:f>
        <x:v>0</x:v>
      </x:c>
    </x:row>
    <x:row r="77" ht="15" hidden="0" customHeight="1">
      <x:c r="A77" s="1" t="str">
        <x:f>IF('Raw properties'!A77="","",'Raw properties'!A77)</x:f>
        <x:v>ocpepvxvln</x:v>
      </x:c>
      <x:c r="B77" s="1" t="str">
        <x:f>IF('Raw properties'!D77="","",'Raw properties'!D77)</x:f>
        <x:v>Village Green Student Living</x:v>
      </x:c>
      <x:c r="C77" s="1" t="str">
        <x:f>IF('Raw properties'!AG77="","",'Raw properties'!AG77)</x:f>
        <x:v>https://offcampus.dasa.ncsu.edu/housing/property/village-green-student-living/ocpepvxvln</x:v>
      </x:c>
      <x:c r="D77" s="1" t="str">
        <x:v>Per bedroom</x:v>
      </x:c>
      <x:c r="E77" s="1" t="str">
        <x:v>Per bedroom</x:v>
      </x:c>
      <x:c r="F77" s="7" t="n">
        <x:f>IF('Raw properties'!I77="","",'Raw properties'!I77)</x:f>
        <x:v>35.755208</x:v>
      </x:c>
      <x:c r="G77" s="7" t="n">
        <x:f>IF('Raw properties'!J77="","",'Raw properties'!J77)</x:f>
        <x:v>-78.669348</x:v>
      </x:c>
      <x:c r="H77" s="6" t="n">
        <x:f>IF('Raw properties'!M77="","",'Raw properties'!M77)</x:f>
        <x:v>831</x:v>
      </x:c>
      <x:c r="I77" s="6" t="n">
        <x:f>IF('Raw properties'!N77="","",'Raw properties'!N77)</x:f>
        <x:v>831</x:v>
      </x:c>
      <x:c r="J77" s="6" t="n">
        <x:f>IF((IF('Raw floorplans'!H427&gt;0,1,0))=0,"",MIN(IF('Raw floorplans'!H427&gt;0,'Raw floorplans'!H427,1E99)))</x:f>
        <x:v>831</x:v>
      </x:c>
      <x:c r="K77" s="6" t="n">
        <x:f>IF((IF('Raw floorplans'!I427&gt;0,1,0))=0,"",MAX(IF('Raw floorplans'!I427&gt;0,'Raw floorplans'!I427,0)))</x:f>
        <x:v>831</x:v>
      </x:c>
      <x:c r="L77" s="1" t="n">
        <x:v>0</x:v>
      </x:c>
      <x:c r="M77" s="1" t="n">
        <x:f>IF(AND(ISNUMBER(H77),ISNUMBER(I77),ISNUMBER(J77),ISNUMBER(K77),H77&gt;0,I77&gt;0),IF(OR(H77&lt;&gt;J77,I77&lt;&gt;K77),1,0),0)</x:f>
        <x:v>0</x:v>
      </x:c>
      <x:c r="N77" s="1" t="n">
        <x:f>IF(AND(ISNUMBER(H77),ISNUMBER(I77),H77&gt;0,I77&gt;=H77),1,0)</x:f>
        <x:v>1</x:v>
      </x:c>
      <x:c r="O77" s="1" t="n">
        <x:f>IF(AND(L77=0,M77=0,N77=1),1,0)</x:f>
        <x:v>1</x:v>
      </x:c>
      <x:c r="P77" s="7" t="n">
        <x:f>2*3958.7613*ASIN(SQRT(SIN(RADIANS(F77-35.77951)/2)^2+COS(RADIANS(35.77951))*COS(RADIANS(F77))*SIN(RADIANS(G77-(-78.68168))/2)^2))</x:f>
        <x:v>1.8158694045425912</x:v>
      </x:c>
      <x:c r="Q77" s="1" t="str">
        <x:f>IF(P77&lt;=1,"0–1 mi",IF(P77&lt;=3,"&gt;1–3 mi",IF(P77&lt;=5,"&gt;3–5 mi","Outside 5 mi")))</x:f>
        <x:v>&gt;1–3 mi</x:v>
      </x:c>
      <x:c r="R77" s="7" t="n">
        <x:f>2*3958.7613*ASIN(SQRT(SIN(RADIANS(F77-35.7687)/2)^2+COS(RADIANS(35.7687))*COS(RADIANS(F77))*SIN(RADIANS(G77-(-78.6775))/2)^2))</x:f>
        <x:v>1.0382231119133296</x:v>
      </x:c>
      <x:c r="S77" s="1" t="str">
        <x:f>IF(R77&lt;=1,"0–1 mi",IF(R77&lt;=3,"&gt;1–3 mi",IF(R77&lt;=5,"&gt;3–5 mi","Outside 5 mi")))</x:f>
        <x:v>&gt;1–3 mi</x:v>
      </x:c>
      <x:c r="T77" s="7" t="n">
        <x:f>2*3958.7613*ASIN(SQRT(SIN(RADIANS(F77-35.79847)/2)^2+COS(RADIANS(35.79847))*COS(RADIANS(F77))*SIN(RADIANS(G77-(-78.70408))/2)^2))</x:f>
        <x:v>3.5672582780078184</x:v>
      </x:c>
      <x:c r="U77" s="1" t="str">
        <x:f>IF(T77&lt;=1,"0–1 mi",IF(T77&lt;=3,"&gt;1–3 mi",IF(T77&lt;=5,"&gt;3–5 mi","Outside 5 mi")))</x:f>
        <x:v>&gt;3–5 mi</x:v>
      </x:c>
      <x:c r="V77" s="1" t="n">
        <x:f>IF(MIN(P77,R77,T77)&lt;=5,1,0)</x:f>
        <x:v>1</x:v>
      </x:c>
      <x:c r="W77" s="6" t="n">
        <x:f>IF(O77=1,(H77+I77)/2,"")</x:f>
        <x:v>831</x:v>
      </x:c>
      <x:c r="X77" s="1" t="n">
        <x:f>O77*V77</x:f>
        <x:v>1</x:v>
      </x:c>
      <x:c r="Y77" s="1" t="n">
        <x:v>0</x:v>
      </x:c>
      <x:c r="Z77" s="1" t="n">
        <x:v>0</x:v>
      </x:c>
      <x:c r="AA77" s="1" t="n">
        <x:v>0</x:v>
      </x:c>
      <x:c r="AB77" s="1" t="n">
        <x:v>0</x:v>
      </x:c>
      <x:c r="AC77" s="1" t="n">
        <x:v>1</x:v>
      </x:c>
      <x:c r="AD77" s="1" t="str">
        <x:f>IF('Raw properties'!Y77="","",'Raw properties'!Y77)</x:f>
        <x:v>12 Month Lease</x:v>
      </x:c>
      <x:c r="AE77" s="1" t="str">
        <x:v>2026-08-14</x:v>
      </x:c>
      <x:c r="AF77" s="1" t="str">
        <x:v>Included in rent means</x:v>
      </x:c>
      <x:c r="AG77" s="5" t="str">
        <x:v>Source pricing flag retained; automated consistency checks passed. This is not independent landlord verification.</x:v>
      </x:c>
      <x:c r="AH77" s="1" t="str">
        <x:v>$831</x:v>
      </x:c>
      <x:c r="AI77" s="8" t="n">
        <x:f>MIN(ABS(P77-1),ABS(P77-3),ABS(P77-5))*5280</x:f>
        <x:v>4307.790455984881</x:v>
      </x:c>
      <x:c r="AJ77" s="8" t="n">
        <x:f>MIN(ABS(R77-1),ABS(R77-3),ABS(R77-5))*5280</x:f>
        <x:v>201.81803090238034</x:v>
      </x:c>
      <x:c r="AK77" s="8" t="n">
        <x:f>MIN(ABS(T77-1),ABS(T77-3),ABS(T77-5))*5280</x:f>
        <x:v>2995.123707881281</x:v>
      </x:c>
      <x:c r="AL77" s="1" t="n">
        <x:f>IF(MIN(AI77,AJ77,AK77)&lt;=100,1,0)</x:f>
        <x:v>0</x:v>
      </x:c>
    </x:row>
    <x:row r="78" ht="15" hidden="0" customHeight="1">
      <x:c r="A78" s="1" t="str">
        <x:f>IF('Raw properties'!A78="","",'Raw properties'!A78)</x:f>
        <x:v>ocpjpg1817</x:v>
      </x:c>
      <x:c r="B78" s="1" t="str">
        <x:f>IF('Raw properties'!D78="","",'Raw properties'!D78)</x:f>
        <x:v>Gorman Street Village PRE-LEASING for 2026! 3Bed 3Bath w/ Utilities! Upgraded Units Available!</x:v>
      </x:c>
      <x:c r="C78" s="1" t="str">
        <x:f>IF('Raw properties'!AG78="","",'Raw properties'!AG78)</x:f>
        <x:v>https://offcampus.dasa.ncsu.edu/housing/property/gorman-street-village-pre-leasing-for-2026-3bed-3bath-w-utilities-upgraded-units-available/ocpjpg1817</x:v>
      </x:c>
      <x:c r="D78" s="1" t="str">
        <x:v>Whole unit</x:v>
      </x:c>
      <x:c r="E78" s="1" t="str">
        <x:v>Whole unit</x:v>
      </x:c>
      <x:c r="F78" s="7" t="n">
        <x:f>IF('Raw properties'!I78="","",'Raw properties'!I78)</x:f>
        <x:v>35.77603</x:v>
      </x:c>
      <x:c r="G78" s="7" t="n">
        <x:f>IF('Raw properties'!J78="","",'Raw properties'!J78)</x:f>
        <x:v>-78.688002</x:v>
      </x:c>
      <x:c r="H78" s="6" t="n">
        <x:f>IF('Raw properties'!M78="","",'Raw properties'!M78)</x:f>
        <x:v>2295</x:v>
      </x:c>
      <x:c r="I78" s="6" t="n">
        <x:f>IF('Raw properties'!N78="","",'Raw properties'!N78)</x:f>
        <x:v>2295</x:v>
      </x:c>
      <x:c r="J78" s="6" t="n">
        <x:f>IF((IF('Raw floorplans'!H428&gt;0,1,0))=0,"",MIN(IF('Raw floorplans'!H428&gt;0,'Raw floorplans'!H428,1E99)))</x:f>
        <x:v>2295</x:v>
      </x:c>
      <x:c r="K78" s="6" t="n">
        <x:f>IF((IF('Raw floorplans'!I428&gt;0,1,0))=0,"",MAX(IF('Raw floorplans'!I428&gt;0,'Raw floorplans'!I428,0)))</x:f>
        <x:v>2295</x:v>
      </x:c>
      <x:c r="L78" s="1" t="n">
        <x:v>0</x:v>
      </x:c>
      <x:c r="M78" s="1" t="n">
        <x:f>IF(AND(ISNUMBER(H78),ISNUMBER(I78),ISNUMBER(J78),ISNUMBER(K78),H78&gt;0,I78&gt;0),IF(OR(H78&lt;&gt;J78,I78&lt;&gt;K78),1,0),0)</x:f>
        <x:v>0</x:v>
      </x:c>
      <x:c r="N78" s="1" t="n">
        <x:f>IF(AND(ISNUMBER(H78),ISNUMBER(I78),H78&gt;0,I78&gt;=H78),1,0)</x:f>
        <x:v>1</x:v>
      </x:c>
      <x:c r="O78" s="1" t="n">
        <x:f>IF(AND(L78=0,M78=0,N78=1),1,0)</x:f>
        <x:v>1</x:v>
      </x:c>
      <x:c r="P78" s="7" t="n">
        <x:f>2*3958.7613*ASIN(SQRT(SIN(RADIANS(F78-35.77951)/2)^2+COS(RADIANS(35.77951))*COS(RADIANS(F78))*SIN(RADIANS(G78-(-78.68168))/2)^2))</x:f>
        <x:v>0.42825010007681513</x:v>
      </x:c>
      <x:c r="Q78" s="1" t="str">
        <x:f>IF(P78&lt;=1,"0–1 mi",IF(P78&lt;=3,"&gt;1–3 mi",IF(P78&lt;=5,"&gt;3–5 mi","Outside 5 mi")))</x:f>
        <x:v>0–1 mi</x:v>
      </x:c>
      <x:c r="R78" s="7" t="n">
        <x:f>2*3958.7613*ASIN(SQRT(SIN(RADIANS(F78-35.7687)/2)^2+COS(RADIANS(35.7687))*COS(RADIANS(F78))*SIN(RADIANS(G78-(-78.6775))/2)^2))</x:f>
        <x:v>0.7765932864216861</x:v>
      </x:c>
      <x:c r="S78" s="1" t="str">
        <x:f>IF(R78&lt;=1,"0–1 mi",IF(R78&lt;=3,"&gt;1–3 mi",IF(R78&lt;=5,"&gt;3–5 mi","Outside 5 mi")))</x:f>
        <x:v>0–1 mi</x:v>
      </x:c>
      <x:c r="T78" s="7" t="n">
        <x:f>2*3958.7613*ASIN(SQRT(SIN(RADIANS(F78-35.79847)/2)^2+COS(RADIANS(35.79847))*COS(RADIANS(F78))*SIN(RADIANS(G78-(-78.70408))/2)^2))</x:f>
        <x:v>1.793313244150484</x:v>
      </x:c>
      <x:c r="U78" s="1" t="str">
        <x:f>IF(T78&lt;=1,"0–1 mi",IF(T78&lt;=3,"&gt;1–3 mi",IF(T78&lt;=5,"&gt;3–5 mi","Outside 5 mi")))</x:f>
        <x:v>&gt;1–3 mi</x:v>
      </x:c>
      <x:c r="V78" s="1" t="n">
        <x:f>IF(MIN(P78,R78,T78)&lt;=5,1,0)</x:f>
        <x:v>1</x:v>
      </x:c>
      <x:c r="W78" s="6" t="n">
        <x:f>IF(O78=1,(H78+I78)/2,"")</x:f>
        <x:v>2295</x:v>
      </x:c>
      <x:c r="X78" s="1" t="n">
        <x:f>O78*V78</x:f>
        <x:v>1</x:v>
      </x:c>
      <x:c r="Y78" s="1" t="n">
        <x:v>0</x:v>
      </x:c>
      <x:c r="Z78" s="1" t="n">
        <x:v>0</x:v>
      </x:c>
      <x:c r="AA78" s="1" t="n">
        <x:v>0</x:v>
      </x:c>
      <x:c r="AB78" s="1" t="n">
        <x:v>1</x:v>
      </x:c>
      <x:c r="AC78" s="1" t="n">
        <x:v>0</x:v>
      </x:c>
      <x:c r="AD78" s="1" t="str">
        <x:f>IF('Raw properties'!Y78="","",'Raw properties'!Y78)</x:f>
        <x:v>12 Month Lease</x:v>
      </x:c>
      <x:c r="AE78" s="1" t="str">
        <x:v>1970-01-01</x:v>
      </x:c>
      <x:c r="AF78" s="1" t="str">
        <x:v>Included in rent means</x:v>
      </x:c>
      <x:c r="AG78" s="5" t="str">
        <x:v>Source pricing flag retained; automated consistency checks passed. This is not independent landlord verification.</x:v>
      </x:c>
      <x:c r="AH78" s="1" t="str">
        <x:v>$2,295</x:v>
      </x:c>
      <x:c r="AI78" s="8" t="n">
        <x:f>MIN(ABS(P78-1),ABS(P78-3),ABS(P78-5))*5280</x:f>
        <x:v>3018.8394715944164</x:v>
      </x:c>
      <x:c r="AJ78" s="8" t="n">
        <x:f>MIN(ABS(R78-1),ABS(R78-3),ABS(R78-5))*5280</x:f>
        <x:v>1179.5874476934973</x:v>
      </x:c>
      <x:c r="AK78" s="8" t="n">
        <x:f>MIN(ABS(T78-1),ABS(T78-3),ABS(T78-5))*5280</x:f>
        <x:v>4188.693929114555</x:v>
      </x:c>
      <x:c r="AL78" s="1" t="n">
        <x:f>IF(MIN(AI78,AJ78,AK78)&lt;=100,1,0)</x:f>
        <x:v>0</x:v>
      </x:c>
    </x:row>
    <x:row r="79" ht="24" hidden="0" customHeight="1">
      <x:c r="A79" s="1" t="str">
        <x:f>IF('Raw properties'!A79="","",'Raw properties'!A79)</x:f>
        <x:v>ocpgxr290w</x:v>
      </x:c>
      <x:c r="B79" s="1" t="str">
        <x:f>IF('Raw properties'!D79="","",'Raw properties'!D79)</x:f>
        <x:v>Spacious Forest Park Two-Room Suite + Private Bath - Walk to Campus (Includes Utilities)</x:v>
      </x:c>
      <x:c r="C79" s="1" t="str">
        <x:f>IF('Raw properties'!AG79="","",'Raw properties'!AG79)</x:f>
        <x:v>https://offcampus.dasa.ncsu.edu/housing/property/spacious-forest-park-two-room-suite-private-bath-walk-to-campus-includes-utilities/ocpgxr290w</x:v>
      </x:c>
      <x:c r="D79" s="1" t="str">
        <x:v>Whole unit</x:v>
      </x:c>
      <x:c r="E79" s="1" t="str">
        <x:v>Per bedroom</x:v>
      </x:c>
      <x:c r="F79" s="7" t="n">
        <x:f>IF('Raw properties'!I79="","",'Raw properties'!I79)</x:f>
        <x:v>35.78692</x:v>
      </x:c>
      <x:c r="G79" s="7" t="n">
        <x:f>IF('Raw properties'!J79="","",'Raw properties'!J79)</x:f>
        <x:v>-78.654559</x:v>
      </x:c>
      <x:c r="H79" s="6" t="n">
        <x:f>IF('Raw properties'!M79="","",'Raw properties'!M79)</x:f>
        <x:v>1225</x:v>
      </x:c>
      <x:c r="I79" s="6" t="n">
        <x:f>IF('Raw properties'!N79="","",'Raw properties'!N79)</x:f>
        <x:v>1225</x:v>
      </x:c>
      <x:c r="J79" s="6" t="n">
        <x:f>IF((IF('Raw floorplans'!H429&gt;0,1,0))=0,"",MIN(IF('Raw floorplans'!H429&gt;0,'Raw floorplans'!H429,1E99)))</x:f>
        <x:v>1225</x:v>
      </x:c>
      <x:c r="K79" s="6" t="n">
        <x:f>IF((IF('Raw floorplans'!I429&gt;0,1,0))=0,"",MAX(IF('Raw floorplans'!I429&gt;0,'Raw floorplans'!I429,0)))</x:f>
        <x:v>1225</x:v>
      </x:c>
      <x:c r="L79" s="1" t="n">
        <x:v>0</x:v>
      </x:c>
      <x:c r="M79" s="1" t="n">
        <x:f>IF(AND(ISNUMBER(H79),ISNUMBER(I79),ISNUMBER(J79),ISNUMBER(K79),H79&gt;0,I79&gt;0),IF(OR(H79&lt;&gt;J79,I79&lt;&gt;K79),1,0),0)</x:f>
        <x:v>0</x:v>
      </x:c>
      <x:c r="N79" s="1" t="n">
        <x:f>IF(AND(ISNUMBER(H79),ISNUMBER(I79),H79&gt;0,I79&gt;=H79),1,0)</x:f>
        <x:v>1</x:v>
      </x:c>
      <x:c r="O79" s="1" t="n">
        <x:f>IF(AND(L79=0,M79=0,N79=1),1,0)</x:f>
        <x:v>1</x:v>
      </x:c>
      <x:c r="P79" s="7" t="n">
        <x:f>2*3958.7613*ASIN(SQRT(SIN(RADIANS(F79-35.77951)/2)^2+COS(RADIANS(35.77951))*COS(RADIANS(F79))*SIN(RADIANS(G79-(-78.68168))/2)^2))</x:f>
        <x:v>1.604060635544706</x:v>
      </x:c>
      <x:c r="Q79" s="1" t="str">
        <x:f>IF(P79&lt;=1,"0–1 mi",IF(P79&lt;=3,"&gt;1–3 mi",IF(P79&lt;=5,"&gt;3–5 mi","Outside 5 mi")))</x:f>
        <x:v>&gt;1–3 mi</x:v>
      </x:c>
      <x:c r="R79" s="7" t="n">
        <x:f>2*3958.7613*ASIN(SQRT(SIN(RADIANS(F79-35.7687)/2)^2+COS(RADIANS(35.7687))*COS(RADIANS(F79))*SIN(RADIANS(G79-(-78.6775))/2)^2))</x:f>
        <x:v>1.7995724129752178</x:v>
      </x:c>
      <x:c r="S79" s="1" t="str">
        <x:f>IF(R79&lt;=1,"0–1 mi",IF(R79&lt;=3,"&gt;1–3 mi",IF(R79&lt;=5,"&gt;3–5 mi","Outside 5 mi")))</x:f>
        <x:v>&gt;1–3 mi</x:v>
      </x:c>
      <x:c r="T79" s="7" t="n">
        <x:f>2*3958.7613*ASIN(SQRT(SIN(RADIANS(F79-35.79847)/2)^2+COS(RADIANS(35.79847))*COS(RADIANS(F79))*SIN(RADIANS(G79-(-78.70408))/2)^2))</x:f>
        <x:v>2.8878251800470993</x:v>
      </x:c>
      <x:c r="U79" s="1" t="str">
        <x:f>IF(T79&lt;=1,"0–1 mi",IF(T79&lt;=3,"&gt;1–3 mi",IF(T79&lt;=5,"&gt;3–5 mi","Outside 5 mi")))</x:f>
        <x:v>&gt;1–3 mi</x:v>
      </x:c>
      <x:c r="V79" s="1" t="n">
        <x:f>IF(MIN(P79,R79,T79)&lt;=5,1,0)</x:f>
        <x:v>1</x:v>
      </x:c>
      <x:c r="W79" s="6" t="n">
        <x:f>IF(O79=1,(H79+I79)/2,"")</x:f>
        <x:v>1225</x:v>
      </x:c>
      <x:c r="X79" s="1" t="n">
        <x:f>O79*V79</x:f>
        <x:v>1</x:v>
      </x:c>
      <x:c r="Y79" s="1" t="n">
        <x:v>0</x:v>
      </x:c>
      <x:c r="Z79" s="1" t="n">
        <x:v>0</x:v>
      </x:c>
      <x:c r="AA79" s="1" t="n">
        <x:v>0</x:v>
      </x:c>
      <x:c r="AB79" s="1" t="n">
        <x:v>0</x:v>
      </x:c>
      <x:c r="AC79" s="1" t="n">
        <x:v>0</x:v>
      </x:c>
      <x:c r="AD79" s="1" t="str">
        <x:f>IF('Raw properties'!Y79="","",'Raw properties'!Y79)</x:f>
        <x:v>6 Month Lease</x:v>
      </x:c>
      <x:c r="AE79" s="1" t="str">
        <x:v>2026-10-01</x:v>
      </x:c>
      <x:c r="AF79" s="1" t="str">
        <x:v>Included in rent means</x:v>
      </x:c>
      <x:c r="AG79" s="5" t="str">
        <x:v>September 13 source describes one housemate renting a bedroom plus office and private bath, with shared common spaces. Classified as a per-person room/suite, not an entire dwelling; September 9 price retained.</x:v>
      </x:c>
      <x:c r="AH79" s="1" t="str">
        <x:v>$1,225</x:v>
      </x:c>
      <x:c r="AI79" s="8" t="n">
        <x:f>MIN(ABS(P79-1),ABS(P79-3),ABS(P79-5))*5280</x:f>
        <x:v>3189.4401556760477</x:v>
      </x:c>
      <x:c r="AJ79" s="8" t="n">
        <x:f>MIN(ABS(R79-1),ABS(R79-3),ABS(R79-5))*5280</x:f>
        <x:v>4221.7423405091495</x:v>
      </x:c>
      <x:c r="AK79" s="8" t="n">
        <x:f>MIN(ABS(T79-1),ABS(T79-3),ABS(T79-5))*5280</x:f>
        <x:v>592.2830493513156</x:v>
      </x:c>
      <x:c r="AL79" s="1" t="n">
        <x:f>IF(MIN(AI79,AJ79,AK79)&lt;=100,1,0)</x:f>
        <x:v>0</x:v>
      </x:c>
    </x:row>
    <x:row r="80" ht="15" hidden="0" customHeight="1">
      <x:c r="A80" s="1" t="str">
        <x:f>IF('Raw properties'!A80="","",'Raw properties'!A80)</x:f>
        <x:v>ocpb48f058</x:v>
      </x:c>
      <x:c r="B80" s="1" t="str">
        <x:f>IF('Raw properties'!D80="","",'Raw properties'!D80)</x:f>
        <x:v>Now Pre-Leasing for August 2026! 1 and 3 Bedrooms with Utilities! Marcom St Apartments!</x:v>
      </x:c>
      <x:c r="C80" s="1" t="str">
        <x:f>IF('Raw properties'!AG80="","",'Raw properties'!AG80)</x:f>
        <x:v>https://offcampus.dasa.ncsu.edu/housing/property/now-pre-leasing-for-august-2026-1-and-3-bedrooms-with-utilities-marcom-st-apartments/ocpb48f058</x:v>
      </x:c>
      <x:c r="D80" s="1" t="str">
        <x:v>Whole unit</x:v>
      </x:c>
      <x:c r="E80" s="1" t="str">
        <x:v>Whole unit</x:v>
      </x:c>
      <x:c r="F80" s="7" t="n">
        <x:f>IF('Raw properties'!I80="","",'Raw properties'!I80)</x:f>
        <x:v>35.779168</x:v>
      </x:c>
      <x:c r="G80" s="7" t="n">
        <x:f>IF('Raw properties'!J80="","",'Raw properties'!J80)</x:f>
        <x:v>-78.689547</x:v>
      </x:c>
      <x:c r="H80" s="6" t="n">
        <x:f>IF('Raw properties'!M80="","",'Raw properties'!M80)</x:f>
        <x:v>1545</x:v>
      </x:c>
      <x:c r="I80" s="6" t="n">
        <x:f>IF('Raw properties'!N80="","",'Raw properties'!N80)</x:f>
        <x:v>2045</x:v>
      </x:c>
      <x:c r="J80" s="6" t="n">
        <x:f>IF((IF('Raw floorplans'!H430&gt;0,1,0)+IF('Raw floorplans'!H431&gt;0,1,0)+IF('Raw floorplans'!H432&gt;0,1,0))=0,"",MIN(IF('Raw floorplans'!H430&gt;0,'Raw floorplans'!H430,1E99),IF('Raw floorplans'!H431&gt;0,'Raw floorplans'!H431,1E99),IF('Raw floorplans'!H432&gt;0,'Raw floorplans'!H432,1E99)))</x:f>
        <x:v>1545</x:v>
      </x:c>
      <x:c r="K80" s="6" t="n">
        <x:f>IF((IF('Raw floorplans'!I430&gt;0,1,0)+IF('Raw floorplans'!I431&gt;0,1,0)+IF('Raw floorplans'!I432&gt;0,1,0))=0,"",MAX(IF('Raw floorplans'!I430&gt;0,'Raw floorplans'!I430,0),IF('Raw floorplans'!I431&gt;0,'Raw floorplans'!I431,0),IF('Raw floorplans'!I432&gt;0,'Raw floorplans'!I432,0)))</x:f>
        <x:v>2045</x:v>
      </x:c>
      <x:c r="L80" s="1" t="n">
        <x:v>0</x:v>
      </x:c>
      <x:c r="M80" s="1" t="n">
        <x:f>IF(AND(ISNUMBER(H80),ISNUMBER(I80),ISNUMBER(J80),ISNUMBER(K80),H80&gt;0,I80&gt;0),IF(OR(H80&lt;&gt;J80,I80&lt;&gt;K80),1,0),0)</x:f>
        <x:v>0</x:v>
      </x:c>
      <x:c r="N80" s="1" t="n">
        <x:f>IF(AND(ISNUMBER(H80),ISNUMBER(I80),H80&gt;0,I80&gt;=H80),1,0)</x:f>
        <x:v>1</x:v>
      </x:c>
      <x:c r="O80" s="1" t="n">
        <x:f>IF(AND(L80=0,M80=0,N80=1),1,0)</x:f>
        <x:v>1</x:v>
      </x:c>
      <x:c r="P80" s="7" t="n">
        <x:f>2*3958.7613*ASIN(SQRT(SIN(RADIANS(F80-35.77951)/2)^2+COS(RADIANS(35.77951))*COS(RADIANS(F80))*SIN(RADIANS(G80-(-78.68168))/2)^2))</x:f>
        <x:v>0.4416074560558062</x:v>
      </x:c>
      <x:c r="Q80" s="1" t="str">
        <x:f>IF(P80&lt;=1,"0–1 mi",IF(P80&lt;=3,"&gt;1–3 mi",IF(P80&lt;=5,"&gt;3–5 mi","Outside 5 mi")))</x:f>
        <x:v>0–1 mi</x:v>
      </x:c>
      <x:c r="R80" s="7" t="n">
        <x:f>2*3958.7613*ASIN(SQRT(SIN(RADIANS(F80-35.7687)/2)^2+COS(RADIANS(35.7687))*COS(RADIANS(F80))*SIN(RADIANS(G80-(-78.6775))/2)^2))</x:f>
        <x:v>0.9895371059327228</x:v>
      </x:c>
      <x:c r="S80" s="1" t="str">
        <x:f>IF(R80&lt;=1,"0–1 mi",IF(R80&lt;=3,"&gt;1–3 mi",IF(R80&lt;=5,"&gt;3–5 mi","Outside 5 mi")))</x:f>
        <x:v>0–1 mi</x:v>
      </x:c>
      <x:c r="T80" s="7" t="n">
        <x:f>2*3958.7613*ASIN(SQRT(SIN(RADIANS(F80-35.79847)/2)^2+COS(RADIANS(35.79847))*COS(RADIANS(F80))*SIN(RADIANS(G80-(-78.70408))/2)^2))</x:f>
        <x:v>1.5627094982337084</x:v>
      </x:c>
      <x:c r="U80" s="1" t="str">
        <x:f>IF(T80&lt;=1,"0–1 mi",IF(T80&lt;=3,"&gt;1–3 mi",IF(T80&lt;=5,"&gt;3–5 mi","Outside 5 mi")))</x:f>
        <x:v>&gt;1–3 mi</x:v>
      </x:c>
      <x:c r="V80" s="1" t="n">
        <x:f>IF(MIN(P80,R80,T80)&lt;=5,1,0)</x:f>
        <x:v>1</x:v>
      </x:c>
      <x:c r="W80" s="6" t="n">
        <x:f>IF(O80=1,(H80+I80)/2,"")</x:f>
        <x:v>1795</x:v>
      </x:c>
      <x:c r="X80" s="1" t="n">
        <x:f>O80*V80</x:f>
        <x:v>1</x:v>
      </x:c>
      <x:c r="Y80" s="1" t="n">
        <x:v>0</x:v>
      </x:c>
      <x:c r="Z80" s="1" t="n">
        <x:v>0</x:v>
      </x:c>
      <x:c r="AA80" s="1" t="n">
        <x:v>0</x:v>
      </x:c>
      <x:c r="AB80" s="1" t="n">
        <x:v>1</x:v>
      </x:c>
      <x:c r="AC80" s="1" t="n">
        <x:v>0</x:v>
      </x:c>
      <x:c r="AD80" s="1" t="str">
        <x:f>IF('Raw properties'!Y80="","",'Raw properties'!Y80)</x:f>
        <x:v>12 Month Lease</x:v>
      </x:c>
      <x:c r="AE80" s="1" t="str">
        <x:v>1970-01-01</x:v>
      </x:c>
      <x:c r="AF80" s="1" t="str">
        <x:v>Included in rent means</x:v>
      </x:c>
      <x:c r="AG80" s="5" t="str">
        <x:v>Source pricing flag retained; automated consistency checks passed. This is not independent landlord verification.</x:v>
      </x:c>
      <x:c r="AH80" s="1" t="str">
        <x:v>$1,545 - $2,045</x:v>
      </x:c>
      <x:c r="AI80" s="8" t="n">
        <x:f>MIN(ABS(P80-1),ABS(P80-3),ABS(P80-5))*5280</x:f>
        <x:v>2948.312632025343</x:v>
      </x:c>
      <x:c r="AJ80" s="8" t="n">
        <x:f>MIN(ABS(R80-1),ABS(R80-3),ABS(R80-5))*5280</x:f>
        <x:v>55.24408067522353</x:v>
      </x:c>
      <x:c r="AK80" s="8" t="n">
        <x:f>MIN(ABS(T80-1),ABS(T80-3),ABS(T80-5))*5280</x:f>
        <x:v>2971.1061506739807</x:v>
      </x:c>
      <x:c r="AL80" s="1" t="n">
        <x:f>IF(MIN(AI80,AJ80,AK80)&lt;=100,1,0)</x:f>
        <x:v>1</x:v>
      </x:c>
    </x:row>
    <x:row r="81" ht="15" hidden="0" customHeight="1">
      <x:c r="A81" s="1" t="str">
        <x:f>IF('Raw properties'!A81="","",'Raw properties'!A81)</x:f>
        <x:v>ocpsd8dpj6</x:v>
      </x:c>
      <x:c r="B81" s="1" t="str">
        <x:f>IF('Raw properties'!D81="","",'Raw properties'!D81)</x:f>
        <x:v>Spacious En-suite with private patio and garage parking in Crescent Ridge Townhome Community</x:v>
      </x:c>
      <x:c r="C81" s="1" t="str">
        <x:f>IF('Raw properties'!AG81="","",'Raw properties'!AG81)</x:f>
        <x:v>https://offcampus.dasa.ncsu.edu/housing/property/spacious-en-suite-with-private-patio-and-garage-parking-in-crescent-ridge-townhome-community/ocpsd8dpj6</x:v>
      </x:c>
      <x:c r="D81" s="1" t="str">
        <x:v>Per bedroom</x:v>
      </x:c>
      <x:c r="E81" s="1" t="str">
        <x:v>Per bedroom</x:v>
      </x:c>
      <x:c r="F81" s="7" t="n">
        <x:f>IF('Raw properties'!I81="","",'Raw properties'!I81)</x:f>
        <x:v>35.749844</x:v>
      </x:c>
      <x:c r="G81" s="7" t="n">
        <x:f>IF('Raw properties'!J81="","",'Raw properties'!J81)</x:f>
        <x:v>-78.713718</x:v>
      </x:c>
      <x:c r="H81" s="6" t="n">
        <x:f>IF('Raw properties'!M81="","",'Raw properties'!M81)</x:f>
        <x:v>900</x:v>
      </x:c>
      <x:c r="I81" s="6" t="n">
        <x:f>IF('Raw properties'!N81="","",'Raw properties'!N81)</x:f>
        <x:v>900</x:v>
      </x:c>
      <x:c r="J81" s="6" t="n">
        <x:f>IF((IF('Raw floorplans'!H433&gt;0,1,0))=0,"",MIN(IF('Raw floorplans'!H433&gt;0,'Raw floorplans'!H433,1E99)))</x:f>
        <x:v>900</x:v>
      </x:c>
      <x:c r="K81" s="6" t="n">
        <x:f>IF((IF('Raw floorplans'!I433&gt;0,1,0))=0,"",MAX(IF('Raw floorplans'!I433&gt;0,'Raw floorplans'!I433,0)))</x:f>
        <x:v>900</x:v>
      </x:c>
      <x:c r="L81" s="1" t="n">
        <x:v>0</x:v>
      </x:c>
      <x:c r="M81" s="1" t="n">
        <x:f>IF(AND(ISNUMBER(H81),ISNUMBER(I81),ISNUMBER(J81),ISNUMBER(K81),H81&gt;0,I81&gt;0),IF(OR(H81&lt;&gt;J81,I81&lt;&gt;K81),1,0),0)</x:f>
        <x:v>0</x:v>
      </x:c>
      <x:c r="N81" s="1" t="n">
        <x:f>IF(AND(ISNUMBER(H81),ISNUMBER(I81),H81&gt;0,I81&gt;=H81),1,0)</x:f>
        <x:v>1</x:v>
      </x:c>
      <x:c r="O81" s="1" t="n">
        <x:f>IF(AND(L81=0,M81=0,N81=1),1,0)</x:f>
        <x:v>1</x:v>
      </x:c>
      <x:c r="P81" s="7" t="n">
        <x:f>2*3958.7613*ASIN(SQRT(SIN(RADIANS(F81-35.77951)/2)^2+COS(RADIANS(35.77951))*COS(RADIANS(F81))*SIN(RADIANS(G81-(-78.68168))/2)^2))</x:f>
        <x:v>2.725369677634498</x:v>
      </x:c>
      <x:c r="Q81" s="1" t="str">
        <x:f>IF(P81&lt;=1,"0–1 mi",IF(P81&lt;=3,"&gt;1–3 mi",IF(P81&lt;=5,"&gt;3–5 mi","Outside 5 mi")))</x:f>
        <x:v>&gt;1–3 mi</x:v>
      </x:c>
      <x:c r="R81" s="7" t="n">
        <x:f>2*3958.7613*ASIN(SQRT(SIN(RADIANS(F81-35.7687)/2)^2+COS(RADIANS(35.7687))*COS(RADIANS(F81))*SIN(RADIANS(G81-(-78.6775))/2)^2))</x:f>
        <x:v>2.412666918769164</x:v>
      </x:c>
      <x:c r="S81" s="1" t="str">
        <x:f>IF(R81&lt;=1,"0–1 mi",IF(R81&lt;=3,"&gt;1–3 mi",IF(R81&lt;=5,"&gt;3–5 mi","Outside 5 mi")))</x:f>
        <x:v>&gt;1–3 mi</x:v>
      </x:c>
      <x:c r="T81" s="7" t="n">
        <x:f>2*3958.7613*ASIN(SQRT(SIN(RADIANS(F81-35.79847)/2)^2+COS(RADIANS(35.79847))*COS(RADIANS(F81))*SIN(RADIANS(G81-(-78.70408))/2)^2))</x:f>
        <x:v>3.4029007743065858</x:v>
      </x:c>
      <x:c r="U81" s="1" t="str">
        <x:f>IF(T81&lt;=1,"0–1 mi",IF(T81&lt;=3,"&gt;1–3 mi",IF(T81&lt;=5,"&gt;3–5 mi","Outside 5 mi")))</x:f>
        <x:v>&gt;3–5 mi</x:v>
      </x:c>
      <x:c r="V81" s="1" t="n">
        <x:f>IF(MIN(P81,R81,T81)&lt;=5,1,0)</x:f>
        <x:v>1</x:v>
      </x:c>
      <x:c r="W81" s="6" t="n">
        <x:f>IF(O81=1,(H81+I81)/2,"")</x:f>
        <x:v>900</x:v>
      </x:c>
      <x:c r="X81" s="1" t="n">
        <x:f>O81*V81</x:f>
        <x:v>1</x:v>
      </x:c>
      <x:c r="Y81" s="1" t="n">
        <x:v>0</x:v>
      </x:c>
      <x:c r="Z81" s="1" t="n">
        <x:v>0</x:v>
      </x:c>
      <x:c r="AA81" s="1" t="n">
        <x:v>0</x:v>
      </x:c>
      <x:c r="AB81" s="1" t="n">
        <x:v>0</x:v>
      </x:c>
      <x:c r="AC81" s="1" t="n">
        <x:v>0</x:v>
      </x:c>
      <x:c r="AD81" s="1" t="str">
        <x:f>IF('Raw properties'!Y81="","",'Raw properties'!Y81)</x:f>
        <x:v>12 Month Lease</x:v>
      </x:c>
      <x:c r="AE81" s="1" t="str">
        <x:v>1970-01-01</x:v>
      </x:c>
      <x:c r="AF81" s="1" t="str">
        <x:v>Included in rent means</x:v>
      </x:c>
      <x:c r="AG81" s="5" t="str">
        <x:v>Source pricing flag retained; automated consistency checks passed. This is not independent landlord verification.</x:v>
      </x:c>
      <x:c r="AH81" s="1" t="str">
        <x:v>$900</x:v>
      </x:c>
      <x:c r="AI81" s="8" t="n">
        <x:f>MIN(ABS(P81-1),ABS(P81-3),ABS(P81-5))*5280</x:f>
        <x:v>1450.0481020898505</x:v>
      </x:c>
      <x:c r="AJ81" s="8" t="n">
        <x:f>MIN(ABS(R81-1),ABS(R81-3),ABS(R81-5))*5280</x:f>
        <x:v>3101.1186688988137</x:v>
      </x:c>
      <x:c r="AK81" s="8" t="n">
        <x:f>MIN(ABS(T81-1),ABS(T81-3),ABS(T81-5))*5280</x:f>
        <x:v>2127.3160883387727</x:v>
      </x:c>
      <x:c r="AL81" s="1" t="n">
        <x:f>IF(MIN(AI81,AJ81,AK81)&lt;=100,1,0)</x:f>
        <x:v>0</x:v>
      </x:c>
    </x:row>
    <x:row r="82" ht="15" hidden="0" customHeight="1">
      <x:c r="A82" s="1" t="str">
        <x:f>IF('Raw properties'!A82="","",'Raw properties'!A82)</x:f>
        <x:v>xcp87fm</x:v>
      </x:c>
      <x:c r="B82" s="1" t="str">
        <x:f>IF('Raw properties'!D82="","",'Raw properties'!D82)</x:f>
        <x:v>Tryon Flats Apartments</x:v>
      </x:c>
      <x:c r="C82" s="1" t="str">
        <x:f>IF('Raw properties'!AG82="","",'Raw properties'!AG82)</x:f>
        <x:v>https://offcampus.dasa.ncsu.edu/housing/property/tryon-flats-apartments/xcp87fm</x:v>
      </x:c>
      <x:c r="D82" s="1" t="str">
        <x:v>Per bedroom</x:v>
      </x:c>
      <x:c r="E82" s="1" t="str">
        <x:v>Per bedroom</x:v>
      </x:c>
      <x:c r="F82" s="7" t="n">
        <x:f>IF('Raw properties'!I82="","",'Raw properties'!I82)</x:f>
        <x:v>35.743632</x:v>
      </x:c>
      <x:c r="G82" s="7" t="n">
        <x:f>IF('Raw properties'!J82="","",'Raw properties'!J82)</x:f>
        <x:v>-78.686435</x:v>
      </x:c>
      <x:c r="H82" s="6" t="n">
        <x:f>IF('Raw properties'!M82="","",'Raw properties'!M82)</x:f>
        <x:v>750</x:v>
      </x:c>
      <x:c r="I82" s="6" t="n">
        <x:f>IF('Raw properties'!N82="","",'Raw properties'!N82)</x:f>
        <x:v>750</x:v>
      </x:c>
      <x:c r="J82" s="6" t="n">
        <x:f>IF((IF('Raw floorplans'!H434&gt;0,1,0))=0,"",MIN(IF('Raw floorplans'!H434&gt;0,'Raw floorplans'!H434,1E99)))</x:f>
        <x:v>750</x:v>
      </x:c>
      <x:c r="K82" s="6" t="n">
        <x:f>IF((IF('Raw floorplans'!I434&gt;0,1,0))=0,"",MAX(IF('Raw floorplans'!I434&gt;0,'Raw floorplans'!I434,0)))</x:f>
        <x:v>750</x:v>
      </x:c>
      <x:c r="L82" s="1" t="n">
        <x:v>0</x:v>
      </x:c>
      <x:c r="M82" s="1" t="n">
        <x:f>IF(AND(ISNUMBER(H82),ISNUMBER(I82),ISNUMBER(J82),ISNUMBER(K82),H82&gt;0,I82&gt;0),IF(OR(H82&lt;&gt;J82,I82&lt;&gt;K82),1,0),0)</x:f>
        <x:v>0</x:v>
      </x:c>
      <x:c r="N82" s="1" t="n">
        <x:f>IF(AND(ISNUMBER(H82),ISNUMBER(I82),H82&gt;0,I82&gt;=H82),1,0)</x:f>
        <x:v>1</x:v>
      </x:c>
      <x:c r="O82" s="1" t="n">
        <x:f>IF(AND(L82=0,M82=0,N82=1),1,0)</x:f>
        <x:v>1</x:v>
      </x:c>
      <x:c r="P82" s="7" t="n">
        <x:f>2*3958.7613*ASIN(SQRT(SIN(RADIANS(F82-35.77951)/2)^2+COS(RADIANS(35.77951))*COS(RADIANS(F82))*SIN(RADIANS(G82-(-78.68168))/2)^2))</x:f>
        <x:v>2.493227860476192</x:v>
      </x:c>
      <x:c r="Q82" s="1" t="str">
        <x:f>IF(P82&lt;=1,"0–1 mi",IF(P82&lt;=3,"&gt;1–3 mi",IF(P82&lt;=5,"&gt;3–5 mi","Outside 5 mi")))</x:f>
        <x:v>&gt;1–3 mi</x:v>
      </x:c>
      <x:c r="R82" s="7" t="n">
        <x:f>2*3958.7613*ASIN(SQRT(SIN(RADIANS(F82-35.7687)/2)^2+COS(RADIANS(35.7687))*COS(RADIANS(F82))*SIN(RADIANS(G82-(-78.6775))/2)^2))</x:f>
        <x:v>1.8030330764239753</x:v>
      </x:c>
      <x:c r="S82" s="1" t="str">
        <x:f>IF(R82&lt;=1,"0–1 mi",IF(R82&lt;=3,"&gt;1–3 mi",IF(R82&lt;=5,"&gt;3–5 mi","Outside 5 mi")))</x:f>
        <x:v>&gt;1–3 mi</x:v>
      </x:c>
      <x:c r="T82" s="7" t="n">
        <x:f>2*3958.7613*ASIN(SQRT(SIN(RADIANS(F82-35.79847)/2)^2+COS(RADIANS(35.79847))*COS(RADIANS(F82))*SIN(RADIANS(G82-(-78.70408))/2)^2))</x:f>
        <x:v>3.915937101692282</x:v>
      </x:c>
      <x:c r="U82" s="1" t="str">
        <x:f>IF(T82&lt;=1,"0–1 mi",IF(T82&lt;=3,"&gt;1–3 mi",IF(T82&lt;=5,"&gt;3–5 mi","Outside 5 mi")))</x:f>
        <x:v>&gt;3–5 mi</x:v>
      </x:c>
      <x:c r="V82" s="1" t="n">
        <x:f>IF(MIN(P82,R82,T82)&lt;=5,1,0)</x:f>
        <x:v>1</x:v>
      </x:c>
      <x:c r="W82" s="6" t="n">
        <x:f>IF(O82=1,(H82+I82)/2,"")</x:f>
        <x:v>750</x:v>
      </x:c>
      <x:c r="X82" s="1" t="n">
        <x:f>O82*V82</x:f>
        <x:v>1</x:v>
      </x:c>
      <x:c r="Y82" s="1" t="n">
        <x:v>0</x:v>
      </x:c>
      <x:c r="Z82" s="1" t="n">
        <x:v>0</x:v>
      </x:c>
      <x:c r="AA82" s="1" t="n">
        <x:v>0</x:v>
      </x:c>
      <x:c r="AB82" s="1" t="n">
        <x:v>0</x:v>
      </x:c>
      <x:c r="AC82" s="1" t="n">
        <x:v>0</x:v>
      </x:c>
      <x:c r="AD82" s="1" t="str">
        <x:f>IF('Raw properties'!Y82="","",'Raw properties'!Y82)</x:f>
        <x:v>12 Month Lease</x:v>
      </x:c>
      <x:c r="AE82" s="1" t="str">
        <x:v>2026-06-19</x:v>
      </x:c>
      <x:c r="AF82" s="1" t="str">
        <x:v>Included in rent means</x:v>
      </x:c>
      <x:c r="AG82" s="5" t="str">
        <x:v>Source pricing flag retained; automated consistency checks passed. This is not independent landlord verification.</x:v>
      </x:c>
      <x:c r="AH82" s="1" t="str">
        <x:v>$750</x:v>
      </x:c>
      <x:c r="AI82" s="8" t="n">
        <x:f>MIN(ABS(P82-1),ABS(P82-3),ABS(P82-5))*5280</x:f>
        <x:v>2675.756896685705</x:v>
      </x:c>
      <x:c r="AJ82" s="8" t="n">
        <x:f>MIN(ABS(R82-1),ABS(R82-3),ABS(R82-5))*5280</x:f>
        <x:v>4240.01464351859</x:v>
      </x:c>
      <x:c r="AK82" s="8" t="n">
        <x:f>MIN(ABS(T82-1),ABS(T82-3),ABS(T82-5))*5280</x:f>
        <x:v>4836.14789693525</x:v>
      </x:c>
      <x:c r="AL82" s="1" t="n">
        <x:f>IF(MIN(AI82,AJ82,AK82)&lt;=100,1,0)</x:f>
        <x:v>0</x:v>
      </x:c>
    </x:row>
    <x:row r="83" ht="15" hidden="0" customHeight="1">
      <x:c r="A83" s="1" t="str">
        <x:f>IF('Raw properties'!A83="","",'Raw properties'!A83)</x:f>
        <x:v>ocpsq86tm4</x:v>
      </x:c>
      <x:c r="B83" s="1" t="str">
        <x:f>IF('Raw properties'!D83="","",'Raw properties'!D83)</x:f>
        <x:v>4bed 4bath Apartment Near Centennial Campus</x:v>
      </x:c>
      <x:c r="C83" s="1" t="str">
        <x:f>IF('Raw properties'!AG83="","",'Raw properties'!AG83)</x:f>
        <x:v>https://offcampus.dasa.ncsu.edu/housing/property/4bed-4bath-apartment-near-centennial-campus/ocpsq86tm4</x:v>
      </x:c>
      <x:c r="D83" s="1" t="str">
        <x:v>Per bedroom</x:v>
      </x:c>
      <x:c r="E83" s="1" t="str">
        <x:v>Per bedroom</x:v>
      </x:c>
      <x:c r="F83" s="7" t="n">
        <x:f>IF('Raw properties'!I83="","",'Raw properties'!I83)</x:f>
        <x:v>35.762747</x:v>
      </x:c>
      <x:c r="G83" s="7" t="n">
        <x:f>IF('Raw properties'!J83="","",'Raw properties'!J83)</x:f>
        <x:v>-78.70112</x:v>
      </x:c>
      <x:c r="H83" s="6" t="n">
        <x:f>IF('Raw properties'!M83="","",'Raw properties'!M83)</x:f>
        <x:v>725</x:v>
      </x:c>
      <x:c r="I83" s="6" t="n">
        <x:f>IF('Raw properties'!N83="","",'Raw properties'!N83)</x:f>
        <x:v>725</x:v>
      </x:c>
      <x:c r="J83" s="6" t="n">
        <x:f>IF((IF('Raw floorplans'!H435&gt;0,1,0))=0,"",MIN(IF('Raw floorplans'!H435&gt;0,'Raw floorplans'!H435,1E99)))</x:f>
        <x:v>725</x:v>
      </x:c>
      <x:c r="K83" s="6" t="n">
        <x:f>IF((IF('Raw floorplans'!I435&gt;0,1,0))=0,"",MAX(IF('Raw floorplans'!I435&gt;0,'Raw floorplans'!I435,0)))</x:f>
        <x:v>725</x:v>
      </x:c>
      <x:c r="L83" s="1" t="n">
        <x:v>0</x:v>
      </x:c>
      <x:c r="M83" s="1" t="n">
        <x:f>IF(AND(ISNUMBER(H83),ISNUMBER(I83),ISNUMBER(J83),ISNUMBER(K83),H83&gt;0,I83&gt;0),IF(OR(H83&lt;&gt;J83,I83&lt;&gt;K83),1,0),0)</x:f>
        <x:v>0</x:v>
      </x:c>
      <x:c r="N83" s="1" t="n">
        <x:f>IF(AND(ISNUMBER(H83),ISNUMBER(I83),H83&gt;0,I83&gt;=H83),1,0)</x:f>
        <x:v>1</x:v>
      </x:c>
      <x:c r="O83" s="1" t="n">
        <x:f>IF(AND(L83=0,M83=0,N83=1),1,0)</x:f>
        <x:v>1</x:v>
      </x:c>
      <x:c r="P83" s="7" t="n">
        <x:f>2*3958.7613*ASIN(SQRT(SIN(RADIANS(F83-35.77951)/2)^2+COS(RADIANS(35.77951))*COS(RADIANS(F83))*SIN(RADIANS(G83-(-78.68168))/2)^2))</x:f>
        <x:v>1.5903192808741347</x:v>
      </x:c>
      <x:c r="Q83" s="1" t="str">
        <x:f>IF(P83&lt;=1,"0–1 mi",IF(P83&lt;=3,"&gt;1–3 mi",IF(P83&lt;=5,"&gt;3–5 mi","Outside 5 mi")))</x:f>
        <x:v>&gt;1–3 mi</x:v>
      </x:c>
      <x:c r="R83" s="7" t="n">
        <x:f>2*3958.7613*ASIN(SQRT(SIN(RADIANS(F83-35.7687)/2)^2+COS(RADIANS(35.7687))*COS(RADIANS(F83))*SIN(RADIANS(G83-(-78.6775))/2)^2))</x:f>
        <x:v>1.3866242439059324</x:v>
      </x:c>
      <x:c r="S83" s="1" t="str">
        <x:f>IF(R83&lt;=1,"0–1 mi",IF(R83&lt;=3,"&gt;1–3 mi",IF(R83&lt;=5,"&gt;3–5 mi","Outside 5 mi")))</x:f>
        <x:v>&gt;1–3 mi</x:v>
      </x:c>
      <x:c r="T83" s="7" t="n">
        <x:f>2*3958.7613*ASIN(SQRT(SIN(RADIANS(F83-35.79847)/2)^2+COS(RADIANS(35.79847))*COS(RADIANS(F83))*SIN(RADIANS(G83-(-78.70408))/2)^2))</x:f>
        <x:v>2.473794452368212</x:v>
      </x:c>
      <x:c r="U83" s="1" t="str">
        <x:f>IF(T83&lt;=1,"0–1 mi",IF(T83&lt;=3,"&gt;1–3 mi",IF(T83&lt;=5,"&gt;3–5 mi","Outside 5 mi")))</x:f>
        <x:v>&gt;1–3 mi</x:v>
      </x:c>
      <x:c r="V83" s="1" t="n">
        <x:f>IF(MIN(P83,R83,T83)&lt;=5,1,0)</x:f>
        <x:v>1</x:v>
      </x:c>
      <x:c r="W83" s="6" t="n">
        <x:f>IF(O83=1,(H83+I83)/2,"")</x:f>
        <x:v>725</x:v>
      </x:c>
      <x:c r="X83" s="1" t="n">
        <x:f>O83*V83</x:f>
        <x:v>1</x:v>
      </x:c>
      <x:c r="Y83" s="1" t="n">
        <x:v>0</x:v>
      </x:c>
      <x:c r="Z83" s="1" t="n">
        <x:v>0</x:v>
      </x:c>
      <x:c r="AA83" s="1" t="n">
        <x:v>0</x:v>
      </x:c>
      <x:c r="AB83" s="1" t="n">
        <x:v>0</x:v>
      </x:c>
      <x:c r="AC83" s="1" t="n">
        <x:v>0</x:v>
      </x:c>
      <x:c r="AD83" s="1" t="str">
        <x:f>IF('Raw properties'!Y83="","",'Raw properties'!Y83)</x:f>
        <x:v>12 Month Lease</x:v>
      </x:c>
      <x:c r="AE83" s="1" t="str">
        <x:v>1970-01-01</x:v>
      </x:c>
      <x:c r="AF83" s="1" t="str">
        <x:v>Included in rent means</x:v>
      </x:c>
      <x:c r="AG83" s="5" t="str">
        <x:v>Source pricing flag retained; automated consistency checks passed. This is not independent landlord verification.</x:v>
      </x:c>
      <x:c r="AH83" s="1" t="str">
        <x:v>$725</x:v>
      </x:c>
      <x:c r="AI83" s="8" t="n">
        <x:f>MIN(ABS(P83-1),ABS(P83-3),ABS(P83-5))*5280</x:f>
        <x:v>3116.885803015431</x:v>
      </x:c>
      <x:c r="AJ83" s="8" t="n">
        <x:f>MIN(ABS(R83-1),ABS(R83-3),ABS(R83-5))*5280</x:f>
        <x:v>2041.376007823323</x:v>
      </x:c>
      <x:c r="AK83" s="8" t="n">
        <x:f>MIN(ABS(T83-1),ABS(T83-3),ABS(T83-5))*5280</x:f>
        <x:v>2778.36529149584</x:v>
      </x:c>
      <x:c r="AL83" s="1" t="n">
        <x:f>IF(MIN(AI83,AJ83,AK83)&lt;=100,1,0)</x:f>
        <x:v>0</x:v>
      </x:c>
    </x:row>
    <x:row r="84" ht="15" hidden="0" customHeight="1">
      <x:c r="A84" s="1" t="str">
        <x:f>IF('Raw properties'!A84="","",'Raw properties'!A84)</x:f>
        <x:v>35cz5ed</x:v>
      </x:c>
      <x:c r="B84" s="1" t="str">
        <x:f>IF('Raw properties'!D84="","",'Raw properties'!D84)</x:f>
        <x:v>644 Coleman St (Raleigh, NC)</x:v>
      </x:c>
      <x:c r="C84" s="1" t="str">
        <x:f>IF('Raw properties'!AG84="","",'Raw properties'!AG84)</x:f>
        <x:v>https://offcampus.dasa.ncsu.edu/housing/property/644-coleman-st-raleigh-nc/35cz5ed</x:v>
      </x:c>
      <x:c r="D84" s="1" t="str">
        <x:v>Whole unit</x:v>
      </x:c>
      <x:c r="E84" s="1" t="str">
        <x:v>Whole unit</x:v>
      </x:c>
      <x:c r="F84" s="7" t="n">
        <x:f>IF('Raw properties'!I84="","",'Raw properties'!I84)</x:f>
        <x:v>35.770543</x:v>
      </x:c>
      <x:c r="G84" s="7" t="n">
        <x:f>IF('Raw properties'!J84="","",'Raw properties'!J84)</x:f>
        <x:v>-78.622703</x:v>
      </x:c>
      <x:c r="H84" s="6" t="n">
        <x:f>IF('Raw properties'!M84="","",'Raw properties'!M84)</x:f>
        <x:v>2150</x:v>
      </x:c>
      <x:c r="I84" s="6" t="n">
        <x:f>IF('Raw properties'!N84="","",'Raw properties'!N84)</x:f>
        <x:v>2150</x:v>
      </x:c>
      <x:c r="J84" s="6" t="n">
        <x:f>IF((IF('Raw floorplans'!H436&gt;0,1,0))=0,"",MIN(IF('Raw floorplans'!H436&gt;0,'Raw floorplans'!H436,1E99)))</x:f>
        <x:v>2150</x:v>
      </x:c>
      <x:c r="K84" s="6" t="n">
        <x:f>IF((IF('Raw floorplans'!I436&gt;0,1,0))=0,"",MAX(IF('Raw floorplans'!I436&gt;0,'Raw floorplans'!I436,0)))</x:f>
        <x:v>2150</x:v>
      </x:c>
      <x:c r="L84" s="1" t="n">
        <x:v>0</x:v>
      </x:c>
      <x:c r="M84" s="1" t="n">
        <x:f>IF(AND(ISNUMBER(H84),ISNUMBER(I84),ISNUMBER(J84),ISNUMBER(K84),H84&gt;0,I84&gt;0),IF(OR(H84&lt;&gt;J84,I84&lt;&gt;K84),1,0),0)</x:f>
        <x:v>0</x:v>
      </x:c>
      <x:c r="N84" s="1" t="n">
        <x:f>IF(AND(ISNUMBER(H84),ISNUMBER(I84),H84&gt;0,I84&gt;=H84),1,0)</x:f>
        <x:v>1</x:v>
      </x:c>
      <x:c r="O84" s="1" t="n">
        <x:f>IF(AND(L84=0,M84=0,N84=1),1,0)</x:f>
        <x:v>1</x:v>
      </x:c>
      <x:c r="P84" s="7" t="n">
        <x:f>2*3958.7613*ASIN(SQRT(SIN(RADIANS(F84-35.77951)/2)^2+COS(RADIANS(35.77951))*COS(RADIANS(F84))*SIN(RADIANS(G84-(-78.68168))/2)^2))</x:f>
        <x:v>3.363613209152538</x:v>
      </x:c>
      <x:c r="Q84" s="1" t="str">
        <x:f>IF(P84&lt;=1,"0–1 mi",IF(P84&lt;=3,"&gt;1–3 mi",IF(P84&lt;=5,"&gt;3–5 mi","Outside 5 mi")))</x:f>
        <x:v>&gt;3–5 mi</x:v>
      </x:c>
      <x:c r="R84" s="7" t="n">
        <x:f>2*3958.7613*ASIN(SQRT(SIN(RADIANS(F84-35.7687)/2)^2+COS(RADIANS(35.7687))*COS(RADIANS(F84))*SIN(RADIANS(G84-(-78.6775))/2)^2))</x:f>
        <x:v>3.074590415041418</x:v>
      </x:c>
      <x:c r="S84" s="1" t="str">
        <x:f>IF(R84&lt;=1,"0–1 mi",IF(R84&lt;=3,"&gt;1–3 mi",IF(R84&lt;=5,"&gt;3–5 mi","Outside 5 mi")))</x:f>
        <x:v>&gt;3–5 mi</x:v>
      </x:c>
      <x:c r="T84" s="7" t="n">
        <x:f>2*3958.7613*ASIN(SQRT(SIN(RADIANS(F84-35.79847)/2)^2+COS(RADIANS(35.79847))*COS(RADIANS(F84))*SIN(RADIANS(G84-(-78.70408))/2)^2))</x:f>
        <x:v>4.952543796757139</x:v>
      </x:c>
      <x:c r="U84" s="1" t="str">
        <x:f>IF(T84&lt;=1,"0–1 mi",IF(T84&lt;=3,"&gt;1–3 mi",IF(T84&lt;=5,"&gt;3–5 mi","Outside 5 mi")))</x:f>
        <x:v>&gt;3–5 mi</x:v>
      </x:c>
      <x:c r="V84" s="1" t="n">
        <x:f>IF(MIN(P84,R84,T84)&lt;=5,1,0)</x:f>
        <x:v>1</x:v>
      </x:c>
      <x:c r="W84" s="6" t="n">
        <x:f>IF(O84=1,(H84+I84)/2,"")</x:f>
        <x:v>2150</x:v>
      </x:c>
      <x:c r="X84" s="1" t="n">
        <x:f>O84*V84</x:f>
        <x:v>1</x:v>
      </x:c>
      <x:c r="Y84" s="1" t="n">
        <x:v>0</x:v>
      </x:c>
      <x:c r="Z84" s="1" t="n">
        <x:v>0</x:v>
      </x:c>
      <x:c r="AA84" s="1" t="n">
        <x:v>0</x:v>
      </x:c>
      <x:c r="AB84" s="1" t="n">
        <x:v>0</x:v>
      </x:c>
      <x:c r="AC84" s="1" t="n">
        <x:v>0</x:v>
      </x:c>
      <x:c r="AD84" s="1" t="str">
        <x:f>IF('Raw properties'!Y84="","",'Raw properties'!Y84)</x:f>
      </x:c>
      <x:c r="AE84" s="1" t="str">
        <x:v>2026-09-03</x:v>
      </x:c>
      <x:c r="AF84" s="1" t="str">
        <x:v>Included in rent means</x:v>
      </x:c>
      <x:c r="AG84" s="5" t="str">
        <x:v>Source pricing flag retained; automated consistency checks passed. This is not independent landlord verification.</x:v>
      </x:c>
      <x:c r="AH84" s="1" t="str">
        <x:v>$2,150</x:v>
      </x:c>
      <x:c r="AI84" s="8" t="n">
        <x:f>MIN(ABS(P84-1),ABS(P84-3),ABS(P84-5))*5280</x:f>
        <x:v>1919.8777443254003</x:v>
      </x:c>
      <x:c r="AJ84" s="8" t="n">
        <x:f>MIN(ABS(R84-1),ABS(R84-3),ABS(R84-5))*5280</x:f>
        <x:v>393.83739141868614</x:v>
      </x:c>
      <x:c r="AK84" s="8" t="n">
        <x:f>MIN(ABS(T84-1),ABS(T84-3),ABS(T84-5))*5280</x:f>
        <x:v>250.56875312230687</x:v>
      </x:c>
      <x:c r="AL84" s="1" t="n">
        <x:f>IF(MIN(AI84,AJ84,AK84)&lt;=100,1,0)</x:f>
        <x:v>0</x:v>
      </x:c>
    </x:row>
    <x:row r="85" ht="15" hidden="0" customHeight="1">
      <x:c r="A85" s="1" t="str">
        <x:f>IF('Raw properties'!A85="","",'Raw properties'!A85)</x:f>
        <x:v>ocp2gxtxqc</x:v>
      </x:c>
      <x:c r="B85" s="1" t="str">
        <x:f>IF('Raw properties'!D85="","",'Raw properties'!D85)</x:f>
        <x:v>The Station</x:v>
      </x:c>
      <x:c r="C85" s="1" t="str">
        <x:f>IF('Raw properties'!AG85="","",'Raw properties'!AG85)</x:f>
        <x:v>https://offcampus.dasa.ncsu.edu/housing/property/the-station/ocp2gxtxqc</x:v>
      </x:c>
      <x:c r="D85" s="1" t="str">
        <x:v>Per bedroom</x:v>
      </x:c>
      <x:c r="E85" s="1" t="str">
        <x:v>Per bedroom</x:v>
      </x:c>
      <x:c r="F85" s="7" t="n">
        <x:f>IF('Raw properties'!I85="","",'Raw properties'!I85)</x:f>
        <x:v>35.798893</x:v>
      </x:c>
      <x:c r="G85" s="7" t="n">
        <x:f>IF('Raw properties'!J85="","",'Raw properties'!J85)</x:f>
        <x:v>-78.711756</x:v>
      </x:c>
      <x:c r="H85" s="6" t="n">
        <x:f>IF('Raw properties'!M85="","",'Raw properties'!M85)</x:f>
        <x:v>969</x:v>
      </x:c>
      <x:c r="I85" s="6" t="n">
        <x:f>IF('Raw properties'!N85="","",'Raw properties'!N85)</x:f>
        <x:v>969</x:v>
      </x:c>
      <x:c r="J85" s="6" t="n">
        <x:f>IF((IF('Raw floorplans'!H437&gt;0,1,0))=0,"",MIN(IF('Raw floorplans'!H437&gt;0,'Raw floorplans'!H437,1E99)))</x:f>
        <x:v>969</x:v>
      </x:c>
      <x:c r="K85" s="6" t="n">
        <x:f>IF((IF('Raw floorplans'!I437&gt;0,1,0))=0,"",MAX(IF('Raw floorplans'!I437&gt;0,'Raw floorplans'!I437,0)))</x:f>
        <x:v>969</x:v>
      </x:c>
      <x:c r="L85" s="1" t="n">
        <x:v>0</x:v>
      </x:c>
      <x:c r="M85" s="1" t="n">
        <x:f>IF(AND(ISNUMBER(H85),ISNUMBER(I85),ISNUMBER(J85),ISNUMBER(K85),H85&gt;0,I85&gt;0),IF(OR(H85&lt;&gt;J85,I85&lt;&gt;K85),1,0),0)</x:f>
        <x:v>0</x:v>
      </x:c>
      <x:c r="N85" s="1" t="n">
        <x:f>IF(AND(ISNUMBER(H85),ISNUMBER(I85),H85&gt;0,I85&gt;=H85),1,0)</x:f>
        <x:v>1</x:v>
      </x:c>
      <x:c r="O85" s="1" t="n">
        <x:f>IF(AND(L85=0,M85=0,N85=1),1,0)</x:f>
        <x:v>1</x:v>
      </x:c>
      <x:c r="P85" s="7" t="n">
        <x:f>2*3958.7613*ASIN(SQRT(SIN(RADIANS(F85-35.77951)/2)^2+COS(RADIANS(35.77951))*COS(RADIANS(F85))*SIN(RADIANS(G85-(-78.68168))/2)^2))</x:f>
        <x:v>2.1529092184353704</x:v>
      </x:c>
      <x:c r="Q85" s="1" t="str">
        <x:f>IF(P85&lt;=1,"0–1 mi",IF(P85&lt;=3,"&gt;1–3 mi",IF(P85&lt;=5,"&gt;3–5 mi","Outside 5 mi")))</x:f>
        <x:v>&gt;1–3 mi</x:v>
      </x:c>
      <x:c r="R85" s="7" t="n">
        <x:f>2*3958.7613*ASIN(SQRT(SIN(RADIANS(F85-35.7687)/2)^2+COS(RADIANS(35.7687))*COS(RADIANS(F85))*SIN(RADIANS(G85-(-78.6775))/2)^2))</x:f>
        <x:v>2.835248870572197</x:v>
      </x:c>
      <x:c r="S85" s="1" t="str">
        <x:f>IF(R85&lt;=1,"0–1 mi",IF(R85&lt;=3,"&gt;1–3 mi",IF(R85&lt;=5,"&gt;3–5 mi","Outside 5 mi")))</x:f>
        <x:v>&gt;1–3 mi</x:v>
      </x:c>
      <x:c r="T85" s="7" t="n">
        <x:f>2*3958.7613*ASIN(SQRT(SIN(RADIANS(F85-35.79847)/2)^2+COS(RADIANS(35.79847))*COS(RADIANS(F85))*SIN(RADIANS(G85-(-78.70408))/2)^2))</x:f>
        <x:v>0.43115554724046223</x:v>
      </x:c>
      <x:c r="U85" s="1" t="str">
        <x:f>IF(T85&lt;=1,"0–1 mi",IF(T85&lt;=3,"&gt;1–3 mi",IF(T85&lt;=5,"&gt;3–5 mi","Outside 5 mi")))</x:f>
        <x:v>0–1 mi</x:v>
      </x:c>
      <x:c r="V85" s="1" t="n">
        <x:f>IF(MIN(P85,R85,T85)&lt;=5,1,0)</x:f>
        <x:v>1</x:v>
      </x:c>
      <x:c r="W85" s="6" t="n">
        <x:f>IF(O85=1,(H85+I85)/2,"")</x:f>
        <x:v>969</x:v>
      </x:c>
      <x:c r="X85" s="1" t="n">
        <x:f>O85*V85</x:f>
        <x:v>1</x:v>
      </x:c>
      <x:c r="Y85" s="1" t="n">
        <x:v>1</x:v>
      </x:c>
      <x:c r="Z85" s="1" t="n">
        <x:v>0</x:v>
      </x:c>
      <x:c r="AA85" s="1" t="n">
        <x:v>0</x:v>
      </x:c>
      <x:c r="AB85" s="1" t="n">
        <x:v>0</x:v>
      </x:c>
      <x:c r="AC85" s="1" t="n">
        <x:v>0</x:v>
      </x:c>
      <x:c r="AD85" s="1" t="str">
        <x:f>IF('Raw properties'!Y85="","",'Raw properties'!Y85)</x:f>
        <x:v>7 Month Lease</x:v>
      </x:c>
      <x:c r="AE85" s="1" t="str">
        <x:v>2027-01-02</x:v>
      </x:c>
      <x:c r="AF85" s="1" t="str">
        <x:v>Included in rent means</x:v>
      </x:c>
      <x:c r="AG85" s="5" t="str">
        <x:v>Source pricing flag retained; automated consistency checks passed. This is not independent landlord verification.</x:v>
      </x:c>
      <x:c r="AH85" s="1" t="str">
        <x:v>$969</x:v>
      </x:c>
      <x:c r="AI85" s="8" t="n">
        <x:f>MIN(ABS(P85-1),ABS(P85-3),ABS(P85-5))*5280</x:f>
        <x:v>4472.639326661244</x:v>
      </x:c>
      <x:c r="AJ85" s="8" t="n">
        <x:f>MIN(ABS(R85-1),ABS(R85-3),ABS(R85-5))*5280</x:f>
        <x:v>869.8859633787999</x:v>
      </x:c>
      <x:c r="AK85" s="8" t="n">
        <x:f>MIN(ABS(T85-1),ABS(T85-3),ABS(T85-5))*5280</x:f>
        <x:v>3003.4987105703594</x:v>
      </x:c>
      <x:c r="AL85" s="1" t="n">
        <x:f>IF(MIN(AI85,AJ85,AK85)&lt;=100,1,0)</x:f>
        <x:v>0</x:v>
      </x:c>
    </x:row>
    <x:row r="86" ht="15" hidden="0" customHeight="1">
      <x:c r="A86" s="1" t="str">
        <x:f>IF('Raw properties'!A86="","",'Raw properties'!A86)</x:f>
        <x:v>pxc3rhs</x:v>
      </x:c>
      <x:c r="B86" s="1" t="str">
        <x:f>IF('Raw properties'!D86="","",'Raw properties'!D86)</x:f>
        <x:v>Room in Condo on Crab Orchard Dr</x:v>
      </x:c>
      <x:c r="C86" s="1" t="str">
        <x:f>IF('Raw properties'!AG86="","",'Raw properties'!AG86)</x:f>
        <x:v>https://offcampus.dasa.ncsu.edu/housing/property/room-in-condo-on-crab-orchard-dr/pxc3rhs</x:v>
      </x:c>
      <x:c r="D86" s="1" t="str">
        <x:v>Whole unit</x:v>
      </x:c>
      <x:c r="E86" s="1" t="str">
        <x:v>Per bedroom</x:v>
      </x:c>
      <x:c r="F86" s="7" t="n">
        <x:f>IF('Raw properties'!I86="","",'Raw properties'!I86)</x:f>
        <x:v>35.76253</x:v>
      </x:c>
      <x:c r="G86" s="7" t="n">
        <x:f>IF('Raw properties'!J86="","",'Raw properties'!J86)</x:f>
        <x:v>-78.70263</x:v>
      </x:c>
      <x:c r="H86" s="6" t="n">
        <x:f>IF('Raw properties'!M86="","",'Raw properties'!M86)</x:f>
        <x:v>675</x:v>
      </x:c>
      <x:c r="I86" s="6" t="n">
        <x:f>IF('Raw properties'!N86="","",'Raw properties'!N86)</x:f>
        <x:v>675</x:v>
      </x:c>
      <x:c r="J86" s="6" t="n">
        <x:f>IF((IF('Raw floorplans'!H438&gt;0,1,0))=0,"",MIN(IF('Raw floorplans'!H438&gt;0,'Raw floorplans'!H438,1E99)))</x:f>
        <x:v>675</x:v>
      </x:c>
      <x:c r="K86" s="6" t="n">
        <x:f>IF((IF('Raw floorplans'!I438&gt;0,1,0))=0,"",MAX(IF('Raw floorplans'!I438&gt;0,'Raw floorplans'!I438,0)))</x:f>
        <x:v>675</x:v>
      </x:c>
      <x:c r="L86" s="1" t="n">
        <x:v>0</x:v>
      </x:c>
      <x:c r="M86" s="1" t="n">
        <x:f>IF(AND(ISNUMBER(H86),ISNUMBER(I86),ISNUMBER(J86),ISNUMBER(K86),H86&gt;0,I86&gt;0),IF(OR(H86&lt;&gt;J86,I86&lt;&gt;K86),1,0),0)</x:f>
        <x:v>0</x:v>
      </x:c>
      <x:c r="N86" s="1" t="n">
        <x:f>IF(AND(ISNUMBER(H86),ISNUMBER(I86),H86&gt;0,I86&gt;=H86),1,0)</x:f>
        <x:v>1</x:v>
      </x:c>
      <x:c r="O86" s="1" t="n">
        <x:f>IF(AND(L86=0,M86=0,N86=1),1,0)</x:f>
        <x:v>1</x:v>
      </x:c>
      <x:c r="P86" s="7" t="n">
        <x:f>2*3958.7613*ASIN(SQRT(SIN(RADIANS(F86-35.77951)/2)^2+COS(RADIANS(35.77951))*COS(RADIANS(F86))*SIN(RADIANS(G86-(-78.68168))/2)^2))</x:f>
        <x:v>1.660043019295154</x:v>
      </x:c>
      <x:c r="Q86" s="1" t="str">
        <x:f>IF(P86&lt;=1,"0–1 mi",IF(P86&lt;=3,"&gt;1–3 mi",IF(P86&lt;=5,"&gt;3–5 mi","Outside 5 mi")))</x:f>
        <x:v>&gt;1–3 mi</x:v>
      </x:c>
      <x:c r="R86" s="7" t="n">
        <x:f>2*3958.7613*ASIN(SQRT(SIN(RADIANS(F86-35.7687)/2)^2+COS(RADIANS(35.7687))*COS(RADIANS(F86))*SIN(RADIANS(G86-(-78.6775))/2)^2))</x:f>
        <x:v>1.4719586202579895</x:v>
      </x:c>
      <x:c r="S86" s="1" t="str">
        <x:f>IF(R86&lt;=1,"0–1 mi",IF(R86&lt;=3,"&gt;1–3 mi",IF(R86&lt;=5,"&gt;3–5 mi","Outside 5 mi")))</x:f>
        <x:v>&gt;1–3 mi</x:v>
      </x:c>
      <x:c r="T86" s="7" t="n">
        <x:f>2*3958.7613*ASIN(SQRT(SIN(RADIANS(F86-35.79847)/2)^2+COS(RADIANS(35.79847))*COS(RADIANS(F86))*SIN(RADIANS(G86-(-78.70408))/2)^2))</x:f>
        <x:v>2.4845472329403875</x:v>
      </x:c>
      <x:c r="U86" s="1" t="str">
        <x:f>IF(T86&lt;=1,"0–1 mi",IF(T86&lt;=3,"&gt;1–3 mi",IF(T86&lt;=5,"&gt;3–5 mi","Outside 5 mi")))</x:f>
        <x:v>&gt;1–3 mi</x:v>
      </x:c>
      <x:c r="V86" s="1" t="n">
        <x:f>IF(MIN(P86,R86,T86)&lt;=5,1,0)</x:f>
        <x:v>1</x:v>
      </x:c>
      <x:c r="W86" s="6" t="n">
        <x:f>IF(O86=1,(H86+I86)/2,"")</x:f>
        <x:v>675</x:v>
      </x:c>
      <x:c r="X86" s="1" t="n">
        <x:f>O86*V86</x:f>
        <x:v>1</x:v>
      </x:c>
      <x:c r="Y86" s="1" t="n">
        <x:v>0</x:v>
      </x:c>
      <x:c r="Z86" s="1" t="n">
        <x:v>0</x:v>
      </x:c>
      <x:c r="AA86" s="1" t="n">
        <x:v>0</x:v>
      </x:c>
      <x:c r="AB86" s="1" t="n">
        <x:v>0</x:v>
      </x:c>
      <x:c r="AC86" s="1" t="n">
        <x:v>0</x:v>
      </x:c>
      <x:c r="AD86" s="1" t="str">
        <x:f>IF('Raw properties'!Y86="","",'Raw properties'!Y86)</x:f>
      </x:c>
      <x:c r="AE86" s="1" t="str">
        <x:v>2026-09-09</x:v>
      </x:c>
      <x:c r="AF86" s="1" t="str">
        <x:v>Included in rent means</x:v>
      </x:c>
      <x:c r="AG86" s="5" t="str">
        <x:v>Saved September 9 title explicitly offers a room. Reclassified from whole unit to room/per-bedroom; snapshot price unchanged.</x:v>
      </x:c>
      <x:c r="AH86" s="1" t="str">
        <x:v>$675</x:v>
      </x:c>
      <x:c r="AI86" s="8" t="n">
        <x:f>MIN(ABS(P86-1),ABS(P86-3),ABS(P86-5))*5280</x:f>
        <x:v>3485.0271418784137</x:v>
      </x:c>
      <x:c r="AJ86" s="8" t="n">
        <x:f>MIN(ABS(R86-1),ABS(R86-3),ABS(R86-5))*5280</x:f>
        <x:v>2491.9415149621846</x:v>
      </x:c>
      <x:c r="AK86" s="8" t="n">
        <x:f>MIN(ABS(T86-1),ABS(T86-3),ABS(T86-5))*5280</x:f>
        <x:v>2721.5906100747543</x:v>
      </x:c>
      <x:c r="AL86" s="1" t="n">
        <x:f>IF(MIN(AI86,AJ86,AK86)&lt;=100,1,0)</x:f>
        <x:v>0</x:v>
      </x:c>
    </x:row>
    <x:row r="87" ht="15" hidden="0" customHeight="1">
      <x:c r="A87" s="1" t="str">
        <x:f>IF('Raw properties'!A87="","",'Raw properties'!A87)</x:f>
        <x:v>ocppbmmgnt</x:v>
      </x:c>
      <x:c r="B87" s="1" t="str">
        <x:f>IF('Raw properties'!D87="","",'Raw properties'!D87)</x:f>
        <x:v>5 bedroom townhome available near NC State</x:v>
      </x:c>
      <x:c r="C87" s="1" t="str">
        <x:f>IF('Raw properties'!AG87="","",'Raw properties'!AG87)</x:f>
        <x:v>https://offcampus.dasa.ncsu.edu/housing/property/5-bedroom-townhome-available-near-nc-state/ocppbmmgnt</x:v>
      </x:c>
      <x:c r="D87" s="1" t="str">
        <x:v>Per bedroom</x:v>
      </x:c>
      <x:c r="E87" s="1" t="str">
        <x:v>Per bedroom</x:v>
      </x:c>
      <x:c r="F87" s="7" t="n">
        <x:f>IF('Raw properties'!I87="","",'Raw properties'!I87)</x:f>
        <x:v>35.745216</x:v>
      </x:c>
      <x:c r="G87" s="7" t="n">
        <x:f>IF('Raw properties'!J87="","",'Raw properties'!J87)</x:f>
        <x:v>-78.684625</x:v>
      </x:c>
      <x:c r="H87" s="6" t="n">
        <x:f>IF('Raw properties'!M87="","",'Raw properties'!M87)</x:f>
        <x:v>650</x:v>
      </x:c>
      <x:c r="I87" s="6" t="n">
        <x:f>IF('Raw properties'!N87="","",'Raw properties'!N87)</x:f>
        <x:v>650</x:v>
      </x:c>
      <x:c r="J87" s="6" t="n">
        <x:f>IF((IF('Raw floorplans'!H439&gt;0,1,0))=0,"",MIN(IF('Raw floorplans'!H439&gt;0,'Raw floorplans'!H439,1E99)))</x:f>
        <x:v>650</x:v>
      </x:c>
      <x:c r="K87" s="6" t="n">
        <x:f>IF((IF('Raw floorplans'!I439&gt;0,1,0))=0,"",MAX(IF('Raw floorplans'!I439&gt;0,'Raw floorplans'!I439,0)))</x:f>
        <x:v>650</x:v>
      </x:c>
      <x:c r="L87" s="1" t="n">
        <x:v>0</x:v>
      </x:c>
      <x:c r="M87" s="1" t="n">
        <x:f>IF(AND(ISNUMBER(H87),ISNUMBER(I87),ISNUMBER(J87),ISNUMBER(K87),H87&gt;0,I87&gt;0),IF(OR(H87&lt;&gt;J87,I87&lt;&gt;K87),1,0),0)</x:f>
        <x:v>0</x:v>
      </x:c>
      <x:c r="N87" s="1" t="n">
        <x:f>IF(AND(ISNUMBER(H87),ISNUMBER(I87),H87&gt;0,I87&gt;=H87),1,0)</x:f>
        <x:v>1</x:v>
      </x:c>
      <x:c r="O87" s="1" t="n">
        <x:f>IF(AND(L87=0,M87=0,N87=1),1,0)</x:f>
        <x:v>1</x:v>
      </x:c>
      <x:c r="P87" s="7" t="n">
        <x:f>2*3958.7613*ASIN(SQRT(SIN(RADIANS(F87-35.77951)/2)^2+COS(RADIANS(35.77951))*COS(RADIANS(F87))*SIN(RADIANS(G87-(-78.68168))/2)^2))</x:f>
        <x:v>2.375235558770696</x:v>
      </x:c>
      <x:c r="Q87" s="1" t="str">
        <x:f>IF(P87&lt;=1,"0–1 mi",IF(P87&lt;=3,"&gt;1–3 mi",IF(P87&lt;=5,"&gt;3–5 mi","Outside 5 mi")))</x:f>
        <x:v>&gt;1–3 mi</x:v>
      </x:c>
      <x:c r="R87" s="7" t="n">
        <x:f>2*3958.7613*ASIN(SQRT(SIN(RADIANS(F87-35.7687)/2)^2+COS(RADIANS(35.7687))*COS(RADIANS(F87))*SIN(RADIANS(G87-(-78.6775))/2)^2))</x:f>
        <x:v>1.6710458791978546</x:v>
      </x:c>
      <x:c r="S87" s="1" t="str">
        <x:f>IF(R87&lt;=1,"0–1 mi",IF(R87&lt;=3,"&gt;1–3 mi",IF(R87&lt;=5,"&gt;3–5 mi","Outside 5 mi")))</x:f>
        <x:v>&gt;1–3 mi</x:v>
      </x:c>
      <x:c r="T87" s="7" t="n">
        <x:f>2*3958.7613*ASIN(SQRT(SIN(RADIANS(F87-35.79847)/2)^2+COS(RADIANS(35.79847))*COS(RADIANS(F87))*SIN(RADIANS(G87-(-78.70408))/2)^2))</x:f>
        <x:v>3.8377333378301772</x:v>
      </x:c>
      <x:c r="U87" s="1" t="str">
        <x:f>IF(T87&lt;=1,"0–1 mi",IF(T87&lt;=3,"&gt;1–3 mi",IF(T87&lt;=5,"&gt;3–5 mi","Outside 5 mi")))</x:f>
        <x:v>&gt;3–5 mi</x:v>
      </x:c>
      <x:c r="V87" s="1" t="n">
        <x:f>IF(MIN(P87,R87,T87)&lt;=5,1,0)</x:f>
        <x:v>1</x:v>
      </x:c>
      <x:c r="W87" s="6" t="n">
        <x:f>IF(O87=1,(H87+I87)/2,"")</x:f>
        <x:v>650</x:v>
      </x:c>
      <x:c r="X87" s="1" t="n">
        <x:f>O87*V87</x:f>
        <x:v>1</x:v>
      </x:c>
      <x:c r="Y87" s="1" t="n">
        <x:v>0</x:v>
      </x:c>
      <x:c r="Z87" s="1" t="n">
        <x:v>0</x:v>
      </x:c>
      <x:c r="AA87" s="1" t="n">
        <x:v>0</x:v>
      </x:c>
      <x:c r="AB87" s="1" t="n">
        <x:v>0</x:v>
      </x:c>
      <x:c r="AC87" s="1" t="n">
        <x:v>0</x:v>
      </x:c>
      <x:c r="AD87" s="1" t="str">
        <x:f>IF('Raw properties'!Y87="","",'Raw properties'!Y87)</x:f>
        <x:v>12 Month Lease</x:v>
      </x:c>
      <x:c r="AE87" s="1" t="str">
        <x:v>2026-08-01</x:v>
      </x:c>
      <x:c r="AF87" s="1" t="str">
        <x:v>Included in rent means</x:v>
      </x:c>
      <x:c r="AG87" s="5" t="str">
        <x:v>Source pricing flag retained; automated consistency checks passed. This is not independent landlord verification.</x:v>
      </x:c>
      <x:c r="AH87" s="1" t="str">
        <x:v>$650</x:v>
      </x:c>
      <x:c r="AI87" s="8" t="n">
        <x:f>MIN(ABS(P87-1),ABS(P87-3),ABS(P87-5))*5280</x:f>
        <x:v>3298.7562496907253</x:v>
      </x:c>
      <x:c r="AJ87" s="8" t="n">
        <x:f>MIN(ABS(R87-1),ABS(R87-3),ABS(R87-5))*5280</x:f>
        <x:v>3543.1222421646726</x:v>
      </x:c>
      <x:c r="AK87" s="8" t="n">
        <x:f>MIN(ABS(T87-1),ABS(T87-3),ABS(T87-5))*5280</x:f>
        <x:v>4423.232023743336</x:v>
      </x:c>
      <x:c r="AL87" s="1" t="n">
        <x:f>IF(MIN(AI87,AJ87,AK87)&lt;=100,1,0)</x:f>
        <x:v>0</x:v>
      </x:c>
    </x:row>
    <x:row r="88" ht="36" hidden="0" customHeight="1">
      <x:c r="A88" s="1" t="str">
        <x:f>IF('Raw properties'!A88="","",'Raw properties'!A88)</x:f>
        <x:v>tqbb2mb</x:v>
      </x:c>
      <x:c r="B88" s="1" t="str">
        <x:f>IF('Raw properties'!D88="","",'Raw properties'!D88)</x:f>
        <x:v>Room in House on Okelly St</x:v>
      </x:c>
      <x:c r="C88" s="1" t="str">
        <x:f>IF('Raw properties'!AG88="","",'Raw properties'!AG88)</x:f>
        <x:v>https://offcampus.dasa.ncsu.edu/housing/property/room-in-house-on-okelly-st/tqbb2mb</x:v>
      </x:c>
      <x:c r="D88" s="1" t="str">
        <x:v>Whole unit</x:v>
      </x:c>
      <x:c r="E88" s="1" t="str">
        <x:v>Per bedroom</x:v>
      </x:c>
      <x:c r="F88" s="7" t="n">
        <x:f>IF('Raw properties'!I88="","",'Raw properties'!I88)</x:f>
        <x:v>35.789836</x:v>
      </x:c>
      <x:c r="G88" s="7" t="n">
        <x:f>IF('Raw properties'!J88="","",'Raw properties'!J88)</x:f>
        <x:v>-78.689938</x:v>
      </x:c>
      <x:c r="H88" s="6" t="n">
        <x:f>IF('Raw properties'!M88="","",'Raw properties'!M88)</x:f>
        <x:v>725</x:v>
      </x:c>
      <x:c r="I88" s="6" t="n">
        <x:f>IF('Raw properties'!N88="","",'Raw properties'!N88)</x:f>
        <x:v>725</x:v>
      </x:c>
      <x:c r="J88" s="6" t="n">
        <x:f>IF((IF('Raw floorplans'!H440&gt;0,1,0))=0,"",MIN(IF('Raw floorplans'!H440&gt;0,'Raw floorplans'!H440,1E99)))</x:f>
        <x:v>700</x:v>
      </x:c>
      <x:c r="K88" s="6" t="n">
        <x:f>IF((IF('Raw floorplans'!I440&gt;0,1,0))=0,"",MAX(IF('Raw floorplans'!I440&gt;0,'Raw floorplans'!I440,0)))</x:f>
        <x:v>700</x:v>
      </x:c>
      <x:c r="L88" s="1" t="n">
        <x:v>0</x:v>
      </x:c>
      <x:c r="M88" s="1" t="n">
        <x:f>IF(AND(ISNUMBER(H88),ISNUMBER(I88),ISNUMBER(J88),ISNUMBER(K88),H88&gt;0,I88&gt;0),IF(OR(H88&lt;&gt;J88,I88&lt;&gt;K88),1,0),0)</x:f>
        <x:v>1</x:v>
      </x:c>
      <x:c r="N88" s="1" t="n">
        <x:f>IF(AND(ISNUMBER(H88),ISNUMBER(I88),H88&gt;0,I88&gt;=H88),1,0)</x:f>
        <x:v>1</x:v>
      </x:c>
      <x:c r="O88" s="1" t="n">
        <x:f>IF(AND(L88=0,M88=0,N88=1),1,0)</x:f>
        <x:v>0</x:v>
      </x:c>
      <x:c r="P88" s="7" t="n">
        <x:f>2*3958.7613*ASIN(SQRT(SIN(RADIANS(F88-35.77951)/2)^2+COS(RADIANS(35.77951))*COS(RADIANS(F88))*SIN(RADIANS(G88-(-78.68168))/2)^2))</x:f>
        <x:v>0.8504488878888286</x:v>
      </x:c>
      <x:c r="Q88" s="1" t="str">
        <x:f>IF(P88&lt;=1,"0–1 mi",IF(P88&lt;=3,"&gt;1–3 mi",IF(P88&lt;=5,"&gt;3–5 mi","Outside 5 mi")))</x:f>
        <x:v>0–1 mi</x:v>
      </x:c>
      <x:c r="R88" s="7" t="n">
        <x:f>2*3958.7613*ASIN(SQRT(SIN(RADIANS(F88-35.7687)/2)^2+COS(RADIANS(35.7687))*COS(RADIANS(F88))*SIN(RADIANS(G88-(-78.6775))/2)^2))</x:f>
        <x:v>1.6182492731715765</x:v>
      </x:c>
      <x:c r="S88" s="1" t="str">
        <x:f>IF(R88&lt;=1,"0–1 mi",IF(R88&lt;=3,"&gt;1–3 mi",IF(R88&lt;=5,"&gt;3–5 mi","Outside 5 mi")))</x:f>
        <x:v>&gt;1–3 mi</x:v>
      </x:c>
      <x:c r="T88" s="7" t="n">
        <x:f>2*3958.7613*ASIN(SQRT(SIN(RADIANS(F88-35.79847)/2)^2+COS(RADIANS(35.79847))*COS(RADIANS(F88))*SIN(RADIANS(G88-(-78.70408))/2)^2))</x:f>
        <x:v>0.9919844473433413</x:v>
      </x:c>
      <x:c r="U88" s="1" t="str">
        <x:f>IF(T88&lt;=1,"0–1 mi",IF(T88&lt;=3,"&gt;1–3 mi",IF(T88&lt;=5,"&gt;3–5 mi","Outside 5 mi")))</x:f>
        <x:v>0–1 mi</x:v>
      </x:c>
      <x:c r="V88" s="1" t="n">
        <x:f>IF(MIN(P88,R88,T88)&lt;=5,1,0)</x:f>
        <x:v>1</x:v>
      </x:c>
      <x:c r="W88" s="6" t="str">
        <x:f>IF(O88=1,(H88+I88)/2,"")</x:f>
      </x:c>
      <x:c r="X88" s="1" t="n">
        <x:f>O88*V88</x:f>
        <x:v>0</x:v>
      </x:c>
      <x:c r="Y88" s="1" t="n">
        <x:v>0</x:v>
      </x:c>
      <x:c r="Z88" s="1" t="n">
        <x:v>0</x:v>
      </x:c>
      <x:c r="AA88" s="1" t="n">
        <x:v>0</x:v>
      </x:c>
      <x:c r="AB88" s="1" t="n">
        <x:v>0</x:v>
      </x:c>
      <x:c r="AC88" s="1" t="n">
        <x:v>0</x:v>
      </x:c>
      <x:c r="AD88" s="1" t="str">
        <x:f>IF('Raw properties'!Y88="","",'Raw properties'!Y88)</x:f>
      </x:c>
      <x:c r="AE88" s="1" t="str">
        <x:v>2026-09-09</x:v>
      </x:c>
      <x:c r="AF88" s="1" t="str">
        <x:v>Excluded from rent means</x:v>
      </x:c>
      <x:c r="AG88" s="5" t="str">
        <x:v>Saved September 9 title explicitly offers a room. Reclassified from whole unit to room/per-bedroom; snapshot price unchanged. Search summary: $725–$725; saved floor-plan envelope: $700–$700. Difference may reflect fees, timing or scope; unresolved snapshot price excluded.</x:v>
      </x:c>
      <x:c r="AH88" s="1" t="str">
        <x:v>$725</x:v>
      </x:c>
      <x:c r="AI88" s="8" t="n">
        <x:f>MIN(ABS(P88-1),ABS(P88-3),ABS(P88-5))*5280</x:f>
        <x:v>789.6298719469852</x:v>
      </x:c>
      <x:c r="AJ88" s="8" t="n">
        <x:f>MIN(ABS(R88-1),ABS(R88-3),ABS(R88-5))*5280</x:f>
        <x:v>3264.356162345924</x:v>
      </x:c>
      <x:c r="AK88" s="8" t="n">
        <x:f>MIN(ABS(T88-1),ABS(T88-3),ABS(T88-5))*5280</x:f>
        <x:v>42.322118027157686</x:v>
      </x:c>
      <x:c r="AL88" s="1" t="n">
        <x:f>IF(MIN(AI88,AJ88,AK88)&lt;=100,1,0)</x:f>
        <x:v>1</x:v>
      </x:c>
    </x:row>
    <x:row r="89" ht="15" hidden="0" customHeight="1">
      <x:c r="A89" s="1" t="str">
        <x:f>IF('Raw properties'!A89="","",'Raw properties'!A89)</x:f>
        <x:v>ocp176ghy4</x:v>
      </x:c>
      <x:c r="B89" s="1" t="str">
        <x:f>IF('Raw properties'!D89="","",'Raw properties'!D89)</x:f>
        <x:v>Campus Crossings Raleigh</x:v>
      </x:c>
      <x:c r="C89" s="1" t="str">
        <x:f>IF('Raw properties'!AG89="","",'Raw properties'!AG89)</x:f>
        <x:v>https://offcampus.dasa.ncsu.edu/housing/property/campus-crossings-raleigh/ocp176ghy4</x:v>
      </x:c>
      <x:c r="D89" s="1" t="str">
        <x:v>Per bedroom</x:v>
      </x:c>
      <x:c r="E89" s="1" t="str">
        <x:v>Per bedroom</x:v>
      </x:c>
      <x:c r="F89" s="7" t="n">
        <x:f>IF('Raw properties'!I89="","",'Raw properties'!I89)</x:f>
        <x:v>35.745552</x:v>
      </x:c>
      <x:c r="G89" s="7" t="n">
        <x:f>IF('Raw properties'!J89="","",'Raw properties'!J89)</x:f>
        <x:v>-78.68826</x:v>
      </x:c>
      <x:c r="H89" s="6" t="n">
        <x:f>IF('Raw properties'!M89="","",'Raw properties'!M89)</x:f>
        <x:v>865</x:v>
      </x:c>
      <x:c r="I89" s="6" t="n">
        <x:f>IF('Raw properties'!N89="","",'Raw properties'!N89)</x:f>
        <x:v>865</x:v>
      </x:c>
      <x:c r="J89" s="6" t="n">
        <x:f>IF((IF('Raw floorplans'!H441&gt;0,1,0))=0,"",MIN(IF('Raw floorplans'!H441&gt;0,'Raw floorplans'!H441,1E99)))</x:f>
        <x:v>865</x:v>
      </x:c>
      <x:c r="K89" s="6" t="n">
        <x:f>IF((IF('Raw floorplans'!I441&gt;0,1,0))=0,"",MAX(IF('Raw floorplans'!I441&gt;0,'Raw floorplans'!I441,0)))</x:f>
        <x:v>865</x:v>
      </x:c>
      <x:c r="L89" s="1" t="n">
        <x:v>0</x:v>
      </x:c>
      <x:c r="M89" s="1" t="n">
        <x:f>IF(AND(ISNUMBER(H89),ISNUMBER(I89),ISNUMBER(J89),ISNUMBER(K89),H89&gt;0,I89&gt;0),IF(OR(H89&lt;&gt;J89,I89&lt;&gt;K89),1,0),0)</x:f>
        <x:v>0</x:v>
      </x:c>
      <x:c r="N89" s="1" t="n">
        <x:f>IF(AND(ISNUMBER(H89),ISNUMBER(I89),H89&gt;0,I89&gt;=H89),1,0)</x:f>
        <x:v>1</x:v>
      </x:c>
      <x:c r="O89" s="1" t="n">
        <x:f>IF(AND(L89=0,M89=0,N89=1),1,0)</x:f>
        <x:v>1</x:v>
      </x:c>
      <x:c r="P89" s="7" t="n">
        <x:f>2*3958.7613*ASIN(SQRT(SIN(RADIANS(F89-35.77951)/2)^2+COS(RADIANS(35.77951))*COS(RADIANS(F89))*SIN(RADIANS(G89-(-78.68168))/2)^2))</x:f>
        <x:v>2.3750997756420467</x:v>
      </x:c>
      <x:c r="Q89" s="1" t="str">
        <x:f>IF(P89&lt;=1,"0–1 mi",IF(P89&lt;=3,"&gt;1–3 mi",IF(P89&lt;=5,"&gt;3–5 mi","Outside 5 mi")))</x:f>
        <x:v>&gt;1–3 mi</x:v>
      </x:c>
      <x:c r="R89" s="7" t="n">
        <x:f>2*3958.7613*ASIN(SQRT(SIN(RADIANS(F89-35.7687)/2)^2+COS(RADIANS(35.7687))*COS(RADIANS(F89))*SIN(RADIANS(G89-(-78.6775))/2)^2))</x:f>
        <x:v>1.709379328180652</x:v>
      </x:c>
      <x:c r="S89" s="1" t="str">
        <x:f>IF(R89&lt;=1,"0–1 mi",IF(R89&lt;=3,"&gt;1–3 mi",IF(R89&lt;=5,"&gt;3–5 mi","Outside 5 mi")))</x:f>
        <x:v>&gt;1–3 mi</x:v>
      </x:c>
      <x:c r="T89" s="7" t="n">
        <x:f>2*3958.7613*ASIN(SQRT(SIN(RADIANS(F89-35.79847)/2)^2+COS(RADIANS(35.79847))*COS(RADIANS(F89))*SIN(RADIANS(G89-(-78.70408))/2)^2))</x:f>
        <x:v>3.762303844318788</x:v>
      </x:c>
      <x:c r="U89" s="1" t="str">
        <x:f>IF(T89&lt;=1,"0–1 mi",IF(T89&lt;=3,"&gt;1–3 mi",IF(T89&lt;=5,"&gt;3–5 mi","Outside 5 mi")))</x:f>
        <x:v>&gt;3–5 mi</x:v>
      </x:c>
      <x:c r="V89" s="1" t="n">
        <x:f>IF(MIN(P89,R89,T89)&lt;=5,1,0)</x:f>
        <x:v>1</x:v>
      </x:c>
      <x:c r="W89" s="6" t="n">
        <x:f>IF(O89=1,(H89+I89)/2,"")</x:f>
        <x:v>865</x:v>
      </x:c>
      <x:c r="X89" s="1" t="n">
        <x:f>O89*V89</x:f>
        <x:v>1</x:v>
      </x:c>
      <x:c r="Y89" s="1" t="n">
        <x:v>0</x:v>
      </x:c>
      <x:c r="Z89" s="1" t="n">
        <x:v>0</x:v>
      </x:c>
      <x:c r="AA89" s="1" t="n">
        <x:v>0</x:v>
      </x:c>
      <x:c r="AB89" s="1" t="n">
        <x:v>0</x:v>
      </x:c>
      <x:c r="AC89" s="1" t="n">
        <x:v>0</x:v>
      </x:c>
      <x:c r="AD89" s="1" t="str">
        <x:f>IF('Raw properties'!Y89="","",'Raw properties'!Y89)</x:f>
        <x:v>11 Month Lease</x:v>
      </x:c>
      <x:c r="AE89" s="1" t="str">
        <x:v>1970-01-01</x:v>
      </x:c>
      <x:c r="AF89" s="1" t="str">
        <x:v>Included in rent means</x:v>
      </x:c>
      <x:c r="AG89" s="5" t="str">
        <x:v>Source pricing flag retained; automated consistency checks passed. This is not independent landlord verification.</x:v>
      </x:c>
      <x:c r="AH89" s="1" t="str">
        <x:v>$865</x:v>
      </x:c>
      <x:c r="AI89" s="8" t="n">
        <x:f>MIN(ABS(P89-1),ABS(P89-3),ABS(P89-5))*5280</x:f>
        <x:v>3299.4731846099935</x:v>
      </x:c>
      <x:c r="AJ89" s="8" t="n">
        <x:f>MIN(ABS(R89-1),ABS(R89-3),ABS(R89-5))*5280</x:f>
        <x:v>3745.5228527938425</x:v>
      </x:c>
      <x:c r="AK89" s="8" t="n">
        <x:f>MIN(ABS(T89-1),ABS(T89-3),ABS(T89-5))*5280</x:f>
        <x:v>4024.9642980032004</x:v>
      </x:c>
      <x:c r="AL89" s="1" t="n">
        <x:f>IF(MIN(AI89,AJ89,AK89)&lt;=100,1,0)</x:f>
        <x:v>0</x:v>
      </x:c>
    </x:row>
    <x:row r="90" ht="24" hidden="0" customHeight="1">
      <x:c r="A90" s="1" t="str">
        <x:f>IF('Raw properties'!A90="","",'Raw properties'!A90)</x:f>
        <x:v>qcvpeqz</x:v>
      </x:c>
      <x:c r="B90" s="1" t="str">
        <x:f>IF('Raw properties'!D90="","",'Raw properties'!D90)</x:f>
        <x:v>1431 Collegiate Cir (Raleigh, NC)</x:v>
      </x:c>
      <x:c r="C90" s="1" t="str">
        <x:f>IF('Raw properties'!AG90="","",'Raw properties'!AG90)</x:f>
        <x:v>https://offcampus.dasa.ncsu.edu/housing/property/1431-collegiate-cir-raleigh-nc/qcvpeqz</x:v>
      </x:c>
      <x:c r="D90" s="1" t="str">
        <x:v>Whole unit</x:v>
      </x:c>
      <x:c r="E90" s="1" t="str">
        <x:v>Whole unit</x:v>
      </x:c>
      <x:c r="F90" s="7" t="n">
        <x:f>IF('Raw properties'!I90="","",'Raw properties'!I90)</x:f>
        <x:v>35.76218</x:v>
      </x:c>
      <x:c r="G90" s="7" t="n">
        <x:f>IF('Raw properties'!J90="","",'Raw properties'!J90)</x:f>
        <x:v>-78.69981</x:v>
      </x:c>
      <x:c r="H90" s="6" t="n">
        <x:f>IF('Raw properties'!M90="","",'Raw properties'!M90)</x:f>
        <x:v>750</x:v>
      </x:c>
      <x:c r="I90" s="6" t="n">
        <x:f>IF('Raw properties'!N90="","",'Raw properties'!N90)</x:f>
        <x:v>750</x:v>
      </x:c>
      <x:c r="J90" s="6" t="n">
        <x:f>IF((IF('Raw floorplans'!H442&gt;0,1,0))=0,"",MIN(IF('Raw floorplans'!H442&gt;0,'Raw floorplans'!H442,1E99)))</x:f>
        <x:v>725</x:v>
      </x:c>
      <x:c r="K90" s="6" t="n">
        <x:f>IF((IF('Raw floorplans'!I442&gt;0,1,0))=0,"",MAX(IF('Raw floorplans'!I442&gt;0,'Raw floorplans'!I442,0)))</x:f>
        <x:v>725</x:v>
      </x:c>
      <x:c r="L90" s="1" t="n">
        <x:v>0</x:v>
      </x:c>
      <x:c r="M90" s="1" t="n">
        <x:f>IF(AND(ISNUMBER(H90),ISNUMBER(I90),ISNUMBER(J90),ISNUMBER(K90),H90&gt;0,I90&gt;0),IF(OR(H90&lt;&gt;J90,I90&lt;&gt;K90),1,0),0)</x:f>
        <x:v>1</x:v>
      </x:c>
      <x:c r="N90" s="1" t="n">
        <x:f>IF(AND(ISNUMBER(H90),ISNUMBER(I90),H90&gt;0,I90&gt;=H90),1,0)</x:f>
        <x:v>1</x:v>
      </x:c>
      <x:c r="O90" s="1" t="n">
        <x:f>IF(AND(L90=0,M90=0,N90=1),1,0)</x:f>
        <x:v>0</x:v>
      </x:c>
      <x:c r="P90" s="7" t="n">
        <x:f>2*3958.7613*ASIN(SQRT(SIN(RADIANS(F90-35.77951)/2)^2+COS(RADIANS(35.77951))*COS(RADIANS(F90))*SIN(RADIANS(G90-(-78.68168))/2)^2))</x:f>
        <x:v>1.5705839269929154</x:v>
      </x:c>
      <x:c r="Q90" s="1" t="str">
        <x:f>IF(P90&lt;=1,"0–1 mi",IF(P90&lt;=3,"&gt;1–3 mi",IF(P90&lt;=5,"&gt;3–5 mi","Outside 5 mi")))</x:f>
        <x:v>&gt;1–3 mi</x:v>
      </x:c>
      <x:c r="R90" s="7" t="n">
        <x:f>2*3958.7613*ASIN(SQRT(SIN(RADIANS(F90-35.7687)/2)^2+COS(RADIANS(35.7687))*COS(RADIANS(F90))*SIN(RADIANS(G90-(-78.6775))/2)^2))</x:f>
        <x:v>1.329430331881443</x:v>
      </x:c>
      <x:c r="S90" s="1" t="str">
        <x:f>IF(R90&lt;=1,"0–1 mi",IF(R90&lt;=3,"&gt;1–3 mi",IF(R90&lt;=5,"&gt;3–5 mi","Outside 5 mi")))</x:f>
        <x:v>&gt;1–3 mi</x:v>
      </x:c>
      <x:c r="T90" s="7" t="n">
        <x:f>2*3958.7613*ASIN(SQRT(SIN(RADIANS(F90-35.79847)/2)^2+COS(RADIANS(35.79847))*COS(RADIANS(F90))*SIN(RADIANS(G90-(-78.70408))/2)^2))</x:f>
        <x:v>2.518797805786716</x:v>
      </x:c>
      <x:c r="U90" s="1" t="str">
        <x:f>IF(T90&lt;=1,"0–1 mi",IF(T90&lt;=3,"&gt;1–3 mi",IF(T90&lt;=5,"&gt;3–5 mi","Outside 5 mi")))</x:f>
        <x:v>&gt;1–3 mi</x:v>
      </x:c>
      <x:c r="V90" s="1" t="n">
        <x:f>IF(MIN(P90,R90,T90)&lt;=5,1,0)</x:f>
        <x:v>1</x:v>
      </x:c>
      <x:c r="W90" s="6" t="str">
        <x:f>IF(O90=1,(H90+I90)/2,"")</x:f>
      </x:c>
      <x:c r="X90" s="1" t="n">
        <x:f>O90*V90</x:f>
        <x:v>0</x:v>
      </x:c>
      <x:c r="Y90" s="1" t="n">
        <x:v>0</x:v>
      </x:c>
      <x:c r="Z90" s="1" t="n">
        <x:v>0</x:v>
      </x:c>
      <x:c r="AA90" s="1" t="n">
        <x:v>0</x:v>
      </x:c>
      <x:c r="AB90" s="1" t="n">
        <x:v>0</x:v>
      </x:c>
      <x:c r="AC90" s="1" t="n">
        <x:v>0</x:v>
      </x:c>
      <x:c r="AD90" s="1" t="str">
        <x:f>IF('Raw properties'!Y90="","",'Raw properties'!Y90)</x:f>
      </x:c>
      <x:c r="AE90" s="1" t="str">
        <x:v>2026-09-07</x:v>
      </x:c>
      <x:c r="AF90" s="1" t="str">
        <x:v>Excluded from rent means</x:v>
      </x:c>
      <x:c r="AG90" s="5" t="str">
        <x:v>Source pricing flag retained; automated consistency checks passed. This is not independent landlord verification. Search summary: $750–$750; saved floor-plan envelope: $725–$725. Difference may reflect fees, timing or scope; unresolved snapshot price excluded.</x:v>
      </x:c>
      <x:c r="AH90" s="1" t="str">
        <x:v>$750</x:v>
      </x:c>
      <x:c r="AI90" s="8" t="n">
        <x:f>MIN(ABS(P90-1),ABS(P90-3),ABS(P90-5))*5280</x:f>
        <x:v>3012.6831345225933</x:v>
      </x:c>
      <x:c r="AJ90" s="8" t="n">
        <x:f>MIN(ABS(R90-1),ABS(R90-3),ABS(R90-5))*5280</x:f>
        <x:v>1739.3921523340196</x:v>
      </x:c>
      <x:c r="AK90" s="8" t="n">
        <x:f>MIN(ABS(T90-1),ABS(T90-3),ABS(T90-5))*5280</x:f>
        <x:v>2540.7475854461386</x:v>
      </x:c>
      <x:c r="AL90" s="1" t="n">
        <x:f>IF(MIN(AI90,AJ90,AK90)&lt;=100,1,0)</x:f>
        <x:v>0</x:v>
      </x:c>
    </x:row>
    <x:row r="91" ht="15" hidden="0" customHeight="1">
      <x:c r="A91" s="1" t="str">
        <x:f>IF('Raw properties'!A91="","",'Raw properties'!A91)</x:f>
        <x:v>ocpqe84m5z</x:v>
      </x:c>
      <x:c r="B91" s="1" t="str">
        <x:f>IF('Raw properties'!D91="","",'Raw properties'!D91)</x:f>
        <x:v>University Commons, close to Wolfline Stops</x:v>
      </x:c>
      <x:c r="C91" s="1" t="str">
        <x:f>IF('Raw properties'!AG91="","",'Raw properties'!AG91)</x:f>
        <x:v>https://offcampus.dasa.ncsu.edu/housing/property/university-commons-close-to-wolfline-stops/ocpqe84m5z</x:v>
      </x:c>
      <x:c r="D91" s="1" t="str">
        <x:v>Whole unit</x:v>
      </x:c>
      <x:c r="E91" s="1" t="str">
        <x:v>Whole unit</x:v>
      </x:c>
      <x:c r="F91" s="7" t="n">
        <x:f>IF('Raw properties'!I91="","",'Raw properties'!I91)</x:f>
        <x:v>35.77348</x:v>
      </x:c>
      <x:c r="G91" s="7" t="n">
        <x:f>IF('Raw properties'!J91="","",'Raw properties'!J91)</x:f>
        <x:v>-78.690657</x:v>
      </x:c>
      <x:c r="H91" s="6" t="n">
        <x:f>IF('Raw properties'!M91="","",'Raw properties'!M91)</x:f>
        <x:v>2500</x:v>
      </x:c>
      <x:c r="I91" s="6" t="n">
        <x:f>IF('Raw properties'!N91="","",'Raw properties'!N91)</x:f>
        <x:v>2500</x:v>
      </x:c>
      <x:c r="J91" s="6" t="n">
        <x:f>IF((IF('Raw floorplans'!H443&gt;0,1,0))=0,"",MIN(IF('Raw floorplans'!H443&gt;0,'Raw floorplans'!H443,1E99)))</x:f>
        <x:v>2500</x:v>
      </x:c>
      <x:c r="K91" s="6" t="n">
        <x:f>IF((IF('Raw floorplans'!I443&gt;0,1,0))=0,"",MAX(IF('Raw floorplans'!I443&gt;0,'Raw floorplans'!I443,0)))</x:f>
        <x:v>2500</x:v>
      </x:c>
      <x:c r="L91" s="1" t="n">
        <x:v>0</x:v>
      </x:c>
      <x:c r="M91" s="1" t="n">
        <x:f>IF(AND(ISNUMBER(H91),ISNUMBER(I91),ISNUMBER(J91),ISNUMBER(K91),H91&gt;0,I91&gt;0),IF(OR(H91&lt;&gt;J91,I91&lt;&gt;K91),1,0),0)</x:f>
        <x:v>0</x:v>
      </x:c>
      <x:c r="N91" s="1" t="n">
        <x:f>IF(AND(ISNUMBER(H91),ISNUMBER(I91),H91&gt;0,I91&gt;=H91),1,0)</x:f>
        <x:v>1</x:v>
      </x:c>
      <x:c r="O91" s="1" t="n">
        <x:f>IF(AND(L91=0,M91=0,N91=1),1,0)</x:f>
        <x:v>1</x:v>
      </x:c>
      <x:c r="P91" s="7" t="n">
        <x:f>2*3958.7613*ASIN(SQRT(SIN(RADIANS(F91-35.77951)/2)^2+COS(RADIANS(35.77951))*COS(RADIANS(F91))*SIN(RADIANS(G91-(-78.68168))/2)^2))</x:f>
        <x:v>0.6533039798818749</x:v>
      </x:c>
      <x:c r="Q91" s="1" t="str">
        <x:f>IF(P91&lt;=1,"0–1 mi",IF(P91&lt;=3,"&gt;1–3 mi",IF(P91&lt;=5,"&gt;3–5 mi","Outside 5 mi")))</x:f>
        <x:v>0–1 mi</x:v>
      </x:c>
      <x:c r="R91" s="7" t="n">
        <x:f>2*3958.7613*ASIN(SQRT(SIN(RADIANS(F91-35.7687)/2)^2+COS(RADIANS(35.7687))*COS(RADIANS(F91))*SIN(RADIANS(G91-(-78.6775))/2)^2))</x:f>
        <x:v>0.8081421705047551</x:v>
      </x:c>
      <x:c r="S91" s="1" t="str">
        <x:f>IF(R91&lt;=1,"0–1 mi",IF(R91&lt;=3,"&gt;1–3 mi",IF(R91&lt;=5,"&gt;3–5 mi","Outside 5 mi")))</x:f>
        <x:v>0–1 mi</x:v>
      </x:c>
      <x:c r="T91" s="7" t="n">
        <x:f>2*3958.7613*ASIN(SQRT(SIN(RADIANS(F91-35.79847)/2)^2+COS(RADIANS(35.79847))*COS(RADIANS(F91))*SIN(RADIANS(G91-(-78.70408))/2)^2))</x:f>
        <x:v>1.883434821984027</x:v>
      </x:c>
      <x:c r="U91" s="1" t="str">
        <x:f>IF(T91&lt;=1,"0–1 mi",IF(T91&lt;=3,"&gt;1–3 mi",IF(T91&lt;=5,"&gt;3–5 mi","Outside 5 mi")))</x:f>
        <x:v>&gt;1–3 mi</x:v>
      </x:c>
      <x:c r="V91" s="1" t="n">
        <x:f>IF(MIN(P91,R91,T91)&lt;=5,1,0)</x:f>
        <x:v>1</x:v>
      </x:c>
      <x:c r="W91" s="6" t="n">
        <x:f>IF(O91=1,(H91+I91)/2,"")</x:f>
        <x:v>2500</x:v>
      </x:c>
      <x:c r="X91" s="1" t="n">
        <x:f>O91*V91</x:f>
        <x:v>1</x:v>
      </x:c>
      <x:c r="Y91" s="1" t="n">
        <x:v>0</x:v>
      </x:c>
      <x:c r="Z91" s="1" t="n">
        <x:v>0</x:v>
      </x:c>
      <x:c r="AA91" s="1" t="n">
        <x:v>0</x:v>
      </x:c>
      <x:c r="AB91" s="1" t="n">
        <x:v>0</x:v>
      </x:c>
      <x:c r="AC91" s="1" t="n">
        <x:v>0</x:v>
      </x:c>
      <x:c r="AD91" s="1" t="str">
        <x:f>IF('Raw properties'!Y91="","",'Raw properties'!Y91)</x:f>
        <x:v>12 Month Lease</x:v>
      </x:c>
      <x:c r="AE91" s="1" t="str">
        <x:v>2026-08-01</x:v>
      </x:c>
      <x:c r="AF91" s="1" t="str">
        <x:v>Included in rent means</x:v>
      </x:c>
      <x:c r="AG91" s="5" t="str">
        <x:v>Source pricing flag retained; automated consistency checks passed. This is not independent landlord verification.</x:v>
      </x:c>
      <x:c r="AH91" s="1" t="str">
        <x:v>$2,500</x:v>
      </x:c>
      <x:c r="AI91" s="8" t="n">
        <x:f>MIN(ABS(P91-1),ABS(P91-3),ABS(P91-5))*5280</x:f>
        <x:v>1830.5549862237003</x:v>
      </x:c>
      <x:c r="AJ91" s="8" t="n">
        <x:f>MIN(ABS(R91-1),ABS(R91-3),ABS(R91-5))*5280</x:f>
        <x:v>1013.0093397348929</x:v>
      </x:c>
      <x:c r="AK91" s="8" t="n">
        <x:f>MIN(ABS(T91-1),ABS(T91-3),ABS(T91-5))*5280</x:f>
        <x:v>4664.535860075662</x:v>
      </x:c>
      <x:c r="AL91" s="1" t="n">
        <x:f>IF(MIN(AI91,AJ91,AK91)&lt;=100,1,0)</x:f>
        <x:v>0</x:v>
      </x:c>
    </x:row>
    <x:row r="92" ht="36" hidden="0" customHeight="1">
      <x:c r="A92" s="1" t="str">
        <x:f>IF('Raw properties'!A92="","",'Raw properties'!A92)</x:f>
        <x:v>c1v4mzd</x:v>
      </x:c>
      <x:c r="B92" s="1" t="str">
        <x:f>IF('Raw properties'!D92="","",'Raw properties'!D92)</x:f>
        <x:v>Room in House on Henslowe Dr</x:v>
      </x:c>
      <x:c r="C92" s="1" t="str">
        <x:f>IF('Raw properties'!AG92="","",'Raw properties'!AG92)</x:f>
        <x:v>https://offcampus.dasa.ncsu.edu/housing/property/room-in-house-on-henslowe-dr/c1v4mzd</x:v>
      </x:c>
      <x:c r="D92" s="1" t="str">
        <x:v>Whole unit</x:v>
      </x:c>
      <x:c r="E92" s="1" t="str">
        <x:v>Per bedroom</x:v>
      </x:c>
      <x:c r="F92" s="7" t="n">
        <x:f>IF('Raw properties'!I92="","",'Raw properties'!I92)</x:f>
        <x:v>35.750496</x:v>
      </x:c>
      <x:c r="G92" s="7" t="n">
        <x:f>IF('Raw properties'!J92="","",'Raw properties'!J92)</x:f>
        <x:v>-78.672966</x:v>
      </x:c>
      <x:c r="H92" s="6" t="n">
        <x:f>IF('Raw properties'!M92="","",'Raw properties'!M92)</x:f>
        <x:v>650</x:v>
      </x:c>
      <x:c r="I92" s="6" t="n">
        <x:f>IF('Raw properties'!N92="","",'Raw properties'!N92)</x:f>
        <x:v>650</x:v>
      </x:c>
      <x:c r="J92" s="6" t="n">
        <x:f>IF((IF('Raw floorplans'!H444&gt;0,1,0))=0,"",MIN(IF('Raw floorplans'!H444&gt;0,'Raw floorplans'!H444,1E99)))</x:f>
        <x:v>670</x:v>
      </x:c>
      <x:c r="K92" s="6" t="n">
        <x:f>IF((IF('Raw floorplans'!I444&gt;0,1,0))=0,"",MAX(IF('Raw floorplans'!I444&gt;0,'Raw floorplans'!I444,0)))</x:f>
        <x:v>670</x:v>
      </x:c>
      <x:c r="L92" s="1" t="n">
        <x:v>0</x:v>
      </x:c>
      <x:c r="M92" s="1" t="n">
        <x:f>IF(AND(ISNUMBER(H92),ISNUMBER(I92),ISNUMBER(J92),ISNUMBER(K92),H92&gt;0,I92&gt;0),IF(OR(H92&lt;&gt;J92,I92&lt;&gt;K92),1,0),0)</x:f>
        <x:v>1</x:v>
      </x:c>
      <x:c r="N92" s="1" t="n">
        <x:f>IF(AND(ISNUMBER(H92),ISNUMBER(I92),H92&gt;0,I92&gt;=H92),1,0)</x:f>
        <x:v>1</x:v>
      </x:c>
      <x:c r="O92" s="1" t="n">
        <x:f>IF(AND(L92=0,M92=0,N92=1),1,0)</x:f>
        <x:v>0</x:v>
      </x:c>
      <x:c r="P92" s="7" t="n">
        <x:f>2*3958.7613*ASIN(SQRT(SIN(RADIANS(F92-35.77951)/2)^2+COS(RADIANS(35.77951))*COS(RADIANS(F92))*SIN(RADIANS(G92-(-78.68168))/2)^2))</x:f>
        <x:v>2.0633466484873244</x:v>
      </x:c>
      <x:c r="Q92" s="1" t="str">
        <x:f>IF(P92&lt;=1,"0–1 mi",IF(P92&lt;=3,"&gt;1–3 mi",IF(P92&lt;=5,"&gt;3–5 mi","Outside 5 mi")))</x:f>
        <x:v>&gt;1–3 mi</x:v>
      </x:c>
      <x:c r="R92" s="7" t="n">
        <x:f>2*3958.7613*ASIN(SQRT(SIN(RADIANS(F92-35.7687)/2)^2+COS(RADIANS(35.7687))*COS(RADIANS(F92))*SIN(RADIANS(G92-(-78.6775))/2)^2))</x:f>
        <x:v>1.2832089009845324</x:v>
      </x:c>
      <x:c r="S92" s="1" t="str">
        <x:f>IF(R92&lt;=1,"0–1 mi",IF(R92&lt;=3,"&gt;1–3 mi",IF(R92&lt;=5,"&gt;3–5 mi","Outside 5 mi")))</x:f>
        <x:v>&gt;1–3 mi</x:v>
      </x:c>
      <x:c r="T92" s="7" t="n">
        <x:f>2*3958.7613*ASIN(SQRT(SIN(RADIANS(F92-35.79847)/2)^2+COS(RADIANS(35.79847))*COS(RADIANS(F92))*SIN(RADIANS(G92-(-78.70408))/2)^2))</x:f>
        <x:v>3.745565031340871</x:v>
      </x:c>
      <x:c r="U92" s="1" t="str">
        <x:f>IF(T92&lt;=1,"0–1 mi",IF(T92&lt;=3,"&gt;1–3 mi",IF(T92&lt;=5,"&gt;3–5 mi","Outside 5 mi")))</x:f>
        <x:v>&gt;3–5 mi</x:v>
      </x:c>
      <x:c r="V92" s="1" t="n">
        <x:f>IF(MIN(P92,R92,T92)&lt;=5,1,0)</x:f>
        <x:v>1</x:v>
      </x:c>
      <x:c r="W92" s="6" t="str">
        <x:f>IF(O92=1,(H92+I92)/2,"")</x:f>
      </x:c>
      <x:c r="X92" s="1" t="n">
        <x:f>O92*V92</x:f>
        <x:v>0</x:v>
      </x:c>
      <x:c r="Y92" s="1" t="n">
        <x:v>0</x:v>
      </x:c>
      <x:c r="Z92" s="1" t="n">
        <x:v>0</x:v>
      </x:c>
      <x:c r="AA92" s="1" t="n">
        <x:v>0</x:v>
      </x:c>
      <x:c r="AB92" s="1" t="n">
        <x:v>0</x:v>
      </x:c>
      <x:c r="AC92" s="1" t="n">
        <x:v>0</x:v>
      </x:c>
      <x:c r="AD92" s="1" t="str">
        <x:f>IF('Raw properties'!Y92="","",'Raw properties'!Y92)</x:f>
      </x:c>
      <x:c r="AE92" s="1" t="str">
        <x:v>2026-09-09</x:v>
      </x:c>
      <x:c r="AF92" s="1" t="str">
        <x:v>Excluded from rent means</x:v>
      </x:c>
      <x:c r="AG92" s="5" t="str">
        <x:v>Saved September 9 title explicitly offers a room. Reclassified from whole unit to room/per-bedroom; snapshot price unchanged. Search summary: $650–$650; saved floor-plan envelope: $670–$670. Difference may reflect fees, timing or scope; unresolved snapshot price excluded.</x:v>
      </x:c>
      <x:c r="AH92" s="1" t="str">
        <x:v>$650</x:v>
      </x:c>
      <x:c r="AI92" s="8" t="n">
        <x:f>MIN(ABS(P92-1),ABS(P92-3),ABS(P92-5))*5280</x:f>
        <x:v>4945.529695986927</x:v>
      </x:c>
      <x:c r="AJ92" s="8" t="n">
        <x:f>MIN(ABS(R92-1),ABS(R92-3),ABS(R92-5))*5280</x:f>
        <x:v>1495.3429971983312</x:v>
      </x:c>
      <x:c r="AK92" s="8" t="n">
        <x:f>MIN(ABS(T92-1),ABS(T92-3),ABS(T92-5))*5280</x:f>
        <x:v>3936.583365479798</x:v>
      </x:c>
      <x:c r="AL92" s="1" t="n">
        <x:f>IF(MIN(AI92,AJ92,AK92)&lt;=100,1,0)</x:f>
        <x:v>0</x:v>
      </x:c>
    </x:row>
    <x:row r="93" ht="15" hidden="0" customHeight="1">
      <x:c r="A93" s="1" t="str">
        <x:f>IF('Raw properties'!A93="","",'Raw properties'!A93)</x:f>
        <x:v>ocpx51p4tm</x:v>
      </x:c>
      <x:c r="B93" s="1" t="str">
        <x:f>IF('Raw properties'!D93="","",'Raw properties'!D93)</x:f>
        <x:v>Condo near NCSU</x:v>
      </x:c>
      <x:c r="C93" s="1" t="str">
        <x:f>IF('Raw properties'!AG93="","",'Raw properties'!AG93)</x:f>
        <x:v>https://offcampus.dasa.ncsu.edu/housing/property/condo-near-ncsu/ocpx51p4tm</x:v>
      </x:c>
      <x:c r="D93" s="1" t="str">
        <x:v>Per bedroom</x:v>
      </x:c>
      <x:c r="E93" s="1" t="str">
        <x:v>Per bedroom</x:v>
      </x:c>
      <x:c r="F93" s="7" t="n">
        <x:f>IF('Raw properties'!I93="","",'Raw properties'!I93)</x:f>
        <x:v>35.763552</x:v>
      </x:c>
      <x:c r="G93" s="7" t="n">
        <x:f>IF('Raw properties'!J93="","",'Raw properties'!J93)</x:f>
        <x:v>-78.702984</x:v>
      </x:c>
      <x:c r="H93" s="6" t="n">
        <x:f>IF('Raw properties'!M93="","",'Raw properties'!M93)</x:f>
        <x:v>800</x:v>
      </x:c>
      <x:c r="I93" s="6" t="n">
        <x:f>IF('Raw properties'!N93="","",'Raw properties'!N93)</x:f>
        <x:v>800</x:v>
      </x:c>
      <x:c r="J93" s="6" t="n">
        <x:f>IF((IF('Raw floorplans'!H445&gt;0,1,0))=0,"",MIN(IF('Raw floorplans'!H445&gt;0,'Raw floorplans'!H445,1E99)))</x:f>
        <x:v>800</x:v>
      </x:c>
      <x:c r="K93" s="6" t="n">
        <x:f>IF((IF('Raw floorplans'!I445&gt;0,1,0))=0,"",MAX(IF('Raw floorplans'!I445&gt;0,'Raw floorplans'!I445,0)))</x:f>
        <x:v>800</x:v>
      </x:c>
      <x:c r="L93" s="1" t="n">
        <x:v>0</x:v>
      </x:c>
      <x:c r="M93" s="1" t="n">
        <x:f>IF(AND(ISNUMBER(H93),ISNUMBER(I93),ISNUMBER(J93),ISNUMBER(K93),H93&gt;0,I93&gt;0),IF(OR(H93&lt;&gt;J93,I93&lt;&gt;K93),1,0),0)</x:f>
        <x:v>0</x:v>
      </x:c>
      <x:c r="N93" s="1" t="n">
        <x:f>IF(AND(ISNUMBER(H93),ISNUMBER(I93),H93&gt;0,I93&gt;=H93),1,0)</x:f>
        <x:v>1</x:v>
      </x:c>
      <x:c r="O93" s="1" t="n">
        <x:f>IF(AND(L93=0,M93=0,N93=1),1,0)</x:f>
        <x:v>1</x:v>
      </x:c>
      <x:c r="P93" s="7" t="n">
        <x:f>2*3958.7613*ASIN(SQRT(SIN(RADIANS(F93-35.77951)/2)^2+COS(RADIANS(35.77951))*COS(RADIANS(F93))*SIN(RADIANS(G93-(-78.68168))/2)^2))</x:f>
        <x:v>1.6254323607286472</x:v>
      </x:c>
      <x:c r="Q93" s="1" t="str">
        <x:f>IF(P93&lt;=1,"0–1 mi",IF(P93&lt;=3,"&gt;1–3 mi",IF(P93&lt;=5,"&gt;3–5 mi","Outside 5 mi")))</x:f>
        <x:v>&gt;1–3 mi</x:v>
      </x:c>
      <x:c r="R93" s="7" t="n">
        <x:f>2*3958.7613*ASIN(SQRT(SIN(RADIANS(F93-35.7687)/2)^2+COS(RADIANS(35.7687))*COS(RADIANS(F93))*SIN(RADIANS(G93-(-78.6775))/2)^2))</x:f>
        <x:v>1.4723221211681532</x:v>
      </x:c>
      <x:c r="S93" s="1" t="str">
        <x:f>IF(R93&lt;=1,"0–1 mi",IF(R93&lt;=3,"&gt;1–3 mi",IF(R93&lt;=5,"&gt;3–5 mi","Outside 5 mi")))</x:f>
        <x:v>&gt;1–3 mi</x:v>
      </x:c>
      <x:c r="T93" s="7" t="n">
        <x:f>2*3958.7613*ASIN(SQRT(SIN(RADIANS(F93-35.79847)/2)^2+COS(RADIANS(35.79847))*COS(RADIANS(F93))*SIN(RADIANS(G93-(-78.70408))/2)^2))</x:f>
        <x:v>2.4133860381115504</x:v>
      </x:c>
      <x:c r="U93" s="1" t="str">
        <x:f>IF(T93&lt;=1,"0–1 mi",IF(T93&lt;=3,"&gt;1–3 mi",IF(T93&lt;=5,"&gt;3–5 mi","Outside 5 mi")))</x:f>
        <x:v>&gt;1–3 mi</x:v>
      </x:c>
      <x:c r="V93" s="1" t="n">
        <x:f>IF(MIN(P93,R93,T93)&lt;=5,1,0)</x:f>
        <x:v>1</x:v>
      </x:c>
      <x:c r="W93" s="6" t="n">
        <x:f>IF(O93=1,(H93+I93)/2,"")</x:f>
        <x:v>800</x:v>
      </x:c>
      <x:c r="X93" s="1" t="n">
        <x:f>O93*V93</x:f>
        <x:v>1</x:v>
      </x:c>
      <x:c r="Y93" s="1" t="n">
        <x:v>0</x:v>
      </x:c>
      <x:c r="Z93" s="1" t="n">
        <x:v>0</x:v>
      </x:c>
      <x:c r="AA93" s="1" t="n">
        <x:v>0</x:v>
      </x:c>
      <x:c r="AB93" s="1" t="n">
        <x:v>0</x:v>
      </x:c>
      <x:c r="AC93" s="1" t="n">
        <x:v>0</x:v>
      </x:c>
      <x:c r="AD93" s="1" t="str">
        <x:f>IF('Raw properties'!Y93="","",'Raw properties'!Y93)</x:f>
        <x:v>12 Month Lease</x:v>
      </x:c>
      <x:c r="AE93" s="1" t="str">
        <x:v>1970-01-01</x:v>
      </x:c>
      <x:c r="AF93" s="1" t="str">
        <x:v>Included in rent means</x:v>
      </x:c>
      <x:c r="AG93" s="5" t="str">
        <x:v>Source pricing flag retained; automated consistency checks passed. This is not independent landlord verification.</x:v>
      </x:c>
      <x:c r="AH93" s="1" t="str">
        <x:v>$800</x:v>
      </x:c>
      <x:c r="AI93" s="8" t="n">
        <x:f>MIN(ABS(P93-1),ABS(P93-3),ABS(P93-5))*5280</x:f>
        <x:v>3302.282864647257</x:v>
      </x:c>
      <x:c r="AJ93" s="8" t="n">
        <x:f>MIN(ABS(R93-1),ABS(R93-3),ABS(R93-5))*5280</x:f>
        <x:v>2493.8607997678487</x:v>
      </x:c>
      <x:c r="AK93" s="8" t="n">
        <x:f>MIN(ABS(T93-1),ABS(T93-3),ABS(T93-5))*5280</x:f>
        <x:v>3097.321718771014</x:v>
      </x:c>
      <x:c r="AL93" s="1" t="n">
        <x:f>IF(MIN(AI93,AJ93,AK93)&lt;=100,1,0)</x:f>
        <x:v>0</x:v>
      </x:c>
    </x:row>
    <x:row r="94" ht="15" hidden="0" customHeight="1">
      <x:c r="A94" s="1" t="str">
        <x:f>IF('Raw properties'!A94="","",'Raw properties'!A94)</x:f>
        <x:v>x5wd0zn</x:v>
      </x:c>
      <x:c r="B94" s="1" t="str">
        <x:f>IF('Raw properties'!D94="","",'Raw properties'!D94)</x:f>
        <x:v>Room in House on Pineland Cir</x:v>
      </x:c>
      <x:c r="C94" s="1" t="str">
        <x:f>IF('Raw properties'!AG94="","",'Raw properties'!AG94)</x:f>
        <x:v>https://offcampus.dasa.ncsu.edu/housing/property/room-in-house-on-pineland-cir/x5wd0zn</x:v>
      </x:c>
      <x:c r="D94" s="1" t="str">
        <x:v>Whole unit</x:v>
      </x:c>
      <x:c r="E94" s="1" t="str">
        <x:v>Per bedroom</x:v>
      </x:c>
      <x:c r="F94" s="7" t="n">
        <x:f>IF('Raw properties'!I94="","",'Raw properties'!I94)</x:f>
        <x:v>35.788639</x:v>
      </x:c>
      <x:c r="G94" s="7" t="n">
        <x:f>IF('Raw properties'!J94="","",'Raw properties'!J94)</x:f>
        <x:v>-78.709617</x:v>
      </x:c>
      <x:c r="H94" s="6" t="n">
        <x:f>IF('Raw properties'!M94="","",'Raw properties'!M94)</x:f>
        <x:v>700</x:v>
      </x:c>
      <x:c r="I94" s="6" t="n">
        <x:f>IF('Raw properties'!N94="","",'Raw properties'!N94)</x:f>
        <x:v>700</x:v>
      </x:c>
      <x:c r="J94" s="6" t="n">
        <x:f>IF((IF('Raw floorplans'!H446&gt;0,1,0))=0,"",MIN(IF('Raw floorplans'!H446&gt;0,'Raw floorplans'!H446,1E99)))</x:f>
        <x:v>700</x:v>
      </x:c>
      <x:c r="K94" s="6" t="n">
        <x:f>IF((IF('Raw floorplans'!I446&gt;0,1,0))=0,"",MAX(IF('Raw floorplans'!I446&gt;0,'Raw floorplans'!I446,0)))</x:f>
        <x:v>700</x:v>
      </x:c>
      <x:c r="L94" s="1" t="n">
        <x:v>0</x:v>
      </x:c>
      <x:c r="M94" s="1" t="n">
        <x:f>IF(AND(ISNUMBER(H94),ISNUMBER(I94),ISNUMBER(J94),ISNUMBER(K94),H94&gt;0,I94&gt;0),IF(OR(H94&lt;&gt;J94,I94&lt;&gt;K94),1,0),0)</x:f>
        <x:v>0</x:v>
      </x:c>
      <x:c r="N94" s="1" t="n">
        <x:f>IF(AND(ISNUMBER(H94),ISNUMBER(I94),H94&gt;0,I94&gt;=H94),1,0)</x:f>
        <x:v>1</x:v>
      </x:c>
      <x:c r="O94" s="1" t="n">
        <x:f>IF(AND(L94=0,M94=0,N94=1),1,0)</x:f>
        <x:v>1</x:v>
      </x:c>
      <x:c r="P94" s="7" t="n">
        <x:f>2*3958.7613*ASIN(SQRT(SIN(RADIANS(F94-35.77951)/2)^2+COS(RADIANS(35.77951))*COS(RADIANS(F94))*SIN(RADIANS(G94-(-78.68168))/2)^2))</x:f>
        <x:v>1.6881442351648068</x:v>
      </x:c>
      <x:c r="Q94" s="1" t="str">
        <x:f>IF(P94&lt;=1,"0–1 mi",IF(P94&lt;=3,"&gt;1–3 mi",IF(P94&lt;=5,"&gt;3–5 mi","Outside 5 mi")))</x:f>
        <x:v>&gt;1–3 mi</x:v>
      </x:c>
      <x:c r="R94" s="7" t="n">
        <x:f>2*3958.7613*ASIN(SQRT(SIN(RADIANS(F94-35.7687)/2)^2+COS(RADIANS(35.7687))*COS(RADIANS(F94))*SIN(RADIANS(G94-(-78.6775))/2)^2))</x:f>
        <x:v>2.266933004042161</x:v>
      </x:c>
      <x:c r="S94" s="1" t="str">
        <x:f>IF(R94&lt;=1,"0–1 mi",IF(R94&lt;=3,"&gt;1–3 mi",IF(R94&lt;=5,"&gt;3–5 mi","Outside 5 mi")))</x:f>
        <x:v>&gt;1–3 mi</x:v>
      </x:c>
      <x:c r="T94" s="7" t="n">
        <x:f>2*3958.7613*ASIN(SQRT(SIN(RADIANS(F94-35.79847)/2)^2+COS(RADIANS(35.79847))*COS(RADIANS(F94))*SIN(RADIANS(G94-(-78.70408))/2)^2))</x:f>
        <x:v>0.7467833953584416</x:v>
      </x:c>
      <x:c r="U94" s="1" t="str">
        <x:f>IF(T94&lt;=1,"0–1 mi",IF(T94&lt;=3,"&gt;1–3 mi",IF(T94&lt;=5,"&gt;3–5 mi","Outside 5 mi")))</x:f>
        <x:v>0–1 mi</x:v>
      </x:c>
      <x:c r="V94" s="1" t="n">
        <x:f>IF(MIN(P94,R94,T94)&lt;=5,1,0)</x:f>
        <x:v>1</x:v>
      </x:c>
      <x:c r="W94" s="6" t="n">
        <x:f>IF(O94=1,(H94+I94)/2,"")</x:f>
        <x:v>700</x:v>
      </x:c>
      <x:c r="X94" s="1" t="n">
        <x:f>O94*V94</x:f>
        <x:v>1</x:v>
      </x:c>
      <x:c r="Y94" s="1" t="n">
        <x:v>0</x:v>
      </x:c>
      <x:c r="Z94" s="1" t="n">
        <x:v>0</x:v>
      </x:c>
      <x:c r="AA94" s="1" t="n">
        <x:v>0</x:v>
      </x:c>
      <x:c r="AB94" s="1" t="n">
        <x:v>0</x:v>
      </x:c>
      <x:c r="AC94" s="1" t="n">
        <x:v>0</x:v>
      </x:c>
      <x:c r="AD94" s="1" t="str">
        <x:f>IF('Raw properties'!Y94="","",'Raw properties'!Y94)</x:f>
      </x:c>
      <x:c r="AE94" s="1" t="str">
        <x:v>2026-09-09</x:v>
      </x:c>
      <x:c r="AF94" s="1" t="str">
        <x:v>Included in rent means</x:v>
      </x:c>
      <x:c r="AG94" s="5" t="str">
        <x:v>Saved September 9 title explicitly offers a room. Reclassified from whole unit to room/per-bedroom; snapshot price unchanged.</x:v>
      </x:c>
      <x:c r="AH94" s="1" t="str">
        <x:v>$700</x:v>
      </x:c>
      <x:c r="AI94" s="8" t="n">
        <x:f>MIN(ABS(P94-1),ABS(P94-3),ABS(P94-5))*5280</x:f>
        <x:v>3633.40156167018</x:v>
      </x:c>
      <x:c r="AJ94" s="8" t="n">
        <x:f>MIN(ABS(R94-1),ABS(R94-3),ABS(R94-5))*5280</x:f>
        <x:v>3870.593738657389</x:v>
      </x:c>
      <x:c r="AK94" s="8" t="n">
        <x:f>MIN(ABS(T94-1),ABS(T94-3),ABS(T94-5))*5280</x:f>
        <x:v>1336.9836725074283</x:v>
      </x:c>
      <x:c r="AL94" s="1" t="n">
        <x:f>IF(MIN(AI94,AJ94,AK94)&lt;=100,1,0)</x:f>
        <x:v>0</x:v>
      </x:c>
    </x:row>
    <x:row r="95" ht="15" hidden="0" customHeight="1">
      <x:c r="A95" s="1" t="str">
        <x:f>IF('Raw properties'!A95="","",'Raw properties'!A95)</x:f>
        <x:v>ocphdtdgk2</x:v>
      </x:c>
      <x:c r="B95" s="1" t="str">
        <x:f>IF('Raw properties'!D95="","",'Raw properties'!D95)</x:f>
        <x:v>105 Friendly Drive! Furnished Room Rentals with Utilities!</x:v>
      </x:c>
      <x:c r="C95" s="1" t="str">
        <x:f>IF('Raw properties'!AG95="","",'Raw properties'!AG95)</x:f>
        <x:v>https://offcampus.dasa.ncsu.edu/housing/property/105-friendly-drive-furnished-room-rentals-with-utilities/ocphdtdgk2</x:v>
      </x:c>
      <x:c r="D95" s="1" t="str">
        <x:v>Per bedroom</x:v>
      </x:c>
      <x:c r="E95" s="1" t="str">
        <x:v>Per bedroom</x:v>
      </x:c>
      <x:c r="F95" s="7" t="n">
        <x:f>IF('Raw properties'!I95="","",'Raw properties'!I95)</x:f>
        <x:v>35.789041</x:v>
      </x:c>
      <x:c r="G95" s="7" t="n">
        <x:f>IF('Raw properties'!J95="","",'Raw properties'!J95)</x:f>
        <x:v>-78.675884</x:v>
      </x:c>
      <x:c r="H95" s="6" t="n">
        <x:f>IF('Raw properties'!M95="","",'Raw properties'!M95)</x:f>
        <x:v>775</x:v>
      </x:c>
      <x:c r="I95" s="6" t="n">
        <x:f>IF('Raw properties'!N95="","",'Raw properties'!N95)</x:f>
        <x:v>1050</x:v>
      </x:c>
      <x:c r="J95" s="6" t="n">
        <x:f>IF((IF('Raw floorplans'!H447&gt;0,1,0)+IF('Raw floorplans'!H448&gt;0,1,0)+IF('Raw floorplans'!H449&gt;0,1,0))=0,"",MIN(IF('Raw floorplans'!H447&gt;0,'Raw floorplans'!H447,1E99),IF('Raw floorplans'!H448&gt;0,'Raw floorplans'!H448,1E99),IF('Raw floorplans'!H449&gt;0,'Raw floorplans'!H449,1E99)))</x:f>
        <x:v>775</x:v>
      </x:c>
      <x:c r="K95" s="6" t="n">
        <x:f>IF((IF('Raw floorplans'!I447&gt;0,1,0)+IF('Raw floorplans'!I448&gt;0,1,0)+IF('Raw floorplans'!I449&gt;0,1,0))=0,"",MAX(IF('Raw floorplans'!I447&gt;0,'Raw floorplans'!I447,0),IF('Raw floorplans'!I448&gt;0,'Raw floorplans'!I448,0),IF('Raw floorplans'!I449&gt;0,'Raw floorplans'!I449,0)))</x:f>
        <x:v>1050</x:v>
      </x:c>
      <x:c r="L95" s="1" t="n">
        <x:v>0</x:v>
      </x:c>
      <x:c r="M95" s="1" t="n">
        <x:f>IF(AND(ISNUMBER(H95),ISNUMBER(I95),ISNUMBER(J95),ISNUMBER(K95),H95&gt;0,I95&gt;0),IF(OR(H95&lt;&gt;J95,I95&lt;&gt;K95),1,0),0)</x:f>
        <x:v>0</x:v>
      </x:c>
      <x:c r="N95" s="1" t="n">
        <x:f>IF(AND(ISNUMBER(H95),ISNUMBER(I95),H95&gt;0,I95&gt;=H95),1,0)</x:f>
        <x:v>1</x:v>
      </x:c>
      <x:c r="O95" s="1" t="n">
        <x:f>IF(AND(L95=0,M95=0,N95=1),1,0)</x:f>
        <x:v>1</x:v>
      </x:c>
      <x:c r="P95" s="7" t="n">
        <x:f>2*3958.7613*ASIN(SQRT(SIN(RADIANS(F95-35.77951)/2)^2+COS(RADIANS(35.77951))*COS(RADIANS(F95))*SIN(RADIANS(G95-(-78.68168))/2)^2))</x:f>
        <x:v>0.7343021957287174</x:v>
      </x:c>
      <x:c r="Q95" s="1" t="str">
        <x:f>IF(P95&lt;=1,"0–1 mi",IF(P95&lt;=3,"&gt;1–3 mi",IF(P95&lt;=5,"&gt;3–5 mi","Outside 5 mi")))</x:f>
        <x:v>0–1 mi</x:v>
      </x:c>
      <x:c r="R95" s="7" t="n">
        <x:f>2*3958.7613*ASIN(SQRT(SIN(RADIANS(F95-35.7687)/2)^2+COS(RADIANS(35.7687))*COS(RADIANS(F95))*SIN(RADIANS(G95-(-78.6775))/2)^2))</x:f>
        <x:v>1.4083453714180423</x:v>
      </x:c>
      <x:c r="S95" s="1" t="str">
        <x:f>IF(R95&lt;=1,"0–1 mi",IF(R95&lt;=3,"&gt;1–3 mi",IF(R95&lt;=5,"&gt;3–5 mi","Outside 5 mi")))</x:f>
        <x:v>&gt;1–3 mi</x:v>
      </x:c>
      <x:c r="T95" s="7" t="n">
        <x:f>2*3958.7613*ASIN(SQRT(SIN(RADIANS(F95-35.79847)/2)^2+COS(RADIANS(35.79847))*COS(RADIANS(F95))*SIN(RADIANS(G95-(-78.70408))/2)^2))</x:f>
        <x:v>1.7092324114529094</x:v>
      </x:c>
      <x:c r="U95" s="1" t="str">
        <x:f>IF(T95&lt;=1,"0–1 mi",IF(T95&lt;=3,"&gt;1–3 mi",IF(T95&lt;=5,"&gt;3–5 mi","Outside 5 mi")))</x:f>
        <x:v>&gt;1–3 mi</x:v>
      </x:c>
      <x:c r="V95" s="1" t="n">
        <x:f>IF(MIN(P95,R95,T95)&lt;=5,1,0)</x:f>
        <x:v>1</x:v>
      </x:c>
      <x:c r="W95" s="6" t="n">
        <x:f>IF(O95=1,(H95+I95)/2,"")</x:f>
        <x:v>912.5</x:v>
      </x:c>
      <x:c r="X95" s="1" t="n">
        <x:f>O95*V95</x:f>
        <x:v>1</x:v>
      </x:c>
      <x:c r="Y95" s="1" t="n">
        <x:v>0</x:v>
      </x:c>
      <x:c r="Z95" s="1" t="n">
        <x:v>0</x:v>
      </x:c>
      <x:c r="AA95" s="1" t="n">
        <x:v>0</x:v>
      </x:c>
      <x:c r="AB95" s="1" t="n">
        <x:v>1</x:v>
      </x:c>
      <x:c r="AC95" s="1" t="n">
        <x:v>0</x:v>
      </x:c>
      <x:c r="AD95" s="1" t="str">
        <x:f>IF('Raw properties'!Y95="","",'Raw properties'!Y95)</x:f>
        <x:v>12 Month Lease</x:v>
      </x:c>
      <x:c r="AE95" s="1" t="str">
        <x:v>1970-01-01</x:v>
      </x:c>
      <x:c r="AF95" s="1" t="str">
        <x:v>Included in rent means</x:v>
      </x:c>
      <x:c r="AG95" s="5" t="str">
        <x:v>Source pricing flag retained; automated consistency checks passed. This is not independent landlord verification.</x:v>
      </x:c>
      <x:c r="AH95" s="1" t="str">
        <x:v>$775 - $1,050</x:v>
      </x:c>
      <x:c r="AI95" s="8" t="n">
        <x:f>MIN(ABS(P95-1),ABS(P95-3),ABS(P95-5))*5280</x:f>
        <x:v>1402.8844065523724</x:v>
      </x:c>
      <x:c r="AJ95" s="8" t="n">
        <x:f>MIN(ABS(R95-1),ABS(R95-3),ABS(R95-5))*5280</x:f>
        <x:v>2156.063561087263</x:v>
      </x:c>
      <x:c r="AK95" s="8" t="n">
        <x:f>MIN(ABS(T95-1),ABS(T95-3),ABS(T95-5))*5280</x:f>
        <x:v>3744.7471324713615</x:v>
      </x:c>
      <x:c r="AL95" s="1" t="n">
        <x:f>IF(MIN(AI95,AJ95,AK95)&lt;=100,1,0)</x:f>
        <x:v>0</x:v>
      </x:c>
    </x:row>
    <x:row r="96" ht="15" hidden="0" customHeight="1">
      <x:c r="A96" s="1" t="str">
        <x:f>IF('Raw properties'!A96="","",'Raw properties'!A96)</x:f>
        <x:v>51px18q</x:v>
      </x:c>
      <x:c r="B96" s="1" t="str">
        <x:f>IF('Raw properties'!D96="","",'Raw properties'!D96)</x:f>
        <x:v>1101 Gunnison Pl (Raleigh, NC)</x:v>
      </x:c>
      <x:c r="C96" s="1" t="str">
        <x:f>IF('Raw properties'!AG96="","",'Raw properties'!AG96)</x:f>
        <x:v>https://offcampus.dasa.ncsu.edu/housing/property/1101-gunnison-pl-raleigh-nc/51px18q</x:v>
      </x:c>
      <x:c r="D96" s="1" t="str">
        <x:v>Whole unit</x:v>
      </x:c>
      <x:c r="E96" s="1" t="str">
        <x:v>Whole unit</x:v>
      </x:c>
      <x:c r="F96" s="7" t="n">
        <x:f>IF('Raw properties'!I96="","",'Raw properties'!I96)</x:f>
        <x:v>35.847296</x:v>
      </x:c>
      <x:c r="G96" s="7" t="n">
        <x:f>IF('Raw properties'!J96="","",'Raw properties'!J96)</x:f>
        <x:v>-78.653331</x:v>
      </x:c>
      <x:c r="H96" s="6" t="n">
        <x:f>IF('Raw properties'!M96="","",'Raw properties'!M96)</x:f>
        <x:v>3200</x:v>
      </x:c>
      <x:c r="I96" s="6" t="n">
        <x:f>IF('Raw properties'!N96="","",'Raw properties'!N96)</x:f>
        <x:v>3200</x:v>
      </x:c>
      <x:c r="J96" s="6" t="n">
        <x:f>IF((IF('Raw floorplans'!H450&gt;0,1,0))=0,"",MIN(IF('Raw floorplans'!H450&gt;0,'Raw floorplans'!H450,1E99)))</x:f>
        <x:v>3200</x:v>
      </x:c>
      <x:c r="K96" s="6" t="n">
        <x:f>IF((IF('Raw floorplans'!I450&gt;0,1,0))=0,"",MAX(IF('Raw floorplans'!I450&gt;0,'Raw floorplans'!I450,0)))</x:f>
        <x:v>3200</x:v>
      </x:c>
      <x:c r="L96" s="1" t="n">
        <x:v>0</x:v>
      </x:c>
      <x:c r="M96" s="1" t="n">
        <x:f>IF(AND(ISNUMBER(H96),ISNUMBER(I96),ISNUMBER(J96),ISNUMBER(K96),H96&gt;0,I96&gt;0),IF(OR(H96&lt;&gt;J96,I96&lt;&gt;K96),1,0),0)</x:f>
        <x:v>0</x:v>
      </x:c>
      <x:c r="N96" s="1" t="n">
        <x:f>IF(AND(ISNUMBER(H96),ISNUMBER(I96),H96&gt;0,I96&gt;=H96),1,0)</x:f>
        <x:v>1</x:v>
      </x:c>
      <x:c r="O96" s="1" t="n">
        <x:f>IF(AND(L96=0,M96=0,N96=1),1,0)</x:f>
        <x:v>1</x:v>
      </x:c>
      <x:c r="P96" s="7" t="n">
        <x:f>2*3958.7613*ASIN(SQRT(SIN(RADIANS(F96-35.77951)/2)^2+COS(RADIANS(35.77951))*COS(RADIANS(F96))*SIN(RADIANS(G96-(-78.68168))/2)^2))</x:f>
        <x:v>4.945580432611856</x:v>
      </x:c>
      <x:c r="Q96" s="1" t="str">
        <x:f>IF(P96&lt;=1,"0–1 mi",IF(P96&lt;=3,"&gt;1–3 mi",IF(P96&lt;=5,"&gt;3–5 mi","Outside 5 mi")))</x:f>
        <x:v>&gt;3–5 mi</x:v>
      </x:c>
      <x:c r="R96" s="7" t="n">
        <x:f>2*3958.7613*ASIN(SQRT(SIN(RADIANS(F96-35.7687)/2)^2+COS(RADIANS(35.7687))*COS(RADIANS(F96))*SIN(RADIANS(G96-(-78.6775))/2)^2))</x:f>
        <x:v>5.596786866855422</x:v>
      </x:c>
      <x:c r="S96" s="1" t="str">
        <x:f>IF(R96&lt;=1,"0–1 mi",IF(R96&lt;=3,"&gt;1–3 mi",IF(R96&lt;=5,"&gt;3–5 mi","Outside 5 mi")))</x:f>
        <x:v>Outside 5 mi</x:v>
      </x:c>
      <x:c r="T96" s="7" t="n">
        <x:f>2*3958.7613*ASIN(SQRT(SIN(RADIANS(F96-35.79847)/2)^2+COS(RADIANS(35.79847))*COS(RADIANS(F96))*SIN(RADIANS(G96-(-78.70408))/2)^2))</x:f>
        <x:v>4.411820794044591</x:v>
      </x:c>
      <x:c r="U96" s="1" t="str">
        <x:f>IF(T96&lt;=1,"0–1 mi",IF(T96&lt;=3,"&gt;1–3 mi",IF(T96&lt;=5,"&gt;3–5 mi","Outside 5 mi")))</x:f>
        <x:v>&gt;3–5 mi</x:v>
      </x:c>
      <x:c r="V96" s="1" t="n">
        <x:f>IF(MIN(P96,R96,T96)&lt;=5,1,0)</x:f>
        <x:v>1</x:v>
      </x:c>
      <x:c r="W96" s="6" t="n">
        <x:f>IF(O96=1,(H96+I96)/2,"")</x:f>
        <x:v>3200</x:v>
      </x:c>
      <x:c r="X96" s="1" t="n">
        <x:f>O96*V96</x:f>
        <x:v>1</x:v>
      </x:c>
      <x:c r="Y96" s="1" t="n">
        <x:v>0</x:v>
      </x:c>
      <x:c r="Z96" s="1" t="n">
        <x:v>0</x:v>
      </x:c>
      <x:c r="AA96" s="1" t="n">
        <x:v>0</x:v>
      </x:c>
      <x:c r="AB96" s="1" t="n">
        <x:v>0</x:v>
      </x:c>
      <x:c r="AC96" s="1" t="n">
        <x:v>0</x:v>
      </x:c>
      <x:c r="AD96" s="1" t="str">
        <x:f>IF('Raw properties'!Y96="","",'Raw properties'!Y96)</x:f>
      </x:c>
      <x:c r="AE96" s="1" t="str">
        <x:v>2026-08-21</x:v>
      </x:c>
      <x:c r="AF96" s="1" t="str">
        <x:v>Included in rent means</x:v>
      </x:c>
      <x:c r="AG96" s="5" t="str">
        <x:v>Source pricing flag retained; automated consistency checks passed. This is not independent landlord verification.</x:v>
      </x:c>
      <x:c r="AH96" s="1" t="str">
        <x:v>$3,200</x:v>
      </x:c>
      <x:c r="AI96" s="8" t="n">
        <x:f>MIN(ABS(P96-1),ABS(P96-3),ABS(P96-5))*5280</x:f>
        <x:v>287.3353158093993</x:v>
      </x:c>
      <x:c r="AJ96" s="8" t="n">
        <x:f>MIN(ABS(R96-1),ABS(R96-3),ABS(R96-5))*5280</x:f>
        <x:v>3151.0346569966277</x:v>
      </x:c>
      <x:c r="AK96" s="8" t="n">
        <x:f>MIN(ABS(T96-1),ABS(T96-3),ABS(T96-5))*5280</x:f>
        <x:v>3105.5862074445618</x:v>
      </x:c>
      <x:c r="AL96" s="1" t="n">
        <x:f>IF(MIN(AI96,AJ96,AK96)&lt;=100,1,0)</x:f>
        <x:v>0</x:v>
      </x:c>
    </x:row>
    <x:row r="97" ht="15" hidden="0" customHeight="1">
      <x:c r="A97" s="1" t="str">
        <x:f>IF('Raw properties'!A97="","",'Raw properties'!A97)</x:f>
        <x:v>ocpjxe9lb5</x:v>
      </x:c>
      <x:c r="B97" s="1" t="str">
        <x:f>IF('Raw properties'!D97="","",'Raw properties'!D97)</x:f>
        <x:v>Private House room listing</x:v>
      </x:c>
      <x:c r="C97" s="1" t="str">
        <x:f>IF('Raw properties'!AG97="","",'Raw properties'!AG97)</x:f>
        <x:v>https://offcampus.dasa.ncsu.edu/housing/property/private-house-room-listing/ocpjxe9lb5</x:v>
      </x:c>
      <x:c r="D97" s="1" t="str">
        <x:v>Per bedroom</x:v>
      </x:c>
      <x:c r="E97" s="1" t="str">
        <x:v>Per bedroom</x:v>
      </x:c>
      <x:c r="F97" s="7" t="n">
        <x:f>IF('Raw properties'!I97="","",'Raw properties'!I97)</x:f>
        <x:v>35.869337</x:v>
      </x:c>
      <x:c r="G97" s="7" t="n">
        <x:f>IF('Raw properties'!J97="","",'Raw properties'!J97)</x:f>
        <x:v>-78.656268</x:v>
      </x:c>
      <x:c r="H97" s="6" t="n">
        <x:f>IF('Raw properties'!M97="","",'Raw properties'!M97)</x:f>
        <x:v>1000</x:v>
      </x:c>
      <x:c r="I97" s="6" t="n">
        <x:f>IF('Raw properties'!N97="","",'Raw properties'!N97)</x:f>
        <x:v>1000</x:v>
      </x:c>
      <x:c r="J97" s="6" t="n">
        <x:f>IF((IF('Raw floorplans'!H451&gt;0,1,0))=0,"",MIN(IF('Raw floorplans'!H451&gt;0,'Raw floorplans'!H451,1E99)))</x:f>
        <x:v>1000</x:v>
      </x:c>
      <x:c r="K97" s="6" t="n">
        <x:f>IF((IF('Raw floorplans'!I451&gt;0,1,0))=0,"",MAX(IF('Raw floorplans'!I451&gt;0,'Raw floorplans'!I451,0)))</x:f>
        <x:v>1000</x:v>
      </x:c>
      <x:c r="L97" s="1" t="n">
        <x:v>0</x:v>
      </x:c>
      <x:c r="M97" s="1" t="n">
        <x:f>IF(AND(ISNUMBER(H97),ISNUMBER(I97),ISNUMBER(J97),ISNUMBER(K97),H97&gt;0,I97&gt;0),IF(OR(H97&lt;&gt;J97,I97&lt;&gt;K97),1,0),0)</x:f>
        <x:v>0</x:v>
      </x:c>
      <x:c r="N97" s="1" t="n">
        <x:f>IF(AND(ISNUMBER(H97),ISNUMBER(I97),H97&gt;0,I97&gt;=H97),1,0)</x:f>
        <x:v>1</x:v>
      </x:c>
      <x:c r="O97" s="1" t="n">
        <x:f>IF(AND(L97=0,M97=0,N97=1),1,0)</x:f>
        <x:v>1</x:v>
      </x:c>
      <x:c r="P97" s="7" t="n">
        <x:f>2*3958.7613*ASIN(SQRT(SIN(RADIANS(F97-35.77951)/2)^2+COS(RADIANS(35.77951))*COS(RADIANS(F97))*SIN(RADIANS(G97-(-78.68168))/2)^2))</x:f>
        <x:v>6.3676367628602515</x:v>
      </x:c>
      <x:c r="Q97" s="1" t="str">
        <x:f>IF(P97&lt;=1,"0–1 mi",IF(P97&lt;=3,"&gt;1–3 mi",IF(P97&lt;=5,"&gt;3–5 mi","Outside 5 mi")))</x:f>
        <x:v>Outside 5 mi</x:v>
      </x:c>
      <x:c r="R97" s="7" t="n">
        <x:f>2*3958.7613*ASIN(SQRT(SIN(RADIANS(F97-35.7687)/2)^2+COS(RADIANS(35.7687))*COS(RADIANS(F97))*SIN(RADIANS(G97-(-78.6775))/2)^2))</x:f>
        <x:v>7.0543702138060445</x:v>
      </x:c>
      <x:c r="S97" s="1" t="str">
        <x:f>IF(R97&lt;=1,"0–1 mi",IF(R97&lt;=3,"&gt;1–3 mi",IF(R97&lt;=5,"&gt;3–5 mi","Outside 5 mi")))</x:f>
        <x:v>Outside 5 mi</x:v>
      </x:c>
      <x:c r="T97" s="7" t="n">
        <x:f>2*3958.7613*ASIN(SQRT(SIN(RADIANS(F97-35.79847)/2)^2+COS(RADIANS(35.79847))*COS(RADIANS(F97))*SIN(RADIANS(G97-(-78.70408))/2)^2))</x:f>
        <x:v>5.58103173348604</x:v>
      </x:c>
      <x:c r="U97" s="1" t="str">
        <x:f>IF(T97&lt;=1,"0–1 mi",IF(T97&lt;=3,"&gt;1–3 mi",IF(T97&lt;=5,"&gt;3–5 mi","Outside 5 mi")))</x:f>
        <x:v>Outside 5 mi</x:v>
      </x:c>
      <x:c r="V97" s="1" t="n">
        <x:f>IF(MIN(P97,R97,T97)&lt;=5,1,0)</x:f>
        <x:v>0</x:v>
      </x:c>
      <x:c r="W97" s="6" t="n">
        <x:f>IF(O97=1,(H97+I97)/2,"")</x:f>
        <x:v>1000</x:v>
      </x:c>
      <x:c r="X97" s="1" t="n">
        <x:f>O97*V97</x:f>
        <x:v>0</x:v>
      </x:c>
      <x:c r="Y97" s="1" t="n">
        <x:v>0</x:v>
      </x:c>
      <x:c r="Z97" s="1" t="n">
        <x:v>0</x:v>
      </x:c>
      <x:c r="AA97" s="1" t="n">
        <x:v>0</x:v>
      </x:c>
      <x:c r="AB97" s="1" t="n">
        <x:v>0</x:v>
      </x:c>
      <x:c r="AC97" s="1" t="n">
        <x:v>0</x:v>
      </x:c>
      <x:c r="AD97" s="1" t="str">
        <x:f>IF('Raw properties'!Y97="","",'Raw properties'!Y97)</x:f>
        <x:v>6 Month Lease</x:v>
      </x:c>
      <x:c r="AE97" s="1" t="str">
        <x:v>1970-01-01</x:v>
      </x:c>
      <x:c r="AF97" s="1" t="str">
        <x:v>Included in rent means</x:v>
      </x:c>
      <x:c r="AG97" s="5" t="str">
        <x:v>Source pricing flag retained; automated consistency checks passed. This is not independent landlord verification.</x:v>
      </x:c>
      <x:c r="AH97" s="1" t="str">
        <x:v>$1,000</x:v>
      </x:c>
      <x:c r="AI97" s="8" t="n">
        <x:f>MIN(ABS(P97-1),ABS(P97-3),ABS(P97-5))*5280</x:f>
        <x:v>7221.122107902128</x:v>
      </x:c>
      <x:c r="AJ97" s="8" t="n">
        <x:f>MIN(ABS(R97-1),ABS(R97-3),ABS(R97-5))*5280</x:f>
        <x:v>10847.074728895916</x:v>
      </x:c>
      <x:c r="AK97" s="8" t="n">
        <x:f>MIN(ABS(T97-1),ABS(T97-3),ABS(T97-5))*5280</x:f>
        <x:v>3067.8475528062922</x:v>
      </x:c>
      <x:c r="AL97" s="1" t="n">
        <x:f>IF(MIN(AI97,AJ97,AK97)&lt;=100,1,0)</x:f>
        <x:v>0</x:v>
      </x:c>
    </x:row>
    <x:row r="98" ht="15" hidden="0" customHeight="1">
      <x:c r="A98" s="1" t="str">
        <x:f>IF('Raw properties'!A98="","",'Raw properties'!A98)</x:f>
        <x:v>6lbm6br</x:v>
      </x:c>
      <x:c r="B98" s="1" t="str">
        <x:f>IF('Raw properties'!D98="","",'Raw properties'!D98)</x:f>
        <x:v>2810 Crestscene Trail (Raleigh, NC)</x:v>
      </x:c>
      <x:c r="C98" s="1" t="str">
        <x:f>IF('Raw properties'!AG98="","",'Raw properties'!AG98)</x:f>
        <x:v>https://offcampus.dasa.ncsu.edu/housing/property/2810-crestscene-trail-raleigh-nc/6lbm6br</x:v>
      </x:c>
      <x:c r="D98" s="1" t="str">
        <x:v>Whole unit</x:v>
      </x:c>
      <x:c r="E98" s="1" t="str">
        <x:v>Whole unit</x:v>
      </x:c>
      <x:c r="F98" s="7" t="n">
        <x:f>IF('Raw properties'!I98="","",'Raw properties'!I98)</x:f>
        <x:v>35.751168</x:v>
      </x:c>
      <x:c r="G98" s="7" t="n">
        <x:f>IF('Raw properties'!J98="","",'Raw properties'!J98)</x:f>
        <x:v>-78.684513</x:v>
      </x:c>
      <x:c r="H98" s="6" t="n">
        <x:f>IF('Raw properties'!M98="","",'Raw properties'!M98)</x:f>
        <x:v>2500</x:v>
      </x:c>
      <x:c r="I98" s="6" t="n">
        <x:f>IF('Raw properties'!N98="","",'Raw properties'!N98)</x:f>
        <x:v>2500</x:v>
      </x:c>
      <x:c r="J98" s="6" t="n">
        <x:f>IF((IF('Raw floorplans'!H452&gt;0,1,0))=0,"",MIN(IF('Raw floorplans'!H452&gt;0,'Raw floorplans'!H452,1E99)))</x:f>
        <x:v>2500</x:v>
      </x:c>
      <x:c r="K98" s="6" t="n">
        <x:f>IF((IF('Raw floorplans'!I452&gt;0,1,0))=0,"",MAX(IF('Raw floorplans'!I452&gt;0,'Raw floorplans'!I452,0)))</x:f>
        <x:v>2500</x:v>
      </x:c>
      <x:c r="L98" s="1" t="n">
        <x:v>0</x:v>
      </x:c>
      <x:c r="M98" s="1" t="n">
        <x:f>IF(AND(ISNUMBER(H98),ISNUMBER(I98),ISNUMBER(J98),ISNUMBER(K98),H98&gt;0,I98&gt;0),IF(OR(H98&lt;&gt;J98,I98&lt;&gt;K98),1,0),0)</x:f>
        <x:v>0</x:v>
      </x:c>
      <x:c r="N98" s="1" t="n">
        <x:f>IF(AND(ISNUMBER(H98),ISNUMBER(I98),H98&gt;0,I98&gt;=H98),1,0)</x:f>
        <x:v>1</x:v>
      </x:c>
      <x:c r="O98" s="1" t="n">
        <x:f>IF(AND(L98=0,M98=0,N98=1),1,0)</x:f>
        <x:v>1</x:v>
      </x:c>
      <x:c r="P98" s="7" t="n">
        <x:f>2*3958.7613*ASIN(SQRT(SIN(RADIANS(F98-35.77951)/2)^2+COS(RADIANS(35.77951))*COS(RADIANS(F98))*SIN(RADIANS(G98-(-78.68168))/2)^2))</x:f>
        <x:v>1.964676193836722</x:v>
      </x:c>
      <x:c r="Q98" s="1" t="str">
        <x:f>IF(P98&lt;=1,"0–1 mi",IF(P98&lt;=3,"&gt;1–3 mi",IF(P98&lt;=5,"&gt;3–5 mi","Outside 5 mi")))</x:f>
        <x:v>&gt;1–3 mi</x:v>
      </x:c>
      <x:c r="R98" s="7" t="n">
        <x:f>2*3958.7613*ASIN(SQRT(SIN(RADIANS(F98-35.7687)/2)^2+COS(RADIANS(35.7687))*COS(RADIANS(F98))*SIN(RADIANS(G98-(-78.6775))/2)^2))</x:f>
        <x:v>1.2735641270993747</x:v>
      </x:c>
      <x:c r="S98" s="1" t="str">
        <x:f>IF(R98&lt;=1,"0–1 mi",IF(R98&lt;=3,"&gt;1–3 mi",IF(R98&lt;=5,"&gt;3–5 mi","Outside 5 mi")))</x:f>
        <x:v>&gt;1–3 mi</x:v>
      </x:c>
      <x:c r="T98" s="7" t="n">
        <x:f>2*3958.7613*ASIN(SQRT(SIN(RADIANS(F98-35.79847)/2)^2+COS(RADIANS(35.79847))*COS(RADIANS(F98))*SIN(RADIANS(G98-(-78.70408))/2)^2))</x:f>
        <x:v>3.4474074191274053</x:v>
      </x:c>
      <x:c r="U98" s="1" t="str">
        <x:f>IF(T98&lt;=1,"0–1 mi",IF(T98&lt;=3,"&gt;1–3 mi",IF(T98&lt;=5,"&gt;3–5 mi","Outside 5 mi")))</x:f>
        <x:v>&gt;3–5 mi</x:v>
      </x:c>
      <x:c r="V98" s="1" t="n">
        <x:f>IF(MIN(P98,R98,T98)&lt;=5,1,0)</x:f>
        <x:v>1</x:v>
      </x:c>
      <x:c r="W98" s="6" t="n">
        <x:f>IF(O98=1,(H98+I98)/2,"")</x:f>
        <x:v>2500</x:v>
      </x:c>
      <x:c r="X98" s="1" t="n">
        <x:f>O98*V98</x:f>
        <x:v>1</x:v>
      </x:c>
      <x:c r="Y98" s="1" t="n">
        <x:v>1</x:v>
      </x:c>
      <x:c r="Z98" s="1" t="n">
        <x:v>0</x:v>
      </x:c>
      <x:c r="AA98" s="1" t="n">
        <x:v>0</x:v>
      </x:c>
      <x:c r="AB98" s="1" t="n">
        <x:v>0</x:v>
      </x:c>
      <x:c r="AC98" s="1" t="n">
        <x:v>0</x:v>
      </x:c>
      <x:c r="AD98" s="1" t="str">
        <x:f>IF('Raw properties'!Y98="","",'Raw properties'!Y98)</x:f>
      </x:c>
      <x:c r="AE98" s="1" t="str">
        <x:v>2027-06-01</x:v>
      </x:c>
      <x:c r="AF98" s="1" t="str">
        <x:v>Included in rent means</x:v>
      </x:c>
      <x:c r="AG98" s="5" t="str">
        <x:v>Source pricing flag retained; automated consistency checks passed. This is not independent landlord verification.</x:v>
      </x:c>
      <x:c r="AH98" s="1" t="str">
        <x:v>$2,500</x:v>
      </x:c>
      <x:c r="AI98" s="8" t="n">
        <x:f>MIN(ABS(P98-1),ABS(P98-3),ABS(P98-5))*5280</x:f>
        <x:v>5093.490303457893</x:v>
      </x:c>
      <x:c r="AJ98" s="8" t="n">
        <x:f>MIN(ABS(R98-1),ABS(R98-3),ABS(R98-5))*5280</x:f>
        <x:v>1444.4185910846986</x:v>
      </x:c>
      <x:c r="AK98" s="8" t="n">
        <x:f>MIN(ABS(T98-1),ABS(T98-3),ABS(T98-5))*5280</x:f>
        <x:v>2362.3111729927</x:v>
      </x:c>
      <x:c r="AL98" s="1" t="n">
        <x:f>IF(MIN(AI98,AJ98,AK98)&lt;=100,1,0)</x:f>
        <x:v>0</x:v>
      </x:c>
    </x:row>
    <x:row r="99" ht="15" hidden="0" customHeight="1">
      <x:c r="A99" s="1" t="str">
        <x:f>IF('Raw properties'!A99="","",'Raw properties'!A99)</x:f>
        <x:v>ocp4lh373j</x:v>
      </x:c>
      <x:c r="B99" s="1" t="str">
        <x:f>IF('Raw properties'!D99="","",'Raw properties'!D99)</x:f>
        <x:v>Hub Raleigh – 4x2 Lease Takeover, Available Now</x:v>
      </x:c>
      <x:c r="C99" s="1" t="str">
        <x:f>IF('Raw properties'!AG99="","",'Raw properties'!AG99)</x:f>
        <x:v>https://offcampus.dasa.ncsu.edu/housing/property/hub-raleigh-4x2-lease-takeover-available-now/ocp4lh373j</x:v>
      </x:c>
      <x:c r="D99" s="1" t="str">
        <x:v>Per bedroom</x:v>
      </x:c>
      <x:c r="E99" s="1" t="str">
        <x:v>Per bedroom</x:v>
      </x:c>
      <x:c r="F99" s="7" t="n">
        <x:f>IF('Raw properties'!I99="","",'Raw properties'!I99)</x:f>
        <x:v>35.785129</x:v>
      </x:c>
      <x:c r="G99" s="7" t="n">
        <x:f>IF('Raw properties'!J99="","",'Raw properties'!J99)</x:f>
        <x:v>-78.66049</x:v>
      </x:c>
      <x:c r="H99" s="6" t="n">
        <x:f>IF('Raw properties'!M99="","",'Raw properties'!M99)</x:f>
        <x:v>1199</x:v>
      </x:c>
      <x:c r="I99" s="6" t="n">
        <x:f>IF('Raw properties'!N99="","",'Raw properties'!N99)</x:f>
        <x:v>1199</x:v>
      </x:c>
      <x:c r="J99" s="6" t="n">
        <x:f>IF((IF('Raw floorplans'!H453&gt;0,1,0))=0,"",MIN(IF('Raw floorplans'!H453&gt;0,'Raw floorplans'!H453,1E99)))</x:f>
        <x:v>1199</x:v>
      </x:c>
      <x:c r="K99" s="6" t="n">
        <x:f>IF((IF('Raw floorplans'!I453&gt;0,1,0))=0,"",MAX(IF('Raw floorplans'!I453&gt;0,'Raw floorplans'!I453,0)))</x:f>
        <x:v>1199</x:v>
      </x:c>
      <x:c r="L99" s="1" t="n">
        <x:v>0</x:v>
      </x:c>
      <x:c r="M99" s="1" t="n">
        <x:f>IF(AND(ISNUMBER(H99),ISNUMBER(I99),ISNUMBER(J99),ISNUMBER(K99),H99&gt;0,I99&gt;0),IF(OR(H99&lt;&gt;J99,I99&lt;&gt;K99),1,0),0)</x:f>
        <x:v>0</x:v>
      </x:c>
      <x:c r="N99" s="1" t="n">
        <x:f>IF(AND(ISNUMBER(H99),ISNUMBER(I99),H99&gt;0,I99&gt;=H99),1,0)</x:f>
        <x:v>1</x:v>
      </x:c>
      <x:c r="O99" s="1" t="n">
        <x:f>IF(AND(L99=0,M99=0,N99=1),1,0)</x:f>
        <x:v>1</x:v>
      </x:c>
      <x:c r="P99" s="7" t="n">
        <x:f>2*3958.7613*ASIN(SQRT(SIN(RADIANS(F99-35.77951)/2)^2+COS(RADIANS(35.77951))*COS(RADIANS(F99))*SIN(RADIANS(G99-(-78.68168))/2)^2))</x:f>
        <x:v>1.249575868352818</x:v>
      </x:c>
      <x:c r="Q99" s="1" t="str">
        <x:f>IF(P99&lt;=1,"0–1 mi",IF(P99&lt;=3,"&gt;1–3 mi",IF(P99&lt;=5,"&gt;3–5 mi","Outside 5 mi")))</x:f>
        <x:v>&gt;1–3 mi</x:v>
      </x:c>
      <x:c r="R99" s="7" t="n">
        <x:f>2*3958.7613*ASIN(SQRT(SIN(RADIANS(F99-35.7687)/2)^2+COS(RADIANS(35.7687))*COS(RADIANS(F99))*SIN(RADIANS(G99-(-78.6775))/2)^2))</x:f>
        <x:v>1.482464724394003</x:v>
      </x:c>
      <x:c r="S99" s="1" t="str">
        <x:f>IF(R99&lt;=1,"0–1 mi",IF(R99&lt;=3,"&gt;1–3 mi",IF(R99&lt;=5,"&gt;3–5 mi","Outside 5 mi")))</x:f>
        <x:v>&gt;1–3 mi</x:v>
      </x:c>
      <x:c r="T99" s="7" t="n">
        <x:f>2*3958.7613*ASIN(SQRT(SIN(RADIANS(F99-35.79847)/2)^2+COS(RADIANS(35.79847))*COS(RADIANS(F99))*SIN(RADIANS(G99-(-78.70408))/2)^2))</x:f>
        <x:v>2.6111140959025367</x:v>
      </x:c>
      <x:c r="U99" s="1" t="str">
        <x:f>IF(T99&lt;=1,"0–1 mi",IF(T99&lt;=3,"&gt;1–3 mi",IF(T99&lt;=5,"&gt;3–5 mi","Outside 5 mi")))</x:f>
        <x:v>&gt;1–3 mi</x:v>
      </x:c>
      <x:c r="V99" s="1" t="n">
        <x:f>IF(MIN(P99,R99,T99)&lt;=5,1,0)</x:f>
        <x:v>1</x:v>
      </x:c>
      <x:c r="W99" s="6" t="n">
        <x:f>IF(O99=1,(H99+I99)/2,"")</x:f>
        <x:v>1199</x:v>
      </x:c>
      <x:c r="X99" s="1" t="n">
        <x:f>O99*V99</x:f>
        <x:v>1</x:v>
      </x:c>
      <x:c r="Y99" s="1" t="n">
        <x:v>0</x:v>
      </x:c>
      <x:c r="Z99" s="1" t="n">
        <x:v>0</x:v>
      </x:c>
      <x:c r="AA99" s="1" t="n">
        <x:v>0</x:v>
      </x:c>
      <x:c r="AB99" s="1" t="n">
        <x:v>0</x:v>
      </x:c>
      <x:c r="AC99" s="1" t="n">
        <x:v>1</x:v>
      </x:c>
      <x:c r="AD99" s="1" t="str">
        <x:f>IF('Raw properties'!Y99="","",'Raw properties'!Y99)</x:f>
        <x:v>5 Month Lease</x:v>
      </x:c>
      <x:c r="AE99" s="1" t="str">
        <x:v>2026-08-20</x:v>
      </x:c>
      <x:c r="AF99" s="1" t="str">
        <x:v>Included in rent means</x:v>
      </x:c>
      <x:c r="AG99" s="5" t="str">
        <x:v>Source pricing flag retained; automated consistency checks passed. This is not independent landlord verification.</x:v>
      </x:c>
      <x:c r="AH99" s="1" t="str">
        <x:v>$1,199</x:v>
      </x:c>
      <x:c r="AI99" s="8" t="n">
        <x:f>MIN(ABS(P99-1),ABS(P99-3),ABS(P99-5))*5280</x:f>
        <x:v>1317.760584902879</x:v>
      </x:c>
      <x:c r="AJ99" s="8" t="n">
        <x:f>MIN(ABS(R99-1),ABS(R99-3),ABS(R99-5))*5280</x:f>
        <x:v>2547.4137448003357</x:v>
      </x:c>
      <x:c r="AK99" s="8" t="n">
        <x:f>MIN(ABS(T99-1),ABS(T99-3),ABS(T99-5))*5280</x:f>
        <x:v>2053.317573634606</x:v>
      </x:c>
      <x:c r="AL99" s="1" t="n">
        <x:f>IF(MIN(AI99,AJ99,AK99)&lt;=100,1,0)</x:f>
        <x:v>0</x:v>
      </x:c>
    </x:row>
    <x:row r="100" ht="15" hidden="0" customHeight="1">
      <x:c r="A100" s="1" t="str">
        <x:f>IF('Raw properties'!A100="","",'Raw properties'!A100)</x:f>
        <x:v>dnbdmqk</x:v>
      </x:c>
      <x:c r="B100" s="1" t="str">
        <x:f>IF('Raw properties'!D100="","",'Raw properties'!D100)</x:f>
        <x:v>2626 Wolf Cub Ct (Raleigh, NC)</x:v>
      </x:c>
      <x:c r="C100" s="1" t="str">
        <x:f>IF('Raw properties'!AG100="","",'Raw properties'!AG100)</x:f>
        <x:v>https://offcampus.dasa.ncsu.edu/housing/property/2626-wolf-cub-ct-raleigh-nc/dnbdmqk</x:v>
      </x:c>
      <x:c r="D100" s="1" t="str">
        <x:v>Whole unit</x:v>
      </x:c>
      <x:c r="E100" s="1" t="str">
        <x:v>Whole unit</x:v>
      </x:c>
      <x:c r="F100" s="7" t="n">
        <x:f>IF('Raw properties'!I100="","",'Raw properties'!I100)</x:f>
        <x:v>35.74314</x:v>
      </x:c>
      <x:c r="G100" s="7" t="n">
        <x:f>IF('Raw properties'!J100="","",'Raw properties'!J100)</x:f>
        <x:v>-78.682772</x:v>
      </x:c>
      <x:c r="H100" s="6" t="n">
        <x:f>IF('Raw properties'!M100="","",'Raw properties'!M100)</x:f>
        <x:v>1895</x:v>
      </x:c>
      <x:c r="I100" s="6" t="n">
        <x:f>IF('Raw properties'!N100="","",'Raw properties'!N100)</x:f>
        <x:v>1895</x:v>
      </x:c>
      <x:c r="J100" s="6" t="n">
        <x:f>IF((IF('Raw floorplans'!H454&gt;0,1,0))=0,"",MIN(IF('Raw floorplans'!H454&gt;0,'Raw floorplans'!H454,1E99)))</x:f>
        <x:v>1895</x:v>
      </x:c>
      <x:c r="K100" s="6" t="n">
        <x:f>IF((IF('Raw floorplans'!I454&gt;0,1,0))=0,"",MAX(IF('Raw floorplans'!I454&gt;0,'Raw floorplans'!I454,0)))</x:f>
        <x:v>1895</x:v>
      </x:c>
      <x:c r="L100" s="1" t="n">
        <x:v>0</x:v>
      </x:c>
      <x:c r="M100" s="1" t="n">
        <x:f>IF(AND(ISNUMBER(H100),ISNUMBER(I100),ISNUMBER(J100),ISNUMBER(K100),H100&gt;0,I100&gt;0),IF(OR(H100&lt;&gt;J100,I100&lt;&gt;K100),1,0),0)</x:f>
        <x:v>0</x:v>
      </x:c>
      <x:c r="N100" s="1" t="n">
        <x:f>IF(AND(ISNUMBER(H100),ISNUMBER(I100),H100&gt;0,I100&gt;=H100),1,0)</x:f>
        <x:v>1</x:v>
      </x:c>
      <x:c r="O100" s="1" t="n">
        <x:f>IF(AND(L100=0,M100=0,N100=1),1,0)</x:f>
        <x:v>1</x:v>
      </x:c>
      <x:c r="P100" s="7" t="n">
        <x:f>2*3958.7613*ASIN(SQRT(SIN(RADIANS(F100-35.77951)/2)^2+COS(RADIANS(35.77951))*COS(RADIANS(F100))*SIN(RADIANS(G100-(-78.68168))/2)^2))</x:f>
        <x:v>2.51367337024118</x:v>
      </x:c>
      <x:c r="Q100" s="1" t="str">
        <x:f>IF(P100&lt;=1,"0–1 mi",IF(P100&lt;=3,"&gt;1–3 mi",IF(P100&lt;=5,"&gt;3–5 mi","Outside 5 mi")))</x:f>
        <x:v>&gt;1–3 mi</x:v>
      </x:c>
      <x:c r="R100" s="7" t="n">
        <x:f>2*3958.7613*ASIN(SQRT(SIN(RADIANS(F100-35.7687)/2)^2+COS(RADIANS(35.7687))*COS(RADIANS(F100))*SIN(RADIANS(G100-(-78.6775))/2)^2))</x:f>
        <x:v>1.7905962422036326</x:v>
      </x:c>
      <x:c r="S100" s="1" t="str">
        <x:f>IF(R100&lt;=1,"0–1 mi",IF(R100&lt;=3,"&gt;1–3 mi",IF(R100&lt;=5,"&gt;3–5 mi","Outside 5 mi")))</x:f>
        <x:v>&gt;1–3 mi</x:v>
      </x:c>
      <x:c r="T100" s="7" t="n">
        <x:f>2*3958.7613*ASIN(SQRT(SIN(RADIANS(F100-35.79847)/2)^2+COS(RADIANS(35.79847))*COS(RADIANS(F100))*SIN(RADIANS(G100-(-78.70408))/2)^2))</x:f>
        <x:v>4.005214425143757</x:v>
      </x:c>
      <x:c r="U100" s="1" t="str">
        <x:f>IF(T100&lt;=1,"0–1 mi",IF(T100&lt;=3,"&gt;1–3 mi",IF(T100&lt;=5,"&gt;3–5 mi","Outside 5 mi")))</x:f>
        <x:v>&gt;3–5 mi</x:v>
      </x:c>
      <x:c r="V100" s="1" t="n">
        <x:f>IF(MIN(P100,R100,T100)&lt;=5,1,0)</x:f>
        <x:v>1</x:v>
      </x:c>
      <x:c r="W100" s="6" t="n">
        <x:f>IF(O100=1,(H100+I100)/2,"")</x:f>
        <x:v>1895</x:v>
      </x:c>
      <x:c r="X100" s="1" t="n">
        <x:f>O100*V100</x:f>
        <x:v>1</x:v>
      </x:c>
      <x:c r="Y100" s="1" t="n">
        <x:v>0</x:v>
      </x:c>
      <x:c r="Z100" s="1" t="n">
        <x:v>0</x:v>
      </x:c>
      <x:c r="AA100" s="1" t="n">
        <x:v>0</x:v>
      </x:c>
      <x:c r="AB100" s="1" t="n">
        <x:v>0</x:v>
      </x:c>
      <x:c r="AC100" s="1" t="n">
        <x:v>0</x:v>
      </x:c>
      <x:c r="AD100" s="1" t="str">
        <x:f>IF('Raw properties'!Y100="","",'Raw properties'!Y100)</x:f>
      </x:c>
      <x:c r="AE100" s="1" t="str">
        <x:v>2026-08-17</x:v>
      </x:c>
      <x:c r="AF100" s="1" t="str">
        <x:v>Included in rent means</x:v>
      </x:c>
      <x:c r="AG100" s="5" t="str">
        <x:v>Source pricing flag retained; automated consistency checks passed. This is not independent landlord verification.</x:v>
      </x:c>
      <x:c r="AH100" s="1" t="str">
        <x:v>$1,895</x:v>
      </x:c>
      <x:c r="AI100" s="8" t="n">
        <x:f>MIN(ABS(P100-1),ABS(P100-3),ABS(P100-5))*5280</x:f>
        <x:v>2567.8046051265687</x:v>
      </x:c>
      <x:c r="AJ100" s="8" t="n">
        <x:f>MIN(ABS(R100-1),ABS(R100-3),ABS(R100-5))*5280</x:f>
        <x:v>4174.34815883518</x:v>
      </x:c>
      <x:c r="AK100" s="8" t="n">
        <x:f>MIN(ABS(T100-1),ABS(T100-3),ABS(T100-5))*5280</x:f>
        <x:v>5252.467835240962</x:v>
      </x:c>
      <x:c r="AL100" s="1" t="n">
        <x:f>IF(MIN(AI100,AJ100,AK100)&lt;=100,1,0)</x:f>
        <x:v>0</x:v>
      </x:c>
    </x:row>
    <x:row r="101" ht="15" hidden="0" customHeight="1">
      <x:c r="A101" s="1" t="str">
        <x:f>IF('Raw properties'!A101="","",'Raw properties'!A101)</x:f>
        <x:v>ocp5cx5drn</x:v>
      </x:c>
      <x:c r="B101" s="1" t="str">
        <x:f>IF('Raw properties'!D101="","",'Raw properties'!D101)</x:f>
        <x:v>Valentine Commons</x:v>
      </x:c>
      <x:c r="C101" s="1" t="str">
        <x:f>IF('Raw properties'!AG101="","",'Raw properties'!AG101)</x:f>
        <x:v>https://offcampus.dasa.ncsu.edu/housing/property/valentine-commons/ocp5cx5drn</x:v>
      </x:c>
      <x:c r="D101" s="1" t="str">
        <x:v>Per bedroom</x:v>
      </x:c>
      <x:c r="E101" s="1" t="str">
        <x:v>Per bedroom</x:v>
      </x:c>
      <x:c r="F101" s="7" t="n">
        <x:f>IF('Raw properties'!I101="","",'Raw properties'!I101)</x:f>
        <x:v>35.788043</x:v>
      </x:c>
      <x:c r="G101" s="7" t="n">
        <x:f>IF('Raw properties'!J101="","",'Raw properties'!J101)</x:f>
        <x:v>-78.677424</x:v>
      </x:c>
      <x:c r="H101" s="6" t="n">
        <x:f>IF('Raw properties'!M101="","",'Raw properties'!M101)</x:f>
        <x:v>1000</x:v>
      </x:c>
      <x:c r="I101" s="6" t="n">
        <x:f>IF('Raw properties'!N101="","",'Raw properties'!N101)</x:f>
        <x:v>1300</x:v>
      </x:c>
      <x:c r="J101" s="6" t="n">
        <x:f>IF((IF('Raw floorplans'!H455&gt;0,1,0))=0,"",MIN(IF('Raw floorplans'!H455&gt;0,'Raw floorplans'!H455,1E99)))</x:f>
        <x:v>1000</x:v>
      </x:c>
      <x:c r="K101" s="6" t="n">
        <x:f>IF((IF('Raw floorplans'!I455&gt;0,1,0))=0,"",MAX(IF('Raw floorplans'!I455&gt;0,'Raw floorplans'!I455,0)))</x:f>
        <x:v>1300</x:v>
      </x:c>
      <x:c r="L101" s="1" t="n">
        <x:v>0</x:v>
      </x:c>
      <x:c r="M101" s="1" t="n">
        <x:f>IF(AND(ISNUMBER(H101),ISNUMBER(I101),ISNUMBER(J101),ISNUMBER(K101),H101&gt;0,I101&gt;0),IF(OR(H101&lt;&gt;J101,I101&lt;&gt;K101),1,0),0)</x:f>
        <x:v>0</x:v>
      </x:c>
      <x:c r="N101" s="1" t="n">
        <x:f>IF(AND(ISNUMBER(H101),ISNUMBER(I101),H101&gt;0,I101&gt;=H101),1,0)</x:f>
        <x:v>1</x:v>
      </x:c>
      <x:c r="O101" s="1" t="n">
        <x:f>IF(AND(L101=0,M101=0,N101=1),1,0)</x:f>
        <x:v>1</x:v>
      </x:c>
      <x:c r="P101" s="7" t="n">
        <x:f>2*3958.7613*ASIN(SQRT(SIN(RADIANS(F101-35.77951)/2)^2+COS(RADIANS(35.77951))*COS(RADIANS(F101))*SIN(RADIANS(G101-(-78.68168))/2)^2))</x:f>
        <x:v>0.6360066417040983</x:v>
      </x:c>
      <x:c r="Q101" s="1" t="str">
        <x:f>IF(P101&lt;=1,"0–1 mi",IF(P101&lt;=3,"&gt;1–3 mi",IF(P101&lt;=5,"&gt;3–5 mi","Outside 5 mi")))</x:f>
        <x:v>0–1 mi</x:v>
      </x:c>
      <x:c r="R101" s="7" t="n">
        <x:f>2*3958.7613*ASIN(SQRT(SIN(RADIANS(F101-35.7687)/2)^2+COS(RADIANS(35.7687))*COS(RADIANS(F101))*SIN(RADIANS(G101-(-78.6775))/2)^2))</x:f>
        <x:v>1.3364807932118024</x:v>
      </x:c>
      <x:c r="S101" s="1" t="str">
        <x:f>IF(R101&lt;=1,"0–1 mi",IF(R101&lt;=3,"&gt;1–3 mi",IF(R101&lt;=5,"&gt;3–5 mi","Outside 5 mi")))</x:f>
        <x:v>&gt;1–3 mi</x:v>
      </x:c>
      <x:c r="T101" s="7" t="n">
        <x:f>2*3958.7613*ASIN(SQRT(SIN(RADIANS(F101-35.79847)/2)^2+COS(RADIANS(35.79847))*COS(RADIANS(F101))*SIN(RADIANS(G101-(-78.70408))/2)^2))</x:f>
        <x:v>1.658549841900089</x:v>
      </x:c>
      <x:c r="U101" s="1" t="str">
        <x:f>IF(T101&lt;=1,"0–1 mi",IF(T101&lt;=3,"&gt;1–3 mi",IF(T101&lt;=5,"&gt;3–5 mi","Outside 5 mi")))</x:f>
        <x:v>&gt;1–3 mi</x:v>
      </x:c>
      <x:c r="V101" s="1" t="n">
        <x:f>IF(MIN(P101,R101,T101)&lt;=5,1,0)</x:f>
        <x:v>1</x:v>
      </x:c>
      <x:c r="W101" s="6" t="n">
        <x:f>IF(O101=1,(H101+I101)/2,"")</x:f>
        <x:v>1150</x:v>
      </x:c>
      <x:c r="X101" s="1" t="n">
        <x:f>O101*V101</x:f>
        <x:v>1</x:v>
      </x:c>
      <x:c r="Y101" s="1" t="n">
        <x:v>1</x:v>
      </x:c>
      <x:c r="Z101" s="1" t="n">
        <x:v>0</x:v>
      </x:c>
      <x:c r="AA101" s="1" t="n">
        <x:v>0</x:v>
      </x:c>
      <x:c r="AB101" s="1" t="n">
        <x:v>1</x:v>
      </x:c>
      <x:c r="AC101" s="1" t="n">
        <x:v>0</x:v>
      </x:c>
      <x:c r="AD101" s="1" t="str">
        <x:f>IF('Raw properties'!Y101="","",'Raw properties'!Y101)</x:f>
        <x:v>12 Month Lease</x:v>
      </x:c>
      <x:c r="AE101" s="1" t="str">
        <x:v>2027-08-11</x:v>
      </x:c>
      <x:c r="AF101" s="1" t="str">
        <x:v>Included in rent means</x:v>
      </x:c>
      <x:c r="AG101" s="5" t="str">
        <x:v>Source pricing flag retained; automated consistency checks passed. This is not independent landlord verification.</x:v>
      </x:c>
      <x:c r="AH101" s="1" t="str">
        <x:v>$1,000 - $1,300</x:v>
      </x:c>
      <x:c r="AI101" s="8" t="n">
        <x:f>MIN(ABS(P101-1),ABS(P101-3),ABS(P101-5))*5280</x:f>
        <x:v>1921.8849318023613</x:v>
      </x:c>
      <x:c r="AJ101" s="8" t="n">
        <x:f>MIN(ABS(R101-1),ABS(R101-3),ABS(R101-5))*5280</x:f>
        <x:v>1776.6185881583165</x:v>
      </x:c>
      <x:c r="AK101" s="8" t="n">
        <x:f>MIN(ABS(T101-1),ABS(T101-3),ABS(T101-5))*5280</x:f>
        <x:v>3477.14316523247</x:v>
      </x:c>
      <x:c r="AL101" s="1" t="n">
        <x:f>IF(MIN(AI101,AJ101,AK101)&lt;=100,1,0)</x:f>
        <x:v>0</x:v>
      </x:c>
    </x:row>
    <x:row r="102" ht="36" hidden="0" customHeight="1">
      <x:c r="A102" s="1" t="str">
        <x:f>IF('Raw properties'!A102="","",'Raw properties'!A102)</x:f>
        <x:v>teq7kh8</x:v>
      </x:c>
      <x:c r="B102" s="1" t="str">
        <x:f>IF('Raw properties'!D102="","",'Raw properties'!D102)</x:f>
        <x:v>1233 S Blount St (Raleigh, NC)</x:v>
      </x:c>
      <x:c r="C102" s="1" t="str">
        <x:f>IF('Raw properties'!AG102="","",'Raw properties'!AG102)</x:f>
        <x:v>https://offcampus.dasa.ncsu.edu/housing/property/1233-s-blount-st-raleigh-nc/teq7kh8</x:v>
      </x:c>
      <x:c r="D102" s="1" t="str">
        <x:v>Whole unit</x:v>
      </x:c>
      <x:c r="E102" s="1" t="str">
        <x:v>Whole unit</x:v>
      </x:c>
      <x:c r="F102" s="7" t="n">
        <x:f>IF('Raw properties'!I102="","",'Raw properties'!I102)</x:f>
        <x:v>35.765117</x:v>
      </x:c>
      <x:c r="G102" s="7" t="n">
        <x:f>IF('Raw properties'!J102="","",'Raw properties'!J102)</x:f>
        <x:v>-78.637201</x:v>
      </x:c>
      <x:c r="H102" s="6" t="n">
        <x:f>IF('Raw properties'!M102="","",'Raw properties'!M102)</x:f>
        <x:v>3800</x:v>
      </x:c>
      <x:c r="I102" s="6" t="n">
        <x:f>IF('Raw properties'!N102="","",'Raw properties'!N102)</x:f>
        <x:v>3800</x:v>
      </x:c>
      <x:c r="J102" s="6" t="n">
        <x:f>IF((IF('Raw floorplans'!H456&gt;0,1,0))=0,"",MIN(IF('Raw floorplans'!H456&gt;0,'Raw floorplans'!H456,1E99)))</x:f>
        <x:v>3000</x:v>
      </x:c>
      <x:c r="K102" s="6" t="n">
        <x:f>IF((IF('Raw floorplans'!I456&gt;0,1,0))=0,"",MAX(IF('Raw floorplans'!I456&gt;0,'Raw floorplans'!I456,0)))</x:f>
        <x:v>3000</x:v>
      </x:c>
      <x:c r="L102" s="1" t="n">
        <x:v>0</x:v>
      </x:c>
      <x:c r="M102" s="1" t="n">
        <x:f>IF(AND(ISNUMBER(H102),ISNUMBER(I102),ISNUMBER(J102),ISNUMBER(K102),H102&gt;0,I102&gt;0),IF(OR(H102&lt;&gt;J102,I102&lt;&gt;K102),1,0),0)</x:f>
        <x:v>1</x:v>
      </x:c>
      <x:c r="N102" s="1" t="n">
        <x:f>IF(AND(ISNUMBER(H102),ISNUMBER(I102),H102&gt;0,I102&gt;=H102),1,0)</x:f>
        <x:v>1</x:v>
      </x:c>
      <x:c r="O102" s="1" t="n">
        <x:f>IF(AND(L102=0,M102=0,N102=1),1,0)</x:f>
        <x:v>0</x:v>
      </x:c>
      <x:c r="P102" s="7" t="n">
        <x:f>2*3958.7613*ASIN(SQRT(SIN(RADIANS(F102-35.77951)/2)^2+COS(RADIANS(35.77951))*COS(RADIANS(F102))*SIN(RADIANS(G102-(-78.68168))/2)^2))</x:f>
        <x:v>2.684431117480415</x:v>
      </x:c>
      <x:c r="Q102" s="1" t="str">
        <x:f>IF(P102&lt;=1,"0–1 mi",IF(P102&lt;=3,"&gt;1–3 mi",IF(P102&lt;=5,"&gt;3–5 mi","Outside 5 mi")))</x:f>
        <x:v>&gt;1–3 mi</x:v>
      </x:c>
      <x:c r="R102" s="7" t="n">
        <x:f>2*3958.7613*ASIN(SQRT(SIN(RADIANS(F102-35.7687)/2)^2+COS(RADIANS(35.7687))*COS(RADIANS(F102))*SIN(RADIANS(G102-(-78.6775))/2)^2))</x:f>
        <x:v>2.272785885590823</x:v>
      </x:c>
      <x:c r="S102" s="1" t="str">
        <x:f>IF(R102&lt;=1,"0–1 mi",IF(R102&lt;=3,"&gt;1–3 mi",IF(R102&lt;=5,"&gt;3–5 mi","Outside 5 mi")))</x:f>
        <x:v>&gt;1–3 mi</x:v>
      </x:c>
      <x:c r="T102" s="7" t="n">
        <x:f>2*3958.7613*ASIN(SQRT(SIN(RADIANS(F102-35.79847)/2)^2+COS(RADIANS(35.79847))*COS(RADIANS(F102))*SIN(RADIANS(G102-(-78.70408))/2)^2))</x:f>
        <x:v>4.400382261988353</x:v>
      </x:c>
      <x:c r="U102" s="1" t="str">
        <x:f>IF(T102&lt;=1,"0–1 mi",IF(T102&lt;=3,"&gt;1–3 mi",IF(T102&lt;=5,"&gt;3–5 mi","Outside 5 mi")))</x:f>
        <x:v>&gt;3–5 mi</x:v>
      </x:c>
      <x:c r="V102" s="1" t="n">
        <x:f>IF(MIN(P102,R102,T102)&lt;=5,1,0)</x:f>
        <x:v>1</x:v>
      </x:c>
      <x:c r="W102" s="6" t="str">
        <x:f>IF(O102=1,(H102+I102)/2,"")</x:f>
      </x:c>
      <x:c r="X102" s="1" t="n">
        <x:f>O102*V102</x:f>
        <x:v>0</x:v>
      </x:c>
      <x:c r="Y102" s="1" t="n">
        <x:v>0</x:v>
      </x:c>
      <x:c r="Z102" s="1" t="n">
        <x:v>0</x:v>
      </x:c>
      <x:c r="AA102" s="1" t="n">
        <x:v>0</x:v>
      </x:c>
      <x:c r="AB102" s="1" t="n">
        <x:v>0</x:v>
      </x:c>
      <x:c r="AC102" s="1" t="n">
        <x:v>0</x:v>
      </x:c>
      <x:c r="AD102" s="1" t="str">
        <x:f>IF('Raw properties'!Y102="","",'Raw properties'!Y102)</x:f>
      </x:c>
      <x:c r="AE102" s="1" t="str">
        <x:v>2026-09-01</x:v>
      </x:c>
      <x:c r="AF102" s="1" t="str">
        <x:v>Excluded from rent means</x:v>
      </x:c>
      <x:c r="AG102" s="5" t="str">
        <x:v>Source pricing flag retained; automated consistency checks passed. This is not independent landlord verification. Search summary: $3800–$3800; saved floor-plan envelope: $3000–$3000. Difference may reflect fees, timing or scope; unresolved snapshot price excluded.</x:v>
      </x:c>
      <x:c r="AH102" s="1" t="str">
        <x:v>$3,800</x:v>
      </x:c>
      <x:c r="AI102" s="8" t="n">
        <x:f>MIN(ABS(P102-1),ABS(P102-3),ABS(P102-5))*5280</x:f>
        <x:v>1666.203699703408</x:v>
      </x:c>
      <x:c r="AJ102" s="8" t="n">
        <x:f>MIN(ABS(R102-1),ABS(R102-3),ABS(R102-5))*5280</x:f>
        <x:v>3839.6905240804535</x:v>
      </x:c>
      <x:c r="AK102" s="8" t="n">
        <x:f>MIN(ABS(T102-1),ABS(T102-3),ABS(T102-5))*5280</x:f>
        <x:v>3165.981656701495</x:v>
      </x:c>
      <x:c r="AL102" s="1" t="n">
        <x:f>IF(MIN(AI102,AJ102,AK102)&lt;=100,1,0)</x:f>
        <x:v>0</x:v>
      </x:c>
    </x:row>
    <x:row r="103" ht="15" hidden="0" customHeight="1">
      <x:c r="A103" s="1" t="str">
        <x:f>IF('Raw properties'!A103="","",'Raw properties'!A103)</x:f>
        <x:v>ocpsgy1zk5</x:v>
      </x:c>
      <x:c r="B103" s="1" t="str">
        <x:f>IF('Raw properties'!D103="","",'Raw properties'!D103)</x:f>
        <x:v>Family Neighborhood with Greenway Access</x:v>
      </x:c>
      <x:c r="C103" s="1" t="str">
        <x:f>IF('Raw properties'!AG103="","",'Raw properties'!AG103)</x:f>
        <x:v>https://offcampus.dasa.ncsu.edu/housing/property/family-neighborhood-with-greenway-access/ocpsgy1zk5</x:v>
      </x:c>
      <x:c r="D103" s="1" t="str">
        <x:v>Whole unit</x:v>
      </x:c>
      <x:c r="E103" s="1" t="str">
        <x:v>Whole unit</x:v>
      </x:c>
      <x:c r="F103" s="7" t="n">
        <x:f>IF('Raw properties'!I103="","",'Raw properties'!I103)</x:f>
        <x:v>35.799947</x:v>
      </x:c>
      <x:c r="G103" s="7" t="n">
        <x:f>IF('Raw properties'!J103="","",'Raw properties'!J103)</x:f>
        <x:v>-78.600953</x:v>
      </x:c>
      <x:c r="H103" s="6" t="n">
        <x:f>IF('Raw properties'!M103="","",'Raw properties'!M103)</x:f>
        <x:v>3000</x:v>
      </x:c>
      <x:c r="I103" s="6" t="n">
        <x:f>IF('Raw properties'!N103="","",'Raw properties'!N103)</x:f>
        <x:v>3500</x:v>
      </x:c>
      <x:c r="J103" s="6" t="n">
        <x:f>IF((IF('Raw floorplans'!H457&gt;0,1,0))=0,"",MIN(IF('Raw floorplans'!H457&gt;0,'Raw floorplans'!H457,1E99)))</x:f>
        <x:v>3000</x:v>
      </x:c>
      <x:c r="K103" s="6" t="n">
        <x:f>IF((IF('Raw floorplans'!I457&gt;0,1,0))=0,"",MAX(IF('Raw floorplans'!I457&gt;0,'Raw floorplans'!I457,0)))</x:f>
        <x:v>3500</x:v>
      </x:c>
      <x:c r="L103" s="1" t="n">
        <x:v>0</x:v>
      </x:c>
      <x:c r="M103" s="1" t="n">
        <x:f>IF(AND(ISNUMBER(H103),ISNUMBER(I103),ISNUMBER(J103),ISNUMBER(K103),H103&gt;0,I103&gt;0),IF(OR(H103&lt;&gt;J103,I103&lt;&gt;K103),1,0),0)</x:f>
        <x:v>0</x:v>
      </x:c>
      <x:c r="N103" s="1" t="n">
        <x:f>IF(AND(ISNUMBER(H103),ISNUMBER(I103),H103&gt;0,I103&gt;=H103),1,0)</x:f>
        <x:v>1</x:v>
      </x:c>
      <x:c r="O103" s="1" t="n">
        <x:f>IF(AND(L103=0,M103=0,N103=1),1,0)</x:f>
        <x:v>1</x:v>
      </x:c>
      <x:c r="P103" s="7" t="n">
        <x:f>2*3958.7613*ASIN(SQRT(SIN(RADIANS(F103-35.77951)/2)^2+COS(RADIANS(35.77951))*COS(RADIANS(F103))*SIN(RADIANS(G103-(-78.68168))/2)^2))</x:f>
        <x:v>4.739688608025795</x:v>
      </x:c>
      <x:c r="Q103" s="1" t="str">
        <x:f>IF(P103&lt;=1,"0–1 mi",IF(P103&lt;=3,"&gt;1–3 mi",IF(P103&lt;=5,"&gt;3–5 mi","Outside 5 mi")))</x:f>
        <x:v>&gt;3–5 mi</x:v>
      </x:c>
      <x:c r="R103" s="7" t="n">
        <x:f>2*3958.7613*ASIN(SQRT(SIN(RADIANS(F103-35.7687)/2)^2+COS(RADIANS(35.7687))*COS(RADIANS(F103))*SIN(RADIANS(G103-(-78.6775))/2)^2))</x:f>
        <x:v>4.8030517983626</x:v>
      </x:c>
      <x:c r="S103" s="1" t="str">
        <x:f>IF(R103&lt;=1,"0–1 mi",IF(R103&lt;=3,"&gt;1–3 mi",IF(R103&lt;=5,"&gt;3–5 mi","Outside 5 mi")))</x:f>
        <x:v>&gt;3–5 mi</x:v>
      </x:c>
      <x:c r="T103" s="7" t="n">
        <x:f>2*3958.7613*ASIN(SQRT(SIN(RADIANS(F103-35.79847)/2)^2+COS(RADIANS(35.79847))*COS(RADIANS(F103))*SIN(RADIANS(G103-(-78.70408))/2)^2))</x:f>
        <x:v>5.780109982379758</x:v>
      </x:c>
      <x:c r="U103" s="1" t="str">
        <x:f>IF(T103&lt;=1,"0–1 mi",IF(T103&lt;=3,"&gt;1–3 mi",IF(T103&lt;=5,"&gt;3–5 mi","Outside 5 mi")))</x:f>
        <x:v>Outside 5 mi</x:v>
      </x:c>
      <x:c r="V103" s="1" t="n">
        <x:f>IF(MIN(P103,R103,T103)&lt;=5,1,0)</x:f>
        <x:v>1</x:v>
      </x:c>
      <x:c r="W103" s="6" t="n">
        <x:f>IF(O103=1,(H103+I103)/2,"")</x:f>
        <x:v>3250</x:v>
      </x:c>
      <x:c r="X103" s="1" t="n">
        <x:f>O103*V103</x:f>
        <x:v>1</x:v>
      </x:c>
      <x:c r="Y103" s="1" t="n">
        <x:v>0</x:v>
      </x:c>
      <x:c r="Z103" s="1" t="n">
        <x:v>0</x:v>
      </x:c>
      <x:c r="AA103" s="1" t="n">
        <x:v>0</x:v>
      </x:c>
      <x:c r="AB103" s="1" t="n">
        <x:v>1</x:v>
      </x:c>
      <x:c r="AC103" s="1" t="n">
        <x:v>0</x:v>
      </x:c>
      <x:c r="AD103" s="1" t="str">
        <x:f>IF('Raw properties'!Y103="","",'Raw properties'!Y103)</x:f>
        <x:v>12 Month Lease</x:v>
      </x:c>
      <x:c r="AE103" s="1" t="str">
        <x:v>1970-01-01</x:v>
      </x:c>
      <x:c r="AF103" s="1" t="str">
        <x:v>Included in rent means</x:v>
      </x:c>
      <x:c r="AG103" s="5" t="str">
        <x:v>Source pricing flag retained; automated consistency checks passed. This is not independent landlord verification.</x:v>
      </x:c>
      <x:c r="AH103" s="1" t="str">
        <x:v>$3,000 - $3,500</x:v>
      </x:c>
      <x:c r="AI103" s="8" t="n">
        <x:f>MIN(ABS(P103-1),ABS(P103-3),ABS(P103-5))*5280</x:f>
        <x:v>1374.4441496238014</x:v>
      </x:c>
      <x:c r="AJ103" s="8" t="n">
        <x:f>MIN(ABS(R103-1),ABS(R103-3),ABS(R103-5))*5280</x:f>
        <x:v>1039.886504645472</x:v>
      </x:c>
      <x:c r="AK103" s="8" t="n">
        <x:f>MIN(ABS(T103-1),ABS(T103-3),ABS(T103-5))*5280</x:f>
        <x:v>4118.980706965124</x:v>
      </x:c>
      <x:c r="AL103" s="1" t="n">
        <x:f>IF(MIN(AI103,AJ103,AK103)&lt;=100,1,0)</x:f>
        <x:v>0</x:v>
      </x:c>
    </x:row>
    <x:row r="104" ht="15" hidden="0" customHeight="1">
      <x:c r="A104" s="1" t="str">
        <x:f>IF('Raw properties'!A104="","",'Raw properties'!A104)</x:f>
        <x:v>se736e5</x:v>
      </x:c>
      <x:c r="B104" s="1" t="str">
        <x:f>IF('Raw properties'!D104="","",'Raw properties'!D104)</x:f>
        <x:v>College Inn</x:v>
      </x:c>
      <x:c r="C104" s="1" t="str">
        <x:f>IF('Raw properties'!AG104="","",'Raw properties'!AG104)</x:f>
        <x:v>https://offcampus.dasa.ncsu.edu/housing/property/college-inn/se736e5</x:v>
      </x:c>
      <x:c r="D104" s="1" t="str">
        <x:v>Per bedroom</x:v>
      </x:c>
      <x:c r="E104" s="1" t="str">
        <x:v>Per bedroom</x:v>
      </x:c>
      <x:c r="F104" s="7" t="n">
        <x:f>IF('Raw properties'!I104="","",'Raw properties'!I104)</x:f>
        <x:v>35.780547</x:v>
      </x:c>
      <x:c r="G104" s="7" t="n">
        <x:f>IF('Raw properties'!J104="","",'Raw properties'!J104)</x:f>
        <x:v>-78.677473</x:v>
      </x:c>
      <x:c r="H104" s="6" t="n">
        <x:f>IF('Raw properties'!M104="","",'Raw properties'!M104)</x:f>
        <x:v>859</x:v>
      </x:c>
      <x:c r="I104" s="6" t="n">
        <x:f>IF('Raw properties'!N104="","",'Raw properties'!N104)</x:f>
        <x:v>1275</x:v>
      </x:c>
      <x:c r="J104" s="6" t="n">
        <x:f>IF((IF('Raw floorplans'!H458&gt;0,1,0)+IF('Raw floorplans'!H459&gt;0,1,0)+IF('Raw floorplans'!H460&gt;0,1,0)+IF('Raw floorplans'!H461&gt;0,1,0))=0,"",MIN(IF('Raw floorplans'!H458&gt;0,'Raw floorplans'!H458,1E99),IF('Raw floorplans'!H459&gt;0,'Raw floorplans'!H459,1E99),IF('Raw floorplans'!H460&gt;0,'Raw floorplans'!H460,1E99),IF('Raw floorplans'!H461&gt;0,'Raw floorplans'!H461,1E99)))</x:f>
        <x:v>859</x:v>
      </x:c>
      <x:c r="K104" s="6" t="n">
        <x:f>IF((IF('Raw floorplans'!I458&gt;0,1,0)+IF('Raw floorplans'!I459&gt;0,1,0)+IF('Raw floorplans'!I460&gt;0,1,0)+IF('Raw floorplans'!I461&gt;0,1,0))=0,"",MAX(IF('Raw floorplans'!I458&gt;0,'Raw floorplans'!I458,0),IF('Raw floorplans'!I459&gt;0,'Raw floorplans'!I459,0),IF('Raw floorplans'!I460&gt;0,'Raw floorplans'!I460,0),IF('Raw floorplans'!I461&gt;0,'Raw floorplans'!I461,0)))</x:f>
        <x:v>1275</x:v>
      </x:c>
      <x:c r="L104" s="1" t="n">
        <x:v>0</x:v>
      </x:c>
      <x:c r="M104" s="1" t="n">
        <x:f>IF(AND(ISNUMBER(H104),ISNUMBER(I104),ISNUMBER(J104),ISNUMBER(K104),H104&gt;0,I104&gt;0),IF(OR(H104&lt;&gt;J104,I104&lt;&gt;K104),1,0),0)</x:f>
        <x:v>0</x:v>
      </x:c>
      <x:c r="N104" s="1" t="n">
        <x:f>IF(AND(ISNUMBER(H104),ISNUMBER(I104),H104&gt;0,I104&gt;=H104),1,0)</x:f>
        <x:v>1</x:v>
      </x:c>
      <x:c r="O104" s="1" t="n">
        <x:f>IF(AND(L104=0,M104=0,N104=1),1,0)</x:f>
        <x:v>1</x:v>
      </x:c>
      <x:c r="P104" s="7" t="n">
        <x:f>2*3958.7613*ASIN(SQRT(SIN(RADIANS(F104-35.77951)/2)^2+COS(RADIANS(35.77951))*COS(RADIANS(F104))*SIN(RADIANS(G104-(-78.68168))/2)^2))</x:f>
        <x:v>0.24646077748945333</x:v>
      </x:c>
      <x:c r="Q104" s="1" t="str">
        <x:f>IF(P104&lt;=1,"0–1 mi",IF(P104&lt;=3,"&gt;1–3 mi",IF(P104&lt;=5,"&gt;3–5 mi","Outside 5 mi")))</x:f>
        <x:v>0–1 mi</x:v>
      </x:c>
      <x:c r="R104" s="7" t="n">
        <x:f>2*3958.7613*ASIN(SQRT(SIN(RADIANS(F104-35.7687)/2)^2+COS(RADIANS(35.7687))*COS(RADIANS(F104))*SIN(RADIANS(G104-(-78.6775))/2)^2))</x:f>
        <x:v>0.8185511340277507</x:v>
      </x:c>
      <x:c r="S104" s="1" t="str">
        <x:f>IF(R104&lt;=1,"0–1 mi",IF(R104&lt;=3,"&gt;1–3 mi",IF(R104&lt;=5,"&gt;3–5 mi","Outside 5 mi")))</x:f>
        <x:v>0–1 mi</x:v>
      </x:c>
      <x:c r="T104" s="7" t="n">
        <x:f>2*3958.7613*ASIN(SQRT(SIN(RADIANS(F104-35.79847)/2)^2+COS(RADIANS(35.79847))*COS(RADIANS(F104))*SIN(RADIANS(G104-(-78.70408))/2)^2))</x:f>
        <x:v>1.9383779540204253</x:v>
      </x:c>
      <x:c r="U104" s="1" t="str">
        <x:f>IF(T104&lt;=1,"0–1 mi",IF(T104&lt;=3,"&gt;1–3 mi",IF(T104&lt;=5,"&gt;3–5 mi","Outside 5 mi")))</x:f>
        <x:v>&gt;1–3 mi</x:v>
      </x:c>
      <x:c r="V104" s="1" t="n">
        <x:f>IF(MIN(P104,R104,T104)&lt;=5,1,0)</x:f>
        <x:v>1</x:v>
      </x:c>
      <x:c r="W104" s="6" t="n">
        <x:f>IF(O104=1,(H104+I104)/2,"")</x:f>
        <x:v>1067</x:v>
      </x:c>
      <x:c r="X104" s="1" t="n">
        <x:f>O104*V104</x:f>
        <x:v>1</x:v>
      </x:c>
      <x:c r="Y104" s="1" t="n">
        <x:v>0</x:v>
      </x:c>
      <x:c r="Z104" s="1" t="n">
        <x:v>0</x:v>
      </x:c>
      <x:c r="AA104" s="1" t="n">
        <x:v>0</x:v>
      </x:c>
      <x:c r="AB104" s="1" t="n">
        <x:v>1</x:v>
      </x:c>
      <x:c r="AC104" s="1" t="n">
        <x:v>0</x:v>
      </x:c>
      <x:c r="AD104" s="1" t="str">
        <x:f>IF('Raw properties'!Y104="","",'Raw properties'!Y104)</x:f>
        <x:v>11 Month Lease</x:v>
      </x:c>
      <x:c r="AE104" s="1" t="str">
        <x:v>2026-08-12</x:v>
      </x:c>
      <x:c r="AF104" s="1" t="str">
        <x:v>Included in rent means</x:v>
      </x:c>
      <x:c r="AG104" s="5" t="str">
        <x:v>Source pricing flag retained; automated consistency checks passed. This is not independent landlord verification.</x:v>
      </x:c>
      <x:c r="AH104" s="1" t="str">
        <x:v>$859 - $1,275</x:v>
      </x:c>
      <x:c r="AI104" s="8" t="n">
        <x:f>MIN(ABS(P104-1),ABS(P104-3),ABS(P104-5))*5280</x:f>
        <x:v>3978.687094855686</x:v>
      </x:c>
      <x:c r="AJ104" s="8" t="n">
        <x:f>MIN(ABS(R104-1),ABS(R104-3),ABS(R104-5))*5280</x:f>
        <x:v>958.0500123334763</x:v>
      </x:c>
      <x:c r="AK104" s="8" t="n">
        <x:f>MIN(ABS(T104-1),ABS(T104-3),ABS(T104-5))*5280</x:f>
        <x:v>4954.635597227846</x:v>
      </x:c>
      <x:c r="AL104" s="1" t="n">
        <x:f>IF(MIN(AI104,AJ104,AK104)&lt;=100,1,0)</x:f>
        <x:v>0</x:v>
      </x:c>
    </x:row>
    <x:row r="105" ht="15" hidden="0" customHeight="1">
      <x:c r="A105" s="1" t="str">
        <x:f>IF('Raw properties'!A105="","",'Raw properties'!A105)</x:f>
        <x:v>ocp0gch9g2</x:v>
      </x:c>
      <x:c r="B105" s="1" t="str">
        <x:f>IF('Raw properties'!D105="","",'Raw properties'!D105)</x:f>
        <x:v>Quiet Furnished Room in Cary – Private Bath, Storage, Driveway Access, Near Bus 3</x:v>
      </x:c>
      <x:c r="C105" s="1" t="str">
        <x:f>IF('Raw properties'!AG105="","",'Raw properties'!AG105)</x:f>
        <x:v>https://offcampus.dasa.ncsu.edu/housing/property/quiet-furnished-room-in-cary-private-bath-storage-driveway-access-near-bus-3/ocp0gch9g2</x:v>
      </x:c>
      <x:c r="D105" s="1" t="str">
        <x:v>Per bedroom</x:v>
      </x:c>
      <x:c r="E105" s="1" t="str">
        <x:v>Per bedroom</x:v>
      </x:c>
      <x:c r="F105" s="7" t="n">
        <x:f>IF('Raw properties'!I105="","",'Raw properties'!I105)</x:f>
        <x:v>35.80786</x:v>
      </x:c>
      <x:c r="G105" s="7" t="n">
        <x:f>IF('Raw properties'!J105="","",'Raw properties'!J105)</x:f>
        <x:v>-78.784612</x:v>
      </x:c>
      <x:c r="H105" s="6" t="n">
        <x:f>IF('Raw properties'!M105="","",'Raw properties'!M105)</x:f>
        <x:v>950</x:v>
      </x:c>
      <x:c r="I105" s="6" t="n">
        <x:f>IF('Raw properties'!N105="","",'Raw properties'!N105)</x:f>
        <x:v>950</x:v>
      </x:c>
      <x:c r="J105" s="6" t="n">
        <x:f>IF((IF('Raw floorplans'!H462&gt;0,1,0))=0,"",MIN(IF('Raw floorplans'!H462&gt;0,'Raw floorplans'!H462,1E99)))</x:f>
        <x:v>950</x:v>
      </x:c>
      <x:c r="K105" s="6" t="n">
        <x:f>IF((IF('Raw floorplans'!I462&gt;0,1,0))=0,"",MAX(IF('Raw floorplans'!I462&gt;0,'Raw floorplans'!I462,0)))</x:f>
        <x:v>950</x:v>
      </x:c>
      <x:c r="L105" s="1" t="n">
        <x:v>0</x:v>
      </x:c>
      <x:c r="M105" s="1" t="n">
        <x:f>IF(AND(ISNUMBER(H105),ISNUMBER(I105),ISNUMBER(J105),ISNUMBER(K105),H105&gt;0,I105&gt;0),IF(OR(H105&lt;&gt;J105,I105&lt;&gt;K105),1,0),0)</x:f>
        <x:v>0</x:v>
      </x:c>
      <x:c r="N105" s="1" t="n">
        <x:f>IF(AND(ISNUMBER(H105),ISNUMBER(I105),H105&gt;0,I105&gt;=H105),1,0)</x:f>
        <x:v>1</x:v>
      </x:c>
      <x:c r="O105" s="1" t="n">
        <x:f>IF(AND(L105=0,M105=0,N105=1),1,0)</x:f>
        <x:v>1</x:v>
      </x:c>
      <x:c r="P105" s="7" t="n">
        <x:f>2*3958.7613*ASIN(SQRT(SIN(RADIANS(F105-35.77951)/2)^2+COS(RADIANS(35.77951))*COS(RADIANS(F105))*SIN(RADIANS(G105-(-78.68168))/2)^2))</x:f>
        <x:v>6.092174083786612</x:v>
      </x:c>
      <x:c r="Q105" s="1" t="str">
        <x:f>IF(P105&lt;=1,"0–1 mi",IF(P105&lt;=3,"&gt;1–3 mi",IF(P105&lt;=5,"&gt;3–5 mi","Outside 5 mi")))</x:f>
        <x:v>Outside 5 mi</x:v>
      </x:c>
      <x:c r="R105" s="7" t="n">
        <x:f>2*3958.7613*ASIN(SQRT(SIN(RADIANS(F105-35.7687)/2)^2+COS(RADIANS(35.7687))*COS(RADIANS(F105))*SIN(RADIANS(G105-(-78.6775))/2)^2))</x:f>
        <x:v>6.5849104781242564</x:v>
      </x:c>
      <x:c r="S105" s="1" t="str">
        <x:f>IF(R105&lt;=1,"0–1 mi",IF(R105&lt;=3,"&gt;1–3 mi",IF(R105&lt;=5,"&gt;3–5 mi","Outside 5 mi")))</x:f>
        <x:v>Outside 5 mi</x:v>
      </x:c>
      <x:c r="T105" s="7" t="n">
        <x:f>2*3958.7613*ASIN(SQRT(SIN(RADIANS(F105-35.79847)/2)^2+COS(RADIANS(35.79847))*COS(RADIANS(F105))*SIN(RADIANS(G105-(-78.70408))/2)^2))</x:f>
        <x:v>4.559165266395627</x:v>
      </x:c>
      <x:c r="U105" s="1" t="str">
        <x:f>IF(T105&lt;=1,"0–1 mi",IF(T105&lt;=3,"&gt;1–3 mi",IF(T105&lt;=5,"&gt;3–5 mi","Outside 5 mi")))</x:f>
        <x:v>&gt;3–5 mi</x:v>
      </x:c>
      <x:c r="V105" s="1" t="n">
        <x:f>IF(MIN(P105,R105,T105)&lt;=5,1,0)</x:f>
        <x:v>1</x:v>
      </x:c>
      <x:c r="W105" s="6" t="n">
        <x:f>IF(O105=1,(H105+I105)/2,"")</x:f>
        <x:v>950</x:v>
      </x:c>
      <x:c r="X105" s="1" t="n">
        <x:f>O105*V105</x:f>
        <x:v>1</x:v>
      </x:c>
      <x:c r="Y105" s="1" t="n">
        <x:v>0</x:v>
      </x:c>
      <x:c r="Z105" s="1" t="n">
        <x:v>0</x:v>
      </x:c>
      <x:c r="AA105" s="1" t="n">
        <x:v>0</x:v>
      </x:c>
      <x:c r="AB105" s="1" t="n">
        <x:v>0</x:v>
      </x:c>
      <x:c r="AC105" s="1" t="n">
        <x:v>0</x:v>
      </x:c>
      <x:c r="AD105" s="1" t="str">
        <x:f>IF('Raw properties'!Y105="","",'Raw properties'!Y105)</x:f>
        <x:v>1 Month Lease</x:v>
      </x:c>
      <x:c r="AE105" s="1" t="str">
        <x:v>2026-09-01</x:v>
      </x:c>
      <x:c r="AF105" s="1" t="str">
        <x:v>Included in rent means</x:v>
      </x:c>
      <x:c r="AG105" s="5" t="str">
        <x:v>Source pricing flag retained; automated consistency checks passed. This is not independent landlord verification.</x:v>
      </x:c>
      <x:c r="AH105" s="1" t="str">
        <x:v>$950</x:v>
      </x:c>
      <x:c r="AI105" s="8" t="n">
        <x:f>MIN(ABS(P105-1),ABS(P105-3),ABS(P105-5))*5280</x:f>
        <x:v>5766.679162393313</x:v>
      </x:c>
      <x:c r="AJ105" s="8" t="n">
        <x:f>MIN(ABS(R105-1),ABS(R105-3),ABS(R105-5))*5280</x:f>
        <x:v>8368.327324496075</x:v>
      </x:c>
      <x:c r="AK105" s="8" t="n">
        <x:f>MIN(ABS(T105-1),ABS(T105-3),ABS(T105-5))*5280</x:f>
        <x:v>2327.6073934310916</x:v>
      </x:c>
      <x:c r="AL105" s="1" t="n">
        <x:f>IF(MIN(AI105,AJ105,AK105)&lt;=100,1,0)</x:f>
        <x:v>0</x:v>
      </x:c>
    </x:row>
    <x:row r="106" ht="36" hidden="0" customHeight="1">
      <x:c r="A106" s="1" t="str">
        <x:f>IF('Raw properties'!A106="","",'Raw properties'!A106)</x:f>
        <x:v>r2tht53</x:v>
      </x:c>
      <x:c r="B106" s="1" t="str">
        <x:f>IF('Raw properties'!D106="","",'Raw properties'!D106)</x:f>
        <x:v>Room in House on Tall Rock Ct</x:v>
      </x:c>
      <x:c r="C106" s="1" t="str">
        <x:f>IF('Raw properties'!AG106="","",'Raw properties'!AG106)</x:f>
        <x:v>https://offcampus.dasa.ncsu.edu/housing/property/room-in-house-on-tall-rock-ct/r2tht53</x:v>
      </x:c>
      <x:c r="D106" s="1" t="str">
        <x:v>Whole unit</x:v>
      </x:c>
      <x:c r="E106" s="1" t="str">
        <x:v>Per bedroom</x:v>
      </x:c>
      <x:c r="F106" s="7" t="n">
        <x:f>IF('Raw properties'!I106="","",'Raw properties'!I106)</x:f>
        <x:v>35.782077</x:v>
      </x:c>
      <x:c r="G106" s="7" t="n">
        <x:f>IF('Raw properties'!J106="","",'Raw properties'!J106)</x:f>
        <x:v>-78.597471</x:v>
      </x:c>
      <x:c r="H106" s="6" t="n">
        <x:f>IF('Raw properties'!M106="","",'Raw properties'!M106)</x:f>
        <x:v>900</x:v>
      </x:c>
      <x:c r="I106" s="6" t="n">
        <x:f>IF('Raw properties'!N106="","",'Raw properties'!N106)</x:f>
        <x:v>900</x:v>
      </x:c>
      <x:c r="J106" s="6" t="n">
        <x:f>IF((IF('Raw floorplans'!H463&gt;0,1,0))=0,"",MIN(IF('Raw floorplans'!H463&gt;0,'Raw floorplans'!H463,1E99)))</x:f>
        <x:v>825</x:v>
      </x:c>
      <x:c r="K106" s="6" t="n">
        <x:f>IF((IF('Raw floorplans'!I463&gt;0,1,0))=0,"",MAX(IF('Raw floorplans'!I463&gt;0,'Raw floorplans'!I463,0)))</x:f>
        <x:v>825</x:v>
      </x:c>
      <x:c r="L106" s="1" t="n">
        <x:v>0</x:v>
      </x:c>
      <x:c r="M106" s="1" t="n">
        <x:f>IF(AND(ISNUMBER(H106),ISNUMBER(I106),ISNUMBER(J106),ISNUMBER(K106),H106&gt;0,I106&gt;0),IF(OR(H106&lt;&gt;J106,I106&lt;&gt;K106),1,0),0)</x:f>
        <x:v>1</x:v>
      </x:c>
      <x:c r="N106" s="1" t="n">
        <x:f>IF(AND(ISNUMBER(H106),ISNUMBER(I106),H106&gt;0,I106&gt;=H106),1,0)</x:f>
        <x:v>1</x:v>
      </x:c>
      <x:c r="O106" s="1" t="n">
        <x:f>IF(AND(L106=0,M106=0,N106=1),1,0)</x:f>
        <x:v>0</x:v>
      </x:c>
      <x:c r="P106" s="7" t="n">
        <x:f>2*3958.7613*ASIN(SQRT(SIN(RADIANS(F106-35.77951)/2)^2+COS(RADIANS(35.77951))*COS(RADIANS(F106))*SIN(RADIANS(G106-(-78.68168))/2)^2))</x:f>
        <x:v>4.72347423280327</x:v>
      </x:c>
      <x:c r="Q106" s="1" t="str">
        <x:f>IF(P106&lt;=1,"0–1 mi",IF(P106&lt;=3,"&gt;1–3 mi",IF(P106&lt;=5,"&gt;3–5 mi","Outside 5 mi")))</x:f>
        <x:v>&gt;3–5 mi</x:v>
      </x:c>
      <x:c r="R106" s="7" t="n">
        <x:f>2*3958.7613*ASIN(SQRT(SIN(RADIANS(F106-35.7687)/2)^2+COS(RADIANS(35.7687))*COS(RADIANS(F106))*SIN(RADIANS(G106-(-78.6775))/2)^2))</x:f>
        <x:v>4.580369312855156</x:v>
      </x:c>
      <x:c r="S106" s="1" t="str">
        <x:f>IF(R106&lt;=1,"0–1 mi",IF(R106&lt;=3,"&gt;1–3 mi",IF(R106&lt;=5,"&gt;3–5 mi","Outside 5 mi")))</x:f>
        <x:v>&gt;3–5 mi</x:v>
      </x:c>
      <x:c r="T106" s="7" t="n">
        <x:f>2*3958.7613*ASIN(SQRT(SIN(RADIANS(F106-35.79847)/2)^2+COS(RADIANS(35.79847))*COS(RADIANS(F106))*SIN(RADIANS(G106-(-78.70408))/2)^2))</x:f>
        <x:v>6.081418466849754</x:v>
      </x:c>
      <x:c r="U106" s="1" t="str">
        <x:f>IF(T106&lt;=1,"0–1 mi",IF(T106&lt;=3,"&gt;1–3 mi",IF(T106&lt;=5,"&gt;3–5 mi","Outside 5 mi")))</x:f>
        <x:v>Outside 5 mi</x:v>
      </x:c>
      <x:c r="V106" s="1" t="n">
        <x:f>IF(MIN(P106,R106,T106)&lt;=5,1,0)</x:f>
        <x:v>1</x:v>
      </x:c>
      <x:c r="W106" s="6" t="str">
        <x:f>IF(O106=1,(H106+I106)/2,"")</x:f>
      </x:c>
      <x:c r="X106" s="1" t="n">
        <x:f>O106*V106</x:f>
        <x:v>0</x:v>
      </x:c>
      <x:c r="Y106" s="1" t="n">
        <x:v>0</x:v>
      </x:c>
      <x:c r="Z106" s="1" t="n">
        <x:v>0</x:v>
      </x:c>
      <x:c r="AA106" s="1" t="n">
        <x:v>0</x:v>
      </x:c>
      <x:c r="AB106" s="1" t="n">
        <x:v>0</x:v>
      </x:c>
      <x:c r="AC106" s="1" t="n">
        <x:v>0</x:v>
      </x:c>
      <x:c r="AD106" s="1" t="str">
        <x:f>IF('Raw properties'!Y106="","",'Raw properties'!Y106)</x:f>
      </x:c>
      <x:c r="AE106" s="1" t="str">
        <x:v>2026-09-09</x:v>
      </x:c>
      <x:c r="AF106" s="1" t="str">
        <x:v>Excluded from rent means</x:v>
      </x:c>
      <x:c r="AG106" s="5" t="str">
        <x:v>Saved September 9 title explicitly offers a room. Reclassified from whole unit to room/per-bedroom; snapshot price unchanged. Search summary: $900–$900; saved floor-plan envelope: $825–$825. Difference may reflect fees, timing or scope; unresolved snapshot price excluded.</x:v>
      </x:c>
      <x:c r="AH106" s="1" t="str">
        <x:v>$900</x:v>
      </x:c>
      <x:c r="AI106" s="8" t="n">
        <x:f>MIN(ABS(P106-1),ABS(P106-3),ABS(P106-5))*5280</x:f>
        <x:v>1460.0560507987323</x:v>
      </x:c>
      <x:c r="AJ106" s="8" t="n">
        <x:f>MIN(ABS(R106-1),ABS(R106-3),ABS(R106-5))*5280</x:f>
        <x:v>2215.6500281247754</x:v>
      </x:c>
      <x:c r="AK106" s="8" t="n">
        <x:f>MIN(ABS(T106-1),ABS(T106-3),ABS(T106-5))*5280</x:f>
        <x:v>5709.8895049667</x:v>
      </x:c>
      <x:c r="AL106" s="1" t="n">
        <x:f>IF(MIN(AI106,AJ106,AK106)&lt;=100,1,0)</x:f>
        <x:v>0</x:v>
      </x:c>
    </x:row>
    <x:row r="107" ht="15" hidden="0" customHeight="1">
      <x:c r="A107" s="1" t="str">
        <x:f>IF('Raw properties'!A107="","",'Raw properties'!A107)</x:f>
        <x:v>ocp1ddchy6</x:v>
      </x:c>
      <x:c r="B107" s="1" t="str">
        <x:f>IF('Raw properties'!D107="","",'Raw properties'!D107)</x:f>
        <x:v>Village Green</x:v>
      </x:c>
      <x:c r="C107" s="1" t="str">
        <x:f>IF('Raw properties'!AG107="","",'Raw properties'!AG107)</x:f>
        <x:v>https://offcampus.dasa.ncsu.edu/housing/property/village-green/ocp1ddchy6</x:v>
      </x:c>
      <x:c r="D107" s="1" t="str">
        <x:v>Per bedroom</x:v>
      </x:c>
      <x:c r="E107" s="1" t="str">
        <x:v>Per bedroom</x:v>
      </x:c>
      <x:c r="F107" s="7" t="n">
        <x:f>IF('Raw properties'!I107="","",'Raw properties'!I107)</x:f>
        <x:v>35.75371</x:v>
      </x:c>
      <x:c r="G107" s="7" t="n">
        <x:f>IF('Raw properties'!J107="","",'Raw properties'!J107)</x:f>
        <x:v>-78.66687</x:v>
      </x:c>
      <x:c r="H107" s="6" t="n">
        <x:f>IF('Raw properties'!M107="","",'Raw properties'!M107)</x:f>
        <x:v>930</x:v>
      </x:c>
      <x:c r="I107" s="6" t="n">
        <x:f>IF('Raw properties'!N107="","",'Raw properties'!N107)</x:f>
        <x:v>930</x:v>
      </x:c>
      <x:c r="J107" s="6" t="n">
        <x:f>IF((IF('Raw floorplans'!H464&gt;0,1,0))=0,"",MIN(IF('Raw floorplans'!H464&gt;0,'Raw floorplans'!H464,1E99)))</x:f>
        <x:v>930</x:v>
      </x:c>
      <x:c r="K107" s="6" t="n">
        <x:f>IF((IF('Raw floorplans'!I464&gt;0,1,0))=0,"",MAX(IF('Raw floorplans'!I464&gt;0,'Raw floorplans'!I464,0)))</x:f>
        <x:v>930</x:v>
      </x:c>
      <x:c r="L107" s="1" t="n">
        <x:v>0</x:v>
      </x:c>
      <x:c r="M107" s="1" t="n">
        <x:f>IF(AND(ISNUMBER(H107),ISNUMBER(I107),ISNUMBER(J107),ISNUMBER(K107),H107&gt;0,I107&gt;0),IF(OR(H107&lt;&gt;J107,I107&lt;&gt;K107),1,0),0)</x:f>
        <x:v>0</x:v>
      </x:c>
      <x:c r="N107" s="1" t="n">
        <x:f>IF(AND(ISNUMBER(H107),ISNUMBER(I107),H107&gt;0,I107&gt;=H107),1,0)</x:f>
        <x:v>1</x:v>
      </x:c>
      <x:c r="O107" s="1" t="n">
        <x:f>IF(AND(L107=0,M107=0,N107=1),1,0)</x:f>
        <x:v>1</x:v>
      </x:c>
      <x:c r="P107" s="7" t="n">
        <x:f>2*3958.7613*ASIN(SQRT(SIN(RADIANS(F107-35.77951)/2)^2+COS(RADIANS(35.77951))*COS(RADIANS(F107))*SIN(RADIANS(G107-(-78.68168))/2)^2))</x:f>
        <x:v>1.9664889182919338</x:v>
      </x:c>
      <x:c r="Q107" s="1" t="str">
        <x:f>IF(P107&lt;=1,"0–1 mi",IF(P107&lt;=3,"&gt;1–3 mi",IF(P107&lt;=5,"&gt;3–5 mi","Outside 5 mi")))</x:f>
        <x:v>&gt;1–3 mi</x:v>
      </x:c>
      <x:c r="R107" s="7" t="n">
        <x:f>2*3958.7613*ASIN(SQRT(SIN(RADIANS(F107-35.7687)/2)^2+COS(RADIANS(35.7687))*COS(RADIANS(F107))*SIN(RADIANS(G107-(-78.6775))/2)^2))</x:f>
        <x:v>1.1949462867655392</x:v>
      </x:c>
      <x:c r="S107" s="1" t="str">
        <x:f>IF(R107&lt;=1,"0–1 mi",IF(R107&lt;=3,"&gt;1–3 mi",IF(R107&lt;=5,"&gt;3–5 mi","Outside 5 mi")))</x:f>
        <x:v>&gt;1–3 mi</x:v>
      </x:c>
      <x:c r="T107" s="7" t="n">
        <x:f>2*3958.7613*ASIN(SQRT(SIN(RADIANS(F107-35.79847)/2)^2+COS(RADIANS(35.79847))*COS(RADIANS(F107))*SIN(RADIANS(G107-(-78.70408))/2)^2))</x:f>
        <x:v>3.7302890135602795</x:v>
      </x:c>
      <x:c r="U107" s="1" t="str">
        <x:f>IF(T107&lt;=1,"0–1 mi",IF(T107&lt;=3,"&gt;1–3 mi",IF(T107&lt;=5,"&gt;3–5 mi","Outside 5 mi")))</x:f>
        <x:v>&gt;3–5 mi</x:v>
      </x:c>
      <x:c r="V107" s="1" t="n">
        <x:f>IF(MIN(P107,R107,T107)&lt;=5,1,0)</x:f>
        <x:v>1</x:v>
      </x:c>
      <x:c r="W107" s="6" t="n">
        <x:f>IF(O107=1,(H107+I107)/2,"")</x:f>
        <x:v>930</x:v>
      </x:c>
      <x:c r="X107" s="1" t="n">
        <x:f>O107*V107</x:f>
        <x:v>1</x:v>
      </x:c>
      <x:c r="Y107" s="1" t="n">
        <x:v>1</x:v>
      </x:c>
      <x:c r="Z107" s="1" t="n">
        <x:v>0</x:v>
      </x:c>
      <x:c r="AA107" s="1" t="n">
        <x:v>0</x:v>
      </x:c>
      <x:c r="AB107" s="1" t="n">
        <x:v>0</x:v>
      </x:c>
      <x:c r="AC107" s="1" t="n">
        <x:v>1</x:v>
      </x:c>
      <x:c r="AD107" s="1" t="str">
        <x:f>IF('Raw properties'!Y107="","",'Raw properties'!Y107)</x:f>
        <x:v>7 Month Lease</x:v>
      </x:c>
      <x:c r="AE107" s="1" t="str">
        <x:v>2027-01-08</x:v>
      </x:c>
      <x:c r="AF107" s="1" t="str">
        <x:v>Included in rent means</x:v>
      </x:c>
      <x:c r="AG107" s="5" t="str">
        <x:v>Source pricing flag retained; automated consistency checks passed. This is not independent landlord verification.</x:v>
      </x:c>
      <x:c r="AH107" s="1" t="str">
        <x:v>$930</x:v>
      </x:c>
      <x:c r="AI107" s="8" t="n">
        <x:f>MIN(ABS(P107-1),ABS(P107-3),ABS(P107-5))*5280</x:f>
        <x:v>5103.06148858141</x:v>
      </x:c>
      <x:c r="AJ107" s="8" t="n">
        <x:f>MIN(ABS(R107-1),ABS(R107-3),ABS(R107-5))*5280</x:f>
        <x:v>1029.3163941220469</x:v>
      </x:c>
      <x:c r="AK107" s="8" t="n">
        <x:f>MIN(ABS(T107-1),ABS(T107-3),ABS(T107-5))*5280</x:f>
        <x:v>3855.925991598276</x:v>
      </x:c>
      <x:c r="AL107" s="1" t="n">
        <x:f>IF(MIN(AI107,AJ107,AK107)&lt;=100,1,0)</x:f>
        <x:v>0</x:v>
      </x:c>
    </x:row>
    <x:row r="108" ht="36" hidden="0" customHeight="1">
      <x:c r="A108" s="1" t="str">
        <x:f>IF('Raw properties'!A108="","",'Raw properties'!A108)</x:f>
        <x:v>r66ecw0</x:v>
      </x:c>
      <x:c r="B108" s="1" t="str">
        <x:f>IF('Raw properties'!D108="","",'Raw properties'!D108)</x:f>
        <x:v>Room in Duplex on Bragg St</x:v>
      </x:c>
      <x:c r="C108" s="1" t="str">
        <x:f>IF('Raw properties'!AG108="","",'Raw properties'!AG108)</x:f>
        <x:v>https://offcampus.dasa.ncsu.edu/housing/property/room-in-duplex-on-bragg-st/r66ecw0</x:v>
      </x:c>
      <x:c r="D108" s="1" t="str">
        <x:v>Whole unit</x:v>
      </x:c>
      <x:c r="E108" s="1" t="str">
        <x:v>Per bedroom</x:v>
      </x:c>
      <x:c r="F108" s="7" t="n">
        <x:f>IF('Raw properties'!I108="","",'Raw properties'!I108)</x:f>
        <x:v>35.765736</x:v>
      </x:c>
      <x:c r="G108" s="7" t="n">
        <x:f>IF('Raw properties'!J108="","",'Raw properties'!J108)</x:f>
        <x:v>-78.623853</x:v>
      </x:c>
      <x:c r="H108" s="6" t="n">
        <x:f>IF('Raw properties'!M108="","",'Raw properties'!M108)</x:f>
        <x:v>640</x:v>
      </x:c>
      <x:c r="I108" s="6" t="n">
        <x:f>IF('Raw properties'!N108="","",'Raw properties'!N108)</x:f>
        <x:v>640</x:v>
      </x:c>
      <x:c r="J108" s="6" t="n">
        <x:f>IF((IF('Raw floorplans'!H465&gt;0,1,0))=0,"",MIN(IF('Raw floorplans'!H465&gt;0,'Raw floorplans'!H465,1E99)))</x:f>
        <x:v>630</x:v>
      </x:c>
      <x:c r="K108" s="6" t="n">
        <x:f>IF((IF('Raw floorplans'!I465&gt;0,1,0))=0,"",MAX(IF('Raw floorplans'!I465&gt;0,'Raw floorplans'!I465,0)))</x:f>
        <x:v>630</x:v>
      </x:c>
      <x:c r="L108" s="1" t="n">
        <x:v>0</x:v>
      </x:c>
      <x:c r="M108" s="1" t="n">
        <x:f>IF(AND(ISNUMBER(H108),ISNUMBER(I108),ISNUMBER(J108),ISNUMBER(K108),H108&gt;0,I108&gt;0),IF(OR(H108&lt;&gt;J108,I108&lt;&gt;K108),1,0),0)</x:f>
        <x:v>1</x:v>
      </x:c>
      <x:c r="N108" s="1" t="n">
        <x:f>IF(AND(ISNUMBER(H108),ISNUMBER(I108),H108&gt;0,I108&gt;=H108),1,0)</x:f>
        <x:v>1</x:v>
      </x:c>
      <x:c r="O108" s="1" t="n">
        <x:f>IF(AND(L108=0,M108=0,N108=1),1,0)</x:f>
        <x:v>0</x:v>
      </x:c>
      <x:c r="P108" s="7" t="n">
        <x:f>2*3958.7613*ASIN(SQRT(SIN(RADIANS(F108-35.77951)/2)^2+COS(RADIANS(35.77951))*COS(RADIANS(F108))*SIN(RADIANS(G108-(-78.68168))/2)^2))</x:f>
        <x:v>3.3785049961728344</x:v>
      </x:c>
      <x:c r="Q108" s="1" t="str">
        <x:f>IF(P108&lt;=1,"0–1 mi",IF(P108&lt;=3,"&gt;1–3 mi",IF(P108&lt;=5,"&gt;3–5 mi","Outside 5 mi")))</x:f>
        <x:v>&gt;3–5 mi</x:v>
      </x:c>
      <x:c r="R108" s="7" t="n">
        <x:f>2*3958.7613*ASIN(SQRT(SIN(RADIANS(F108-35.7687)/2)^2+COS(RADIANS(35.7687))*COS(RADIANS(F108))*SIN(RADIANS(G108-(-78.6775))/2)^2))</x:f>
        <x:v>3.014537865111584</x:v>
      </x:c>
      <x:c r="S108" s="1" t="str">
        <x:f>IF(R108&lt;=1,"0–1 mi",IF(R108&lt;=3,"&gt;1–3 mi",IF(R108&lt;=5,"&gt;3–5 mi","Outside 5 mi")))</x:f>
        <x:v>&gt;3–5 mi</x:v>
      </x:c>
      <x:c r="T108" s="7" t="n">
        <x:f>2*3958.7613*ASIN(SQRT(SIN(RADIANS(F108-35.79847)/2)^2+COS(RADIANS(35.79847))*COS(RADIANS(F108))*SIN(RADIANS(G108-(-78.70408))/2)^2))</x:f>
        <x:v>5.033598888776164</x:v>
      </x:c>
      <x:c r="U108" s="1" t="str">
        <x:f>IF(T108&lt;=1,"0–1 mi",IF(T108&lt;=3,"&gt;1–3 mi",IF(T108&lt;=5,"&gt;3–5 mi","Outside 5 mi")))</x:f>
        <x:v>Outside 5 mi</x:v>
      </x:c>
      <x:c r="V108" s="1" t="n">
        <x:f>IF(MIN(P108,R108,T108)&lt;=5,1,0)</x:f>
        <x:v>1</x:v>
      </x:c>
      <x:c r="W108" s="6" t="str">
        <x:f>IF(O108=1,(H108+I108)/2,"")</x:f>
      </x:c>
      <x:c r="X108" s="1" t="n">
        <x:f>O108*V108</x:f>
        <x:v>0</x:v>
      </x:c>
      <x:c r="Y108" s="1" t="n">
        <x:v>0</x:v>
      </x:c>
      <x:c r="Z108" s="1" t="n">
        <x:v>0</x:v>
      </x:c>
      <x:c r="AA108" s="1" t="n">
        <x:v>0</x:v>
      </x:c>
      <x:c r="AB108" s="1" t="n">
        <x:v>0</x:v>
      </x:c>
      <x:c r="AC108" s="1" t="n">
        <x:v>0</x:v>
      </x:c>
      <x:c r="AD108" s="1" t="str">
        <x:f>IF('Raw properties'!Y108="","",'Raw properties'!Y108)</x:f>
      </x:c>
      <x:c r="AE108" s="1" t="str">
        <x:v>2026-09-09</x:v>
      </x:c>
      <x:c r="AF108" s="1" t="str">
        <x:v>Excluded from rent means</x:v>
      </x:c>
      <x:c r="AG108" s="5" t="str">
        <x:v>Saved September 9 title explicitly offers a room. Reclassified from whole unit to room/per-bedroom; snapshot price unchanged. Search summary: $640–$640; saved floor-plan envelope: $630–$630. Difference may reflect fees, timing or scope; unresolved snapshot price excluded.</x:v>
      </x:c>
      <x:c r="AH108" s="1" t="str">
        <x:v>$640</x:v>
      </x:c>
      <x:c r="AI108" s="8" t="n">
        <x:f>MIN(ABS(P108-1),ABS(P108-3),ABS(P108-5))*5280</x:f>
        <x:v>1998.5063797925657</x:v>
      </x:c>
      <x:c r="AJ108" s="8" t="n">
        <x:f>MIN(ABS(R108-1),ABS(R108-3),ABS(R108-5))*5280</x:f>
        <x:v>76.75992778916324</x:v>
      </x:c>
      <x:c r="AK108" s="8" t="n">
        <x:f>MIN(ABS(T108-1),ABS(T108-3),ABS(T108-5))*5280</x:f>
        <x:v>177.40213273814717</x:v>
      </x:c>
      <x:c r="AL108" s="1" t="n">
        <x:f>IF(MIN(AI108,AJ108,AK108)&lt;=100,1,0)</x:f>
        <x:v>1</x:v>
      </x:c>
    </x:row>
    <x:row r="109" ht="15" hidden="0" customHeight="1">
      <x:c r="A109" s="1" t="str">
        <x:f>IF('Raw properties'!A109="","",'Raw properties'!A109)</x:f>
        <x:v>ocpmf8tflk</x:v>
      </x:c>
      <x:c r="B109" s="1" t="str">
        <x:f>IF('Raw properties'!D109="","",'Raw properties'!D109)</x:f>
        <x:v>St. Albans Lofts in North Hills</x:v>
      </x:c>
      <x:c r="C109" s="1" t="str">
        <x:f>IF('Raw properties'!AG109="","",'Raw properties'!AG109)</x:f>
        <x:v>https://offcampus.dasa.ncsu.edu/housing/property/st-albans-lofts-in-north-hills/ocpmf8tflk</x:v>
      </x:c>
      <x:c r="D109" s="1" t="str">
        <x:v>Whole unit</x:v>
      </x:c>
      <x:c r="E109" s="1" t="str">
        <x:v>Whole unit</x:v>
      </x:c>
      <x:c r="F109" s="7" t="n">
        <x:f>IF('Raw properties'!I109="","",'Raw properties'!I109)</x:f>
        <x:v>35.833976</x:v>
      </x:c>
      <x:c r="G109" s="7" t="n">
        <x:f>IF('Raw properties'!J109="","",'Raw properties'!J109)</x:f>
        <x:v>-78.627217</x:v>
      </x:c>
      <x:c r="H109" s="6" t="n">
        <x:f>IF('Raw properties'!M109="","",'Raw properties'!M109)</x:f>
        <x:v>1330</x:v>
      </x:c>
      <x:c r="I109" s="6" t="n">
        <x:f>IF('Raw properties'!N109="","",'Raw properties'!N109)</x:f>
        <x:v>1330</x:v>
      </x:c>
      <x:c r="J109" s="6" t="n">
        <x:f>IF((IF('Raw floorplans'!H466&gt;0,1,0))=0,"",MIN(IF('Raw floorplans'!H466&gt;0,'Raw floorplans'!H466,1E99)))</x:f>
        <x:v>1330</x:v>
      </x:c>
      <x:c r="K109" s="6" t="n">
        <x:f>IF((IF('Raw floorplans'!I466&gt;0,1,0))=0,"",MAX(IF('Raw floorplans'!I466&gt;0,'Raw floorplans'!I466,0)))</x:f>
        <x:v>1330</x:v>
      </x:c>
      <x:c r="L109" s="1" t="n">
        <x:v>0</x:v>
      </x:c>
      <x:c r="M109" s="1" t="n">
        <x:f>IF(AND(ISNUMBER(H109),ISNUMBER(I109),ISNUMBER(J109),ISNUMBER(K109),H109&gt;0,I109&gt;0),IF(OR(H109&lt;&gt;J109,I109&lt;&gt;K109),1,0),0)</x:f>
        <x:v>0</x:v>
      </x:c>
      <x:c r="N109" s="1" t="n">
        <x:f>IF(AND(ISNUMBER(H109),ISNUMBER(I109),H109&gt;0,I109&gt;=H109),1,0)</x:f>
        <x:v>1</x:v>
      </x:c>
      <x:c r="O109" s="1" t="n">
        <x:f>IF(AND(L109=0,M109=0,N109=1),1,0)</x:f>
        <x:v>1</x:v>
      </x:c>
      <x:c r="P109" s="7" t="n">
        <x:f>2*3958.7613*ASIN(SQRT(SIN(RADIANS(F109-35.77951)/2)^2+COS(RADIANS(35.77951))*COS(RADIANS(F109))*SIN(RADIANS(G109-(-78.68168))/2)^2))</x:f>
        <x:v>4.845150891999716</x:v>
      </x:c>
      <x:c r="Q109" s="1" t="str">
        <x:f>IF(P109&lt;=1,"0–1 mi",IF(P109&lt;=3,"&gt;1–3 mi",IF(P109&lt;=5,"&gt;3–5 mi","Outside 5 mi")))</x:f>
        <x:v>&gt;3–5 mi</x:v>
      </x:c>
      <x:c r="R109" s="7" t="n">
        <x:f>2*3958.7613*ASIN(SQRT(SIN(RADIANS(F109-35.7687)/2)^2+COS(RADIANS(35.7687))*COS(RADIANS(F109))*SIN(RADIANS(G109-(-78.6775))/2)^2))</x:f>
        <x:v>5.318007876116578</x:v>
      </x:c>
      <x:c r="S109" s="1" t="str">
        <x:f>IF(R109&lt;=1,"0–1 mi",IF(R109&lt;=3,"&gt;1–3 mi",IF(R109&lt;=5,"&gt;3–5 mi","Outside 5 mi")))</x:f>
        <x:v>Outside 5 mi</x:v>
      </x:c>
      <x:c r="T109" s="7" t="n">
        <x:f>2*3958.7613*ASIN(SQRT(SIN(RADIANS(F109-35.79847)/2)^2+COS(RADIANS(35.79847))*COS(RADIANS(F109))*SIN(RADIANS(G109-(-78.70408))/2)^2))</x:f>
        <x:v>4.956201137305755</x:v>
      </x:c>
      <x:c r="U109" s="1" t="str">
        <x:f>IF(T109&lt;=1,"0–1 mi",IF(T109&lt;=3,"&gt;1–3 mi",IF(T109&lt;=5,"&gt;3–5 mi","Outside 5 mi")))</x:f>
        <x:v>&gt;3–5 mi</x:v>
      </x:c>
      <x:c r="V109" s="1" t="n">
        <x:f>IF(MIN(P109,R109,T109)&lt;=5,1,0)</x:f>
        <x:v>1</x:v>
      </x:c>
      <x:c r="W109" s="6" t="n">
        <x:f>IF(O109=1,(H109+I109)/2,"")</x:f>
        <x:v>1330</x:v>
      </x:c>
      <x:c r="X109" s="1" t="n">
        <x:f>O109*V109</x:f>
        <x:v>1</x:v>
      </x:c>
      <x:c r="Y109" s="1" t="n">
        <x:v>0</x:v>
      </x:c>
      <x:c r="Z109" s="1" t="n">
        <x:v>0</x:v>
      </x:c>
      <x:c r="AA109" s="1" t="n">
        <x:v>0</x:v>
      </x:c>
      <x:c r="AB109" s="1" t="n">
        <x:v>1</x:v>
      </x:c>
      <x:c r="AC109" s="1" t="n">
        <x:v>1</x:v>
      </x:c>
      <x:c r="AD109" s="1" t="str">
        <x:f>IF('Raw properties'!Y109="","",'Raw properties'!Y109)</x:f>
        <x:v>5 Month Lease</x:v>
      </x:c>
      <x:c r="AE109" s="1" t="str">
        <x:v>2026-07-15</x:v>
      </x:c>
      <x:c r="AF109" s="1" t="str">
        <x:v>Included in rent means</x:v>
      </x:c>
      <x:c r="AG109" s="5" t="str">
        <x:v>Source pricing flag retained; automated consistency checks passed. This is not independent landlord verification.</x:v>
      </x:c>
      <x:c r="AH109" s="1" t="str">
        <x:v>$1,330</x:v>
      </x:c>
      <x:c r="AI109" s="8" t="n">
        <x:f>MIN(ABS(P109-1),ABS(P109-3),ABS(P109-5))*5280</x:f>
        <x:v>817.6032902414987</x:v>
      </x:c>
      <x:c r="AJ109" s="8" t="n">
        <x:f>MIN(ABS(R109-1),ABS(R109-3),ABS(R109-5))*5280</x:f>
        <x:v>1679.0815858955325</x:v>
      </x:c>
      <x:c r="AK109" s="8" t="n">
        <x:f>MIN(ABS(T109-1),ABS(T109-3),ABS(T109-5))*5280</x:f>
        <x:v>231.25799502561208</x:v>
      </x:c>
      <x:c r="AL109" s="1" t="n">
        <x:f>IF(MIN(AI109,AJ109,AK109)&lt;=100,1,0)</x:f>
        <x:v>0</x:v>
      </x:c>
    </x:row>
    <x:row r="110" ht="15" hidden="0" customHeight="1">
      <x:c r="A110" s="1" t="str">
        <x:f>IF('Raw properties'!A110="","",'Raw properties'!A110)</x:f>
        <x:v>kf77vv8</x:v>
      </x:c>
      <x:c r="B110" s="1" t="str">
        <x:f>IF('Raw properties'!D110="","",'Raw properties'!D110)</x:f>
        <x:v>Room in Condo on Collegiate Cir</x:v>
      </x:c>
      <x:c r="C110" s="1" t="str">
        <x:f>IF('Raw properties'!AG110="","",'Raw properties'!AG110)</x:f>
        <x:v>https://offcampus.dasa.ncsu.edu/housing/property/room-in-condo-on-collegiate-cir/kf77vv8</x:v>
      </x:c>
      <x:c r="D110" s="1" t="str">
        <x:v>Whole unit</x:v>
      </x:c>
      <x:c r="E110" s="1" t="str">
        <x:v>Per bedroom</x:v>
      </x:c>
      <x:c r="F110" s="7" t="n">
        <x:f>IF('Raw properties'!I110="","",'Raw properties'!I110)</x:f>
        <x:v>35.761733</x:v>
      </x:c>
      <x:c r="G110" s="7" t="n">
        <x:f>IF('Raw properties'!J110="","",'Raw properties'!J110)</x:f>
        <x:v>-78.700809</x:v>
      </x:c>
      <x:c r="H110" s="6" t="n">
        <x:f>IF('Raw properties'!M110="","",'Raw properties'!M110)</x:f>
        <x:v>675</x:v>
      </x:c>
      <x:c r="I110" s="6" t="n">
        <x:f>IF('Raw properties'!N110="","",'Raw properties'!N110)</x:f>
        <x:v>675</x:v>
      </x:c>
      <x:c r="J110" s="6" t="n">
        <x:f>IF((IF('Raw floorplans'!H467&gt;0,1,0))=0,"",MIN(IF('Raw floorplans'!H467&gt;0,'Raw floorplans'!H467,1E99)))</x:f>
        <x:v>675</x:v>
      </x:c>
      <x:c r="K110" s="6" t="n">
        <x:f>IF((IF('Raw floorplans'!I467&gt;0,1,0))=0,"",MAX(IF('Raw floorplans'!I467&gt;0,'Raw floorplans'!I467,0)))</x:f>
        <x:v>675</x:v>
      </x:c>
      <x:c r="L110" s="1" t="n">
        <x:v>0</x:v>
      </x:c>
      <x:c r="M110" s="1" t="n">
        <x:f>IF(AND(ISNUMBER(H110),ISNUMBER(I110),ISNUMBER(J110),ISNUMBER(K110),H110&gt;0,I110&gt;0),IF(OR(H110&lt;&gt;J110,I110&lt;&gt;K110),1,0),0)</x:f>
        <x:v>0</x:v>
      </x:c>
      <x:c r="N110" s="1" t="n">
        <x:f>IF(AND(ISNUMBER(H110),ISNUMBER(I110),H110&gt;0,I110&gt;=H110),1,0)</x:f>
        <x:v>1</x:v>
      </x:c>
      <x:c r="O110" s="1" t="n">
        <x:f>IF(AND(L110=0,M110=0,N110=1),1,0)</x:f>
        <x:v>1</x:v>
      </x:c>
      <x:c r="P110" s="7" t="n">
        <x:f>2*3958.7613*ASIN(SQRT(SIN(RADIANS(F110-35.77951)/2)^2+COS(RADIANS(35.77951))*COS(RADIANS(F110))*SIN(RADIANS(G110-(-78.68168))/2)^2))</x:f>
        <x:v>1.6305314648216198</x:v>
      </x:c>
      <x:c r="Q110" s="1" t="str">
        <x:f>IF(P110&lt;=1,"0–1 mi",IF(P110&lt;=3,"&gt;1–3 mi",IF(P110&lt;=5,"&gt;3–5 mi","Outside 5 mi")))</x:f>
        <x:v>&gt;1–3 mi</x:v>
      </x:c>
      <x:c r="R110" s="7" t="n">
        <x:f>2*3958.7613*ASIN(SQRT(SIN(RADIANS(F110-35.7687)/2)^2+COS(RADIANS(35.7687))*COS(RADIANS(F110))*SIN(RADIANS(G110-(-78.6775))/2)^2))</x:f>
        <x:v>1.392629741324139</x:v>
      </x:c>
      <x:c r="S110" s="1" t="str">
        <x:f>IF(R110&lt;=1,"0–1 mi",IF(R110&lt;=3,"&gt;1–3 mi",IF(R110&lt;=5,"&gt;3–5 mi","Outside 5 mi")))</x:f>
        <x:v>&gt;1–3 mi</x:v>
      </x:c>
      <x:c r="T110" s="7" t="n">
        <x:f>2*3958.7613*ASIN(SQRT(SIN(RADIANS(F110-35.79847)/2)^2+COS(RADIANS(35.79847))*COS(RADIANS(F110))*SIN(RADIANS(G110-(-78.70408))/2)^2))</x:f>
        <x:v>2.5448983545116874</x:v>
      </x:c>
      <x:c r="U110" s="1" t="str">
        <x:f>IF(T110&lt;=1,"0–1 mi",IF(T110&lt;=3,"&gt;1–3 mi",IF(T110&lt;=5,"&gt;3–5 mi","Outside 5 mi")))</x:f>
        <x:v>&gt;1–3 mi</x:v>
      </x:c>
      <x:c r="V110" s="1" t="n">
        <x:f>IF(MIN(P110,R110,T110)&lt;=5,1,0)</x:f>
        <x:v>1</x:v>
      </x:c>
      <x:c r="W110" s="6" t="n">
        <x:f>IF(O110=1,(H110+I110)/2,"")</x:f>
        <x:v>675</x:v>
      </x:c>
      <x:c r="X110" s="1" t="n">
        <x:f>O110*V110</x:f>
        <x:v>1</x:v>
      </x:c>
      <x:c r="Y110" s="1" t="n">
        <x:v>0</x:v>
      </x:c>
      <x:c r="Z110" s="1" t="n">
        <x:v>0</x:v>
      </x:c>
      <x:c r="AA110" s="1" t="n">
        <x:v>0</x:v>
      </x:c>
      <x:c r="AB110" s="1" t="n">
        <x:v>0</x:v>
      </x:c>
      <x:c r="AC110" s="1" t="n">
        <x:v>0</x:v>
      </x:c>
      <x:c r="AD110" s="1" t="str">
        <x:f>IF('Raw properties'!Y110="","",'Raw properties'!Y110)</x:f>
      </x:c>
      <x:c r="AE110" s="1" t="str">
        <x:v>2026-09-09</x:v>
      </x:c>
      <x:c r="AF110" s="1" t="str">
        <x:v>Included in rent means</x:v>
      </x:c>
      <x:c r="AG110" s="5" t="str">
        <x:v>Saved September 9 title explicitly offers a room. Reclassified from whole unit to room/per-bedroom; snapshot price unchanged.</x:v>
      </x:c>
      <x:c r="AH110" s="1" t="str">
        <x:v>$675</x:v>
      </x:c>
      <x:c r="AI110" s="8" t="n">
        <x:f>MIN(ABS(P110-1),ABS(P110-3),ABS(P110-5))*5280</x:f>
        <x:v>3329.206134258153</x:v>
      </x:c>
      <x:c r="AJ110" s="8" t="n">
        <x:f>MIN(ABS(R110-1),ABS(R110-3),ABS(R110-5))*5280</x:f>
        <x:v>2073.0850341914543</x:v>
      </x:c>
      <x:c r="AK110" s="8" t="n">
        <x:f>MIN(ABS(T110-1),ABS(T110-3),ABS(T110-5))*5280</x:f>
        <x:v>2402.9366881782903</x:v>
      </x:c>
      <x:c r="AL110" s="1" t="n">
        <x:f>IF(MIN(AI110,AJ110,AK110)&lt;=100,1,0)</x:f>
        <x:v>0</x:v>
      </x:c>
    </x:row>
    <x:row r="111" ht="15" hidden="0" customHeight="1">
      <x:c r="A111" s="1" t="str">
        <x:f>IF('Raw properties'!A111="","",'Raw properties'!A111)</x:f>
        <x:v>ocphycq162</x:v>
      </x:c>
      <x:c r="B111" s="1" t="str">
        <x:f>IF('Raw properties'!D111="","",'Raw properties'!D111)</x:f>
        <x:v>Cozy house 10 min walk to campus</x:v>
      </x:c>
      <x:c r="C111" s="1" t="str">
        <x:f>IF('Raw properties'!AG111="","",'Raw properties'!AG111)</x:f>
        <x:v>https://offcampus.dasa.ncsu.edu/housing/property/cozy-house-10-min-walk-to-campus/ocphycq162</x:v>
      </x:c>
      <x:c r="D111" s="1" t="str">
        <x:v>Per bedroom</x:v>
      </x:c>
      <x:c r="E111" s="1" t="str">
        <x:v>Per bedroom</x:v>
      </x:c>
      <x:c r="F111" s="7" t="n">
        <x:f>IF('Raw properties'!I111="","",'Raw properties'!I111)</x:f>
        <x:v>35.792829</x:v>
      </x:c>
      <x:c r="G111" s="7" t="n">
        <x:f>IF('Raw properties'!J111="","",'Raw properties'!J111)</x:f>
        <x:v>-78.666357</x:v>
      </x:c>
      <x:c r="H111" s="6" t="n">
        <x:f>IF('Raw properties'!M111="","",'Raw properties'!M111)</x:f>
        <x:v>1500</x:v>
      </x:c>
      <x:c r="I111" s="6" t="n">
        <x:f>IF('Raw properties'!N111="","",'Raw properties'!N111)</x:f>
        <x:v>1500</x:v>
      </x:c>
      <x:c r="J111" s="6" t="n">
        <x:f>IF((IF('Raw floorplans'!H468&gt;0,1,0))=0,"",MIN(IF('Raw floorplans'!H468&gt;0,'Raw floorplans'!H468,1E99)))</x:f>
        <x:v>1500</x:v>
      </x:c>
      <x:c r="K111" s="6" t="n">
        <x:f>IF((IF('Raw floorplans'!I468&gt;0,1,0))=0,"",MAX(IF('Raw floorplans'!I468&gt;0,'Raw floorplans'!I468,0)))</x:f>
        <x:v>1500</x:v>
      </x:c>
      <x:c r="L111" s="1" t="n">
        <x:v>0</x:v>
      </x:c>
      <x:c r="M111" s="1" t="n">
        <x:f>IF(AND(ISNUMBER(H111),ISNUMBER(I111),ISNUMBER(J111),ISNUMBER(K111),H111&gt;0,I111&gt;0),IF(OR(H111&lt;&gt;J111,I111&lt;&gt;K111),1,0),0)</x:f>
        <x:v>0</x:v>
      </x:c>
      <x:c r="N111" s="1" t="n">
        <x:f>IF(AND(ISNUMBER(H111),ISNUMBER(I111),H111&gt;0,I111&gt;=H111),1,0)</x:f>
        <x:v>1</x:v>
      </x:c>
      <x:c r="O111" s="1" t="n">
        <x:f>IF(AND(L111=0,M111=0,N111=1),1,0)</x:f>
        <x:v>1</x:v>
      </x:c>
      <x:c r="P111" s="7" t="n">
        <x:f>2*3958.7613*ASIN(SQRT(SIN(RADIANS(F111-35.77951)/2)^2+COS(RADIANS(35.77951))*COS(RADIANS(F111))*SIN(RADIANS(G111-(-78.68168))/2)^2))</x:f>
        <x:v>1.2587580836058745</x:v>
      </x:c>
      <x:c r="Q111" s="1" t="str">
        <x:f>IF(P111&lt;=1,"0–1 mi",IF(P111&lt;=3,"&gt;1–3 mi",IF(P111&lt;=5,"&gt;3–5 mi","Outside 5 mi")))</x:f>
        <x:v>&gt;1–3 mi</x:v>
      </x:c>
      <x:c r="R111" s="7" t="n">
        <x:f>2*3958.7613*ASIN(SQRT(SIN(RADIANS(F111-35.7687)/2)^2+COS(RADIANS(35.7687))*COS(RADIANS(F111))*SIN(RADIANS(G111-(-78.6775))/2)^2))</x:f>
        <x:v>1.7803162279586342</x:v>
      </x:c>
      <x:c r="S111" s="1" t="str">
        <x:f>IF(R111&lt;=1,"0–1 mi",IF(R111&lt;=3,"&gt;1–3 mi",IF(R111&lt;=5,"&gt;3–5 mi","Outside 5 mi")))</x:f>
        <x:v>&gt;1–3 mi</x:v>
      </x:c>
      <x:c r="T111" s="7" t="n">
        <x:f>2*3958.7613*ASIN(SQRT(SIN(RADIANS(F111-35.79847)/2)^2+COS(RADIANS(35.79847))*COS(RADIANS(F111))*SIN(RADIANS(G111-(-78.70408))/2)^2))</x:f>
        <x:v>2.1497092966596503</x:v>
      </x:c>
      <x:c r="U111" s="1" t="str">
        <x:f>IF(T111&lt;=1,"0–1 mi",IF(T111&lt;=3,"&gt;1–3 mi",IF(T111&lt;=5,"&gt;3–5 mi","Outside 5 mi")))</x:f>
        <x:v>&gt;1–3 mi</x:v>
      </x:c>
      <x:c r="V111" s="1" t="n">
        <x:f>IF(MIN(P111,R111,T111)&lt;=5,1,0)</x:f>
        <x:v>1</x:v>
      </x:c>
      <x:c r="W111" s="6" t="n">
        <x:f>IF(O111=1,(H111+I111)/2,"")</x:f>
        <x:v>1500</x:v>
      </x:c>
      <x:c r="X111" s="1" t="n">
        <x:f>O111*V111</x:f>
        <x:v>1</x:v>
      </x:c>
      <x:c r="Y111" s="1" t="n">
        <x:v>0</x:v>
      </x:c>
      <x:c r="Z111" s="1" t="n">
        <x:v>0</x:v>
      </x:c>
      <x:c r="AA111" s="1" t="n">
        <x:v>0</x:v>
      </x:c>
      <x:c r="AB111" s="1" t="n">
        <x:v>0</x:v>
      </x:c>
      <x:c r="AC111" s="1" t="n">
        <x:v>0</x:v>
      </x:c>
      <x:c r="AD111" s="1" t="str">
        <x:f>IF('Raw properties'!Y111="","",'Raw properties'!Y111)</x:f>
        <x:v>12 Month Lease</x:v>
      </x:c>
      <x:c r="AE111" s="1" t="str">
        <x:v>2026-06-01</x:v>
      </x:c>
      <x:c r="AF111" s="1" t="str">
        <x:v>Included in rent means</x:v>
      </x:c>
      <x:c r="AG111" s="5" t="str">
        <x:v>Source pricing flag retained; automated consistency checks passed. This is not independent landlord verification.</x:v>
      </x:c>
      <x:c r="AH111" s="1" t="str">
        <x:v>$1,500</x:v>
      </x:c>
      <x:c r="AI111" s="8" t="n">
        <x:f>MIN(ABS(P111-1),ABS(P111-3),ABS(P111-5))*5280</x:f>
        <x:v>1366.2426814390174</x:v>
      </x:c>
      <x:c r="AJ111" s="8" t="n">
        <x:f>MIN(ABS(R111-1),ABS(R111-3),ABS(R111-5))*5280</x:f>
        <x:v>4120.069683621588</x:v>
      </x:c>
      <x:c r="AK111" s="8" t="n">
        <x:f>MIN(ABS(T111-1),ABS(T111-3),ABS(T111-5))*5280</x:f>
        <x:v>4489.534913637047</x:v>
      </x:c>
      <x:c r="AL111" s="1" t="n">
        <x:f>IF(MIN(AI111,AJ111,AK111)&lt;=100,1,0)</x:f>
        <x:v>0</x:v>
      </x:c>
    </x:row>
    <x:row r="112" ht="15" hidden="0" customHeight="1">
      <x:c r="A112" s="1" t="str">
        <x:f>IF('Raw properties'!A112="","",'Raw properties'!A112)</x:f>
        <x:v>hz5leg1</x:v>
      </x:c>
      <x:c r="B112" s="1" t="str">
        <x:f>IF('Raw properties'!D112="","",'Raw properties'!D112)</x:f>
        <x:v>Room in Townhome on Ivory Run Way</x:v>
      </x:c>
      <x:c r="C112" s="1" t="str">
        <x:f>IF('Raw properties'!AG112="","",'Raw properties'!AG112)</x:f>
        <x:v>https://offcampus.dasa.ncsu.edu/housing/property/room-in-townhome-on-ivory-run-way/hz5leg1</x:v>
      </x:c>
      <x:c r="D112" s="1" t="str">
        <x:v>Whole unit</x:v>
      </x:c>
      <x:c r="E112" s="1" t="str">
        <x:v>Per bedroom</x:v>
      </x:c>
      <x:c r="F112" s="7" t="n">
        <x:f>IF('Raw properties'!I112="","",'Raw properties'!I112)</x:f>
        <x:v>35.744672</x:v>
      </x:c>
      <x:c r="G112" s="7" t="n">
        <x:f>IF('Raw properties'!J112="","",'Raw properties'!J112)</x:f>
        <x:v>-78.68458</x:v>
      </x:c>
      <x:c r="H112" s="6" t="n">
        <x:f>IF('Raw properties'!M112="","",'Raw properties'!M112)</x:f>
        <x:v>690</x:v>
      </x:c>
      <x:c r="I112" s="6" t="n">
        <x:f>IF('Raw properties'!N112="","",'Raw properties'!N112)</x:f>
        <x:v>690</x:v>
      </x:c>
      <x:c r="J112" s="6" t="n">
        <x:f>IF((IF('Raw floorplans'!H469&gt;0,1,0))=0,"",MIN(IF('Raw floorplans'!H469&gt;0,'Raw floorplans'!H469,1E99)))</x:f>
        <x:v>690</x:v>
      </x:c>
      <x:c r="K112" s="6" t="n">
        <x:f>IF((IF('Raw floorplans'!I469&gt;0,1,0))=0,"",MAX(IF('Raw floorplans'!I469&gt;0,'Raw floorplans'!I469,0)))</x:f>
        <x:v>690</x:v>
      </x:c>
      <x:c r="L112" s="1" t="n">
        <x:v>0</x:v>
      </x:c>
      <x:c r="M112" s="1" t="n">
        <x:f>IF(AND(ISNUMBER(H112),ISNUMBER(I112),ISNUMBER(J112),ISNUMBER(K112),H112&gt;0,I112&gt;0),IF(OR(H112&lt;&gt;J112,I112&lt;&gt;K112),1,0),0)</x:f>
        <x:v>0</x:v>
      </x:c>
      <x:c r="N112" s="1" t="n">
        <x:f>IF(AND(ISNUMBER(H112),ISNUMBER(I112),H112&gt;0,I112&gt;=H112),1,0)</x:f>
        <x:v>1</x:v>
      </x:c>
      <x:c r="O112" s="1" t="n">
        <x:f>IF(AND(L112=0,M112=0,N112=1),1,0)</x:f>
        <x:v>1</x:v>
      </x:c>
      <x:c r="P112" s="7" t="n">
        <x:f>2*3958.7613*ASIN(SQRT(SIN(RADIANS(F112-35.77951)/2)^2+COS(RADIANS(35.77951))*COS(RADIANS(F112))*SIN(RADIANS(G112-(-78.68168))/2)^2))</x:f>
        <x:v>2.41256156239547</x:v>
      </x:c>
      <x:c r="Q112" s="1" t="str">
        <x:f>IF(P112&lt;=1,"0–1 mi",IF(P112&lt;=3,"&gt;1–3 mi",IF(P112&lt;=5,"&gt;3–5 mi","Outside 5 mi")))</x:f>
        <x:v>&gt;1–3 mi</x:v>
      </x:c>
      <x:c r="R112" s="7" t="n">
        <x:f>2*3958.7613*ASIN(SQRT(SIN(RADIANS(F112-35.7687)/2)^2+COS(RADIANS(35.7687))*COS(RADIANS(F112))*SIN(RADIANS(G112-(-78.6775))/2)^2))</x:f>
        <x:v>1.7069781990445694</x:v>
      </x:c>
      <x:c r="S112" s="1" t="str">
        <x:f>IF(R112&lt;=1,"0–1 mi",IF(R112&lt;=3,"&gt;1–3 mi",IF(R112&lt;=5,"&gt;3–5 mi","Outside 5 mi")))</x:f>
        <x:v>&gt;1–3 mi</x:v>
      </x:c>
      <x:c r="T112" s="7" t="n">
        <x:f>2*3958.7613*ASIN(SQRT(SIN(RADIANS(F112-35.79847)/2)^2+COS(RADIANS(35.79847))*COS(RADIANS(F112))*SIN(RADIANS(G112-(-78.70408))/2)^2))</x:f>
        <x:v>3.874497194868576</x:v>
      </x:c>
      <x:c r="U112" s="1" t="str">
        <x:f>IF(T112&lt;=1,"0–1 mi",IF(T112&lt;=3,"&gt;1–3 mi",IF(T112&lt;=5,"&gt;3–5 mi","Outside 5 mi")))</x:f>
        <x:v>&gt;3–5 mi</x:v>
      </x:c>
      <x:c r="V112" s="1" t="n">
        <x:f>IF(MIN(P112,R112,T112)&lt;=5,1,0)</x:f>
        <x:v>1</x:v>
      </x:c>
      <x:c r="W112" s="6" t="n">
        <x:f>IF(O112=1,(H112+I112)/2,"")</x:f>
        <x:v>690</x:v>
      </x:c>
      <x:c r="X112" s="1" t="n">
        <x:f>O112*V112</x:f>
        <x:v>1</x:v>
      </x:c>
      <x:c r="Y112" s="1" t="n">
        <x:v>0</x:v>
      </x:c>
      <x:c r="Z112" s="1" t="n">
        <x:v>0</x:v>
      </x:c>
      <x:c r="AA112" s="1" t="n">
        <x:v>0</x:v>
      </x:c>
      <x:c r="AB112" s="1" t="n">
        <x:v>0</x:v>
      </x:c>
      <x:c r="AC112" s="1" t="n">
        <x:v>0</x:v>
      </x:c>
      <x:c r="AD112" s="1" t="str">
        <x:f>IF('Raw properties'!Y112="","",'Raw properties'!Y112)</x:f>
      </x:c>
      <x:c r="AE112" s="1" t="str">
        <x:v>2026-09-09</x:v>
      </x:c>
      <x:c r="AF112" s="1" t="str">
        <x:v>Included in rent means</x:v>
      </x:c>
      <x:c r="AG112" s="5" t="str">
        <x:v>Saved September 9 title explicitly offers a room. Reclassified from whole unit to room/per-bedroom; snapshot price unchanged.</x:v>
      </x:c>
      <x:c r="AH112" s="1" t="str">
        <x:v>$690</x:v>
      </x:c>
      <x:c r="AI112" s="8" t="n">
        <x:f>MIN(ABS(P112-1),ABS(P112-3),ABS(P112-5))*5280</x:f>
        <x:v>3101.6749505519188</x:v>
      </x:c>
      <x:c r="AJ112" s="8" t="n">
        <x:f>MIN(ABS(R112-1),ABS(R112-3),ABS(R112-5))*5280</x:f>
        <x:v>3732.8448909553263</x:v>
      </x:c>
      <x:c r="AK112" s="8" t="n">
        <x:f>MIN(ABS(T112-1),ABS(T112-3),ABS(T112-5))*5280</x:f>
        <x:v>4617.34518890608</x:v>
      </x:c>
      <x:c r="AL112" s="1" t="n">
        <x:f>IF(MIN(AI112,AJ112,AK112)&lt;=100,1,0)</x:f>
        <x:v>0</x:v>
      </x:c>
    </x:row>
    <x:row r="113" ht="15" hidden="0" customHeight="1">
      <x:c r="A113" s="1" t="str">
        <x:f>IF('Raw properties'!A113="","",'Raw properties'!A113)</x:f>
        <x:v>ocpszqbd35</x:v>
      </x:c>
      <x:c r="B113" s="1" t="str">
        <x:f>IF('Raw properties'!D113="","",'Raw properties'!D113)</x:f>
        <x:v>Signature 1505 4X4 Apartment</x:v>
      </x:c>
      <x:c r="C113" s="1" t="str">
        <x:f>IF('Raw properties'!AG113="","",'Raw properties'!AG113)</x:f>
        <x:v>https://offcampus.dasa.ncsu.edu/housing/property/signature-1505-4x4-apartment/ocpszqbd35</x:v>
      </x:c>
      <x:c r="D113" s="1" t="str">
        <x:v>Per bedroom</x:v>
      </x:c>
      <x:c r="E113" s="1" t="str">
        <x:v>Per bedroom</x:v>
      </x:c>
      <x:c r="F113" s="7" t="n">
        <x:f>IF('Raw properties'!I113="","",'Raw properties'!I113)</x:f>
        <x:v>35.783773</x:v>
      </x:c>
      <x:c r="G113" s="7" t="n">
        <x:f>IF('Raw properties'!J113="","",'Raw properties'!J113)</x:f>
        <x:v>-78.658911</x:v>
      </x:c>
      <x:c r="H113" s="6" t="n">
        <x:f>IF('Raw properties'!M113="","",'Raw properties'!M113)</x:f>
        <x:v>1230</x:v>
      </x:c>
      <x:c r="I113" s="6" t="n">
        <x:f>IF('Raw properties'!N113="","",'Raw properties'!N113)</x:f>
        <x:v>1230</x:v>
      </x:c>
      <x:c r="J113" s="6" t="n">
        <x:f>IF((IF('Raw floorplans'!H470&gt;0,1,0))=0,"",MIN(IF('Raw floorplans'!H470&gt;0,'Raw floorplans'!H470,1E99)))</x:f>
        <x:v>1230</x:v>
      </x:c>
      <x:c r="K113" s="6" t="n">
        <x:f>IF((IF('Raw floorplans'!I470&gt;0,1,0))=0,"",MAX(IF('Raw floorplans'!I470&gt;0,'Raw floorplans'!I470,0)))</x:f>
        <x:v>1230</x:v>
      </x:c>
      <x:c r="L113" s="1" t="n">
        <x:v>0</x:v>
      </x:c>
      <x:c r="M113" s="1" t="n">
        <x:f>IF(AND(ISNUMBER(H113),ISNUMBER(I113),ISNUMBER(J113),ISNUMBER(K113),H113&gt;0,I113&gt;0),IF(OR(H113&lt;&gt;J113,I113&lt;&gt;K113),1,0),0)</x:f>
        <x:v>0</x:v>
      </x:c>
      <x:c r="N113" s="1" t="n">
        <x:f>IF(AND(ISNUMBER(H113),ISNUMBER(I113),H113&gt;0,I113&gt;=H113),1,0)</x:f>
        <x:v>1</x:v>
      </x:c>
      <x:c r="O113" s="1" t="n">
        <x:f>IF(AND(L113=0,M113=0,N113=1),1,0)</x:f>
        <x:v>1</x:v>
      </x:c>
      <x:c r="P113" s="7" t="n">
        <x:f>2*3958.7613*ASIN(SQRT(SIN(RADIANS(F113-35.77951)/2)^2+COS(RADIANS(35.77951))*COS(RADIANS(F113))*SIN(RADIANS(G113-(-78.68168))/2)^2))</x:f>
        <x:v>1.3097987510114022</x:v>
      </x:c>
      <x:c r="Q113" s="1" t="str">
        <x:f>IF(P113&lt;=1,"0–1 mi",IF(P113&lt;=3,"&gt;1–3 mi",IF(P113&lt;=5,"&gt;3–5 mi","Outside 5 mi")))</x:f>
        <x:v>&gt;1–3 mi</x:v>
      </x:c>
      <x:c r="R113" s="7" t="n">
        <x:f>2*3958.7613*ASIN(SQRT(SIN(RADIANS(F113-35.7687)/2)^2+COS(RADIANS(35.7687))*COS(RADIANS(F113))*SIN(RADIANS(G113-(-78.6775))/2)^2))</x:f>
        <x:v>1.473234962501525</x:v>
      </x:c>
      <x:c r="S113" s="1" t="str">
        <x:f>IF(R113&lt;=1,"0–1 mi",IF(R113&lt;=3,"&gt;1–3 mi",IF(R113&lt;=5,"&gt;3–5 mi","Outside 5 mi")))</x:f>
        <x:v>&gt;1–3 mi</x:v>
      </x:c>
      <x:c r="T113" s="7" t="n">
        <x:f>2*3958.7613*ASIN(SQRT(SIN(RADIANS(F113-35.79847)/2)^2+COS(RADIANS(35.79847))*COS(RADIANS(F113))*SIN(RADIANS(G113-(-78.70408))/2)^2))</x:f>
        <x:v>2.727589665990538</x:v>
      </x:c>
      <x:c r="U113" s="1" t="str">
        <x:f>IF(T113&lt;=1,"0–1 mi",IF(T113&lt;=3,"&gt;1–3 mi",IF(T113&lt;=5,"&gt;3–5 mi","Outside 5 mi")))</x:f>
        <x:v>&gt;1–3 mi</x:v>
      </x:c>
      <x:c r="V113" s="1" t="n">
        <x:f>IF(MIN(P113,R113,T113)&lt;=5,1,0)</x:f>
        <x:v>1</x:v>
      </x:c>
      <x:c r="W113" s="6" t="n">
        <x:f>IF(O113=1,(H113+I113)/2,"")</x:f>
        <x:v>1230</x:v>
      </x:c>
      <x:c r="X113" s="1" t="n">
        <x:f>O113*V113</x:f>
        <x:v>1</x:v>
      </x:c>
      <x:c r="Y113" s="1" t="n">
        <x:v>1</x:v>
      </x:c>
      <x:c r="Z113" s="1" t="n">
        <x:v>0</x:v>
      </x:c>
      <x:c r="AA113" s="1" t="n">
        <x:v>0</x:v>
      </x:c>
      <x:c r="AB113" s="1" t="n">
        <x:v>1</x:v>
      </x:c>
      <x:c r="AC113" s="1" t="n">
        <x:v>1</x:v>
      </x:c>
      <x:c r="AD113" s="1" t="str">
        <x:f>IF('Raw properties'!Y113="","",'Raw properties'!Y113)</x:f>
        <x:v>7 Month Lease</x:v>
      </x:c>
      <x:c r="AE113" s="1" t="str">
        <x:v>2027-01-01</x:v>
      </x:c>
      <x:c r="AF113" s="1" t="str">
        <x:v>Included in rent means</x:v>
      </x:c>
      <x:c r="AG113" s="5" t="str">
        <x:v>Source pricing flag retained; automated consistency checks passed. This is not independent landlord verification.</x:v>
      </x:c>
      <x:c r="AH113" s="1" t="str">
        <x:v>$1,230</x:v>
      </x:c>
      <x:c r="AI113" s="8" t="n">
        <x:f>MIN(ABS(P113-1),ABS(P113-3),ABS(P113-5))*5280</x:f>
        <x:v>1635.7374053402036</x:v>
      </x:c>
      <x:c r="AJ113" s="8" t="n">
        <x:f>MIN(ABS(R113-1),ABS(R113-3),ABS(R113-5))*5280</x:f>
        <x:v>2498.6806020080526</x:v>
      </x:c>
      <x:c r="AK113" s="8" t="n">
        <x:f>MIN(ABS(T113-1),ABS(T113-3),ABS(T113-5))*5280</x:f>
        <x:v>1438.32656356996</x:v>
      </x:c>
      <x:c r="AL113" s="1" t="n">
        <x:f>IF(MIN(AI113,AJ113,AK113)&lt;=100,1,0)</x:f>
        <x:v>0</x:v>
      </x:c>
    </x:row>
    <x:row r="114" ht="15" hidden="0" customHeight="1">
      <x:c r="A114" s="1" t="str">
        <x:f>IF('Raw properties'!A114="","",'Raw properties'!A114)</x:f>
        <x:v>ocpsq5c5s4</x:v>
      </x:c>
      <x:c r="B114" s="1" t="str">
        <x:f>IF('Raw properties'!D114="","",'Raw properties'!D114)</x:f>
        <x:v>Lupton Flats- 2 Bedroom 1 Bathroom Flat Available Now! Pre Leasing for August 2026!</x:v>
      </x:c>
      <x:c r="C114" s="1" t="str">
        <x:f>IF('Raw properties'!AG114="","",'Raw properties'!AG114)</x:f>
        <x:v>https://offcampus.dasa.ncsu.edu/housing/property/lupton-flats-2-bedroom-1-bathroom-flat-available-now-pre-leasing-for-august-2026/ocpsq5c5s4</x:v>
      </x:c>
      <x:c r="D114" s="1" t="str">
        <x:v>Whole unit</x:v>
      </x:c>
      <x:c r="E114" s="1" t="str">
        <x:v>Whole unit</x:v>
      </x:c>
      <x:c r="F114" s="7" t="n">
        <x:f>IF('Raw properties'!I114="","",'Raw properties'!I114)</x:f>
        <x:v>35.776319</x:v>
      </x:c>
      <x:c r="G114" s="7" t="n">
        <x:f>IF('Raw properties'!J114="","",'Raw properties'!J114)</x:f>
        <x:v>-78.689472</x:v>
      </x:c>
      <x:c r="H114" s="6" t="n">
        <x:f>IF('Raw properties'!M114="","",'Raw properties'!M114)</x:f>
        <x:v>1295</x:v>
      </x:c>
      <x:c r="I114" s="6" t="n">
        <x:f>IF('Raw properties'!N114="","",'Raw properties'!N114)</x:f>
        <x:v>1295</x:v>
      </x:c>
      <x:c r="J114" s="6" t="n">
        <x:f>IF((IF('Raw floorplans'!H471&gt;0,1,0)+IF('Raw floorplans'!H472&gt;0,1,0))=0,"",MIN(IF('Raw floorplans'!H471&gt;0,'Raw floorplans'!H471,1E99),IF('Raw floorplans'!H472&gt;0,'Raw floorplans'!H472,1E99)))</x:f>
        <x:v>1295</x:v>
      </x:c>
      <x:c r="K114" s="6" t="n">
        <x:f>IF((IF('Raw floorplans'!I471&gt;0,1,0)+IF('Raw floorplans'!I472&gt;0,1,0))=0,"",MAX(IF('Raw floorplans'!I471&gt;0,'Raw floorplans'!I471,0),IF('Raw floorplans'!I472&gt;0,'Raw floorplans'!I472,0)))</x:f>
        <x:v>1295</x:v>
      </x:c>
      <x:c r="L114" s="1" t="n">
        <x:v>0</x:v>
      </x:c>
      <x:c r="M114" s="1" t="n">
        <x:f>IF(AND(ISNUMBER(H114),ISNUMBER(I114),ISNUMBER(J114),ISNUMBER(K114),H114&gt;0,I114&gt;0),IF(OR(H114&lt;&gt;J114,I114&lt;&gt;K114),1,0),0)</x:f>
        <x:v>0</x:v>
      </x:c>
      <x:c r="N114" s="1" t="n">
        <x:f>IF(AND(ISNUMBER(H114),ISNUMBER(I114),H114&gt;0,I114&gt;=H114),1,0)</x:f>
        <x:v>1</x:v>
      </x:c>
      <x:c r="O114" s="1" t="n">
        <x:f>IF(AND(L114=0,M114=0,N114=1),1,0)</x:f>
        <x:v>1</x:v>
      </x:c>
      <x:c r="P114" s="7" t="n">
        <x:f>2*3958.7613*ASIN(SQRT(SIN(RADIANS(F114-35.77951)/2)^2+COS(RADIANS(35.77951))*COS(RADIANS(F114))*SIN(RADIANS(G114-(-78.68168))/2)^2))</x:f>
        <x:v>0.4892705683904065</x:v>
      </x:c>
      <x:c r="Q114" s="1" t="str">
        <x:f>IF(P114&lt;=1,"0–1 mi",IF(P114&lt;=3,"&gt;1–3 mi",IF(P114&lt;=5,"&gt;3–5 mi","Outside 5 mi")))</x:f>
        <x:v>0–1 mi</x:v>
      </x:c>
      <x:c r="R114" s="7" t="n">
        <x:f>2*3958.7613*ASIN(SQRT(SIN(RADIANS(F114-35.7687)/2)^2+COS(RADIANS(35.7687))*COS(RADIANS(F114))*SIN(RADIANS(G114-(-78.6775))/2)^2))</x:f>
        <x:v>0.8529598434788941</x:v>
      </x:c>
      <x:c r="S114" s="1" t="str">
        <x:f>IF(R114&lt;=1,"0–1 mi",IF(R114&lt;=3,"&gt;1–3 mi",IF(R114&lt;=5,"&gt;3–5 mi","Outside 5 mi")))</x:f>
        <x:v>0–1 mi</x:v>
      </x:c>
      <x:c r="T114" s="7" t="n">
        <x:f>2*3958.7613*ASIN(SQRT(SIN(RADIANS(F114-35.79847)/2)^2+COS(RADIANS(35.79847))*COS(RADIANS(F114))*SIN(RADIANS(G114-(-78.70408))/2)^2))</x:f>
        <x:v>1.7357264236977543</x:v>
      </x:c>
      <x:c r="U114" s="1" t="str">
        <x:f>IF(T114&lt;=1,"0–1 mi",IF(T114&lt;=3,"&gt;1–3 mi",IF(T114&lt;=5,"&gt;3–5 mi","Outside 5 mi")))</x:f>
        <x:v>&gt;1–3 mi</x:v>
      </x:c>
      <x:c r="V114" s="1" t="n">
        <x:f>IF(MIN(P114,R114,T114)&lt;=5,1,0)</x:f>
        <x:v>1</x:v>
      </x:c>
      <x:c r="W114" s="6" t="n">
        <x:f>IF(O114=1,(H114+I114)/2,"")</x:f>
        <x:v>1295</x:v>
      </x:c>
      <x:c r="X114" s="1" t="n">
        <x:f>O114*V114</x:f>
        <x:v>1</x:v>
      </x:c>
      <x:c r="Y114" s="1" t="n">
        <x:v>0</x:v>
      </x:c>
      <x:c r="Z114" s="1" t="n">
        <x:v>0</x:v>
      </x:c>
      <x:c r="AA114" s="1" t="n">
        <x:v>0</x:v>
      </x:c>
      <x:c r="AB114" s="1" t="n">
        <x:v>0</x:v>
      </x:c>
      <x:c r="AC114" s="1" t="n">
        <x:v>0</x:v>
      </x:c>
      <x:c r="AD114" s="1" t="str">
        <x:f>IF('Raw properties'!Y114="","",'Raw properties'!Y114)</x:f>
        <x:v>12 Month Lease</x:v>
      </x:c>
      <x:c r="AE114" s="1" t="str">
        <x:v>2026-06-15</x:v>
      </x:c>
      <x:c r="AF114" s="1" t="str">
        <x:v>Included in rent means</x:v>
      </x:c>
      <x:c r="AG114" s="5" t="str">
        <x:v>Source pricing flag retained; automated consistency checks passed. This is not independent landlord verification.</x:v>
      </x:c>
      <x:c r="AH114" s="1" t="str">
        <x:v>$1,295</x:v>
      </x:c>
      <x:c r="AI114" s="8" t="n">
        <x:f>MIN(ABS(P114-1),ABS(P114-3),ABS(P114-5))*5280</x:f>
        <x:v>2696.6513988986535</x:v>
      </x:c>
      <x:c r="AJ114" s="8" t="n">
        <x:f>MIN(ABS(R114-1),ABS(R114-3),ABS(R114-5))*5280</x:f>
        <x:v>776.3720264314393</x:v>
      </x:c>
      <x:c r="AK114" s="8" t="n">
        <x:f>MIN(ABS(T114-1),ABS(T114-3),ABS(T114-5))*5280</x:f>
        <x:v>3884.635517124143</x:v>
      </x:c>
      <x:c r="AL114" s="1" t="n">
        <x:f>IF(MIN(AI114,AJ114,AK114)&lt;=100,1,0)</x:f>
        <x:v>0</x:v>
      </x:c>
    </x:row>
    <x:row r="115" ht="15" hidden="0" customHeight="1">
      <x:c r="A115" s="1" t="str">
        <x:f>IF('Raw properties'!A115="","",'Raw properties'!A115)</x:f>
        <x:v>ocpbnn75s8</x:v>
      </x:c>
      <x:c r="B115" s="1" t="str">
        <x:f>IF('Raw properties'!D115="","",'Raw properties'!D115)</x:f>
        <x:v>912 Chaney Rd. #100</x:v>
      </x:c>
      <x:c r="C115" s="1" t="str">
        <x:f>IF('Raw properties'!AG115="","",'Raw properties'!AG115)</x:f>
        <x:v>https://offcampus.dasa.ncsu.edu/housing/property/912-chaney-rd-100/ocpbnn75s8</x:v>
      </x:c>
      <x:c r="D115" s="1" t="str">
        <x:v>Whole unit</x:v>
      </x:c>
      <x:c r="E115" s="1" t="str">
        <x:v>Whole unit</x:v>
      </x:c>
      <x:c r="F115" s="7" t="n">
        <x:f>IF('Raw properties'!I115="","",'Raw properties'!I115)</x:f>
        <x:v>35.786705</x:v>
      </x:c>
      <x:c r="G115" s="7" t="n">
        <x:f>IF('Raw properties'!J115="","",'Raw properties'!J115)</x:f>
        <x:v>-78.69549</x:v>
      </x:c>
      <x:c r="H115" s="6" t="n">
        <x:f>IF('Raw properties'!M115="","",'Raw properties'!M115)</x:f>
        <x:v>2600</x:v>
      </x:c>
      <x:c r="I115" s="6" t="n">
        <x:f>IF('Raw properties'!N115="","",'Raw properties'!N115)</x:f>
        <x:v>2600</x:v>
      </x:c>
      <x:c r="J115" s="6" t="n">
        <x:f>IF((IF('Raw floorplans'!H473&gt;0,1,0))=0,"",MIN(IF('Raw floorplans'!H473&gt;0,'Raw floorplans'!H473,1E99)))</x:f>
        <x:v>2600</x:v>
      </x:c>
      <x:c r="K115" s="6" t="n">
        <x:f>IF((IF('Raw floorplans'!I473&gt;0,1,0))=0,"",MAX(IF('Raw floorplans'!I473&gt;0,'Raw floorplans'!I473,0)))</x:f>
        <x:v>2600</x:v>
      </x:c>
      <x:c r="L115" s="1" t="n">
        <x:v>0</x:v>
      </x:c>
      <x:c r="M115" s="1" t="n">
        <x:f>IF(AND(ISNUMBER(H115),ISNUMBER(I115),ISNUMBER(J115),ISNUMBER(K115),H115&gt;0,I115&gt;0),IF(OR(H115&lt;&gt;J115,I115&lt;&gt;K115),1,0),0)</x:f>
        <x:v>0</x:v>
      </x:c>
      <x:c r="N115" s="1" t="n">
        <x:f>IF(AND(ISNUMBER(H115),ISNUMBER(I115),H115&gt;0,I115&gt;=H115),1,0)</x:f>
        <x:v>1</x:v>
      </x:c>
      <x:c r="O115" s="1" t="n">
        <x:f>IF(AND(L115=0,M115=0,N115=1),1,0)</x:f>
        <x:v>1</x:v>
      </x:c>
      <x:c r="P115" s="7" t="n">
        <x:f>2*3958.7613*ASIN(SQRT(SIN(RADIANS(F115-35.77951)/2)^2+COS(RADIANS(35.77951))*COS(RADIANS(F115))*SIN(RADIANS(G115-(-78.68168))/2)^2))</x:f>
        <x:v>0.9199526031849081</x:v>
      </x:c>
      <x:c r="Q115" s="1" t="str">
        <x:f>IF(P115&lt;=1,"0–1 mi",IF(P115&lt;=3,"&gt;1–3 mi",IF(P115&lt;=5,"&gt;3–5 mi","Outside 5 mi")))</x:f>
        <x:v>0–1 mi</x:v>
      </x:c>
      <x:c r="R115" s="7" t="n">
        <x:f>2*3958.7613*ASIN(SQRT(SIN(RADIANS(F115-35.7687)/2)^2+COS(RADIANS(35.7687))*COS(RADIANS(F115))*SIN(RADIANS(G115-(-78.6775))/2)^2))</x:f>
        <x:v>1.6014148073986902</x:v>
      </x:c>
      <x:c r="S115" s="1" t="str">
        <x:f>IF(R115&lt;=1,"0–1 mi",IF(R115&lt;=3,"&gt;1–3 mi",IF(R115&lt;=5,"&gt;3–5 mi","Outside 5 mi")))</x:f>
        <x:v>&gt;1–3 mi</x:v>
      </x:c>
      <x:c r="T115" s="7" t="n">
        <x:f>2*3958.7613*ASIN(SQRT(SIN(RADIANS(F115-35.79847)/2)^2+COS(RADIANS(35.79847))*COS(RADIANS(F115))*SIN(RADIANS(G115-(-78.70408))/2)^2))</x:f>
        <x:v>0.9447470993512855</x:v>
      </x:c>
      <x:c r="U115" s="1" t="str">
        <x:f>IF(T115&lt;=1,"0–1 mi",IF(T115&lt;=3,"&gt;1–3 mi",IF(T115&lt;=5,"&gt;3–5 mi","Outside 5 mi")))</x:f>
        <x:v>0–1 mi</x:v>
      </x:c>
      <x:c r="V115" s="1" t="n">
        <x:f>IF(MIN(P115,R115,T115)&lt;=5,1,0)</x:f>
        <x:v>1</x:v>
      </x:c>
      <x:c r="W115" s="6" t="n">
        <x:f>IF(O115=1,(H115+I115)/2,"")</x:f>
        <x:v>2600</x:v>
      </x:c>
      <x:c r="X115" s="1" t="n">
        <x:f>O115*V115</x:f>
        <x:v>1</x:v>
      </x:c>
      <x:c r="Y115" s="1" t="n">
        <x:v>0</x:v>
      </x:c>
      <x:c r="Z115" s="1" t="n">
        <x:v>0</x:v>
      </x:c>
      <x:c r="AA115" s="1" t="n">
        <x:v>0</x:v>
      </x:c>
      <x:c r="AB115" s="1" t="n">
        <x:v>1</x:v>
      </x:c>
      <x:c r="AC115" s="1" t="n">
        <x:v>0</x:v>
      </x:c>
      <x:c r="AD115" s="1" t="str">
        <x:f>IF('Raw properties'!Y115="","",'Raw properties'!Y115)</x:f>
        <x:v>12 Month Lease</x:v>
      </x:c>
      <x:c r="AE115" s="1" t="str">
        <x:v>1970-01-01</x:v>
      </x:c>
      <x:c r="AF115" s="1" t="str">
        <x:v>Included in rent means</x:v>
      </x:c>
      <x:c r="AG115" s="5" t="str">
        <x:v>Source pricing flag retained; automated consistency checks passed. This is not independent landlord verification.</x:v>
      </x:c>
      <x:c r="AH115" s="1" t="str">
        <x:v>$2,600</x:v>
      </x:c>
      <x:c r="AI115" s="8" t="n">
        <x:f>MIN(ABS(P115-1),ABS(P115-3),ABS(P115-5))*5280</x:f>
        <x:v>422.6502551836851</x:v>
      </x:c>
      <x:c r="AJ115" s="8" t="n">
        <x:f>MIN(ABS(R115-1),ABS(R115-3),ABS(R115-5))*5280</x:f>
        <x:v>3175.4701830650847</x:v>
      </x:c>
      <x:c r="AK115" s="8" t="n">
        <x:f>MIN(ABS(T115-1),ABS(T115-3),ABS(T115-5))*5280</x:f>
        <x:v>291.7353154252124</x:v>
      </x:c>
      <x:c r="AL115" s="1" t="n">
        <x:f>IF(MIN(AI115,AJ115,AK115)&lt;=100,1,0)</x:f>
        <x:v>0</x:v>
      </x:c>
    </x:row>
    <x:row r="116" ht="15" hidden="0" customHeight="1">
      <x:c r="A116" s="1" t="str">
        <x:f>IF('Raw properties'!A116="","",'Raw properties'!A116)</x:f>
        <x:v>jkg82q6</x:v>
      </x:c>
      <x:c r="B116" s="1" t="str">
        <x:f>IF('Raw properties'!D116="","",'Raw properties'!D116)</x:f>
        <x:v>Room in House on Joyner Pl</x:v>
      </x:c>
      <x:c r="C116" s="1" t="str">
        <x:f>IF('Raw properties'!AG116="","",'Raw properties'!AG116)</x:f>
        <x:v>https://offcampus.dasa.ncsu.edu/housing/property/room-in-house-on-joyner-pl/jkg82q6</x:v>
      </x:c>
      <x:c r="D116" s="1" t="str">
        <x:v>Whole unit</x:v>
      </x:c>
      <x:c r="E116" s="1" t="str">
        <x:v>Per bedroom</x:v>
      </x:c>
      <x:c r="F116" s="7" t="n">
        <x:f>IF('Raw properties'!I116="","",'Raw properties'!I116)</x:f>
        <x:v>35.844878</x:v>
      </x:c>
      <x:c r="G116" s="7" t="n">
        <x:f>IF('Raw properties'!J116="","",'Raw properties'!J116)</x:f>
        <x:v>-78.681951</x:v>
      </x:c>
      <x:c r="H116" s="6" t="n">
        <x:f>IF('Raw properties'!M116="","",'Raw properties'!M116)</x:f>
        <x:v>700</x:v>
      </x:c>
      <x:c r="I116" s="6" t="n">
        <x:f>IF('Raw properties'!N116="","",'Raw properties'!N116)</x:f>
        <x:v>700</x:v>
      </x:c>
      <x:c r="J116" s="6" t="n">
        <x:f>IF((IF('Raw floorplans'!H474&gt;0,1,0))=0,"",MIN(IF('Raw floorplans'!H474&gt;0,'Raw floorplans'!H474,1E99)))</x:f>
        <x:v>700</x:v>
      </x:c>
      <x:c r="K116" s="6" t="n">
        <x:f>IF((IF('Raw floorplans'!I474&gt;0,1,0))=0,"",MAX(IF('Raw floorplans'!I474&gt;0,'Raw floorplans'!I474,0)))</x:f>
        <x:v>700</x:v>
      </x:c>
      <x:c r="L116" s="1" t="n">
        <x:v>0</x:v>
      </x:c>
      <x:c r="M116" s="1" t="n">
        <x:f>IF(AND(ISNUMBER(H116),ISNUMBER(I116),ISNUMBER(J116),ISNUMBER(K116),H116&gt;0,I116&gt;0),IF(OR(H116&lt;&gt;J116,I116&lt;&gt;K116),1,0),0)</x:f>
        <x:v>0</x:v>
      </x:c>
      <x:c r="N116" s="1" t="n">
        <x:f>IF(AND(ISNUMBER(H116),ISNUMBER(I116),H116&gt;0,I116&gt;=H116),1,0)</x:f>
        <x:v>1</x:v>
      </x:c>
      <x:c r="O116" s="1" t="n">
        <x:f>IF(AND(L116=0,M116=0,N116=1),1,0)</x:f>
        <x:v>1</x:v>
      </x:c>
      <x:c r="P116" s="7" t="n">
        <x:f>2*3958.7613*ASIN(SQRT(SIN(RADIANS(F116-35.77951)/2)^2+COS(RADIANS(35.77951))*COS(RADIANS(F116))*SIN(RADIANS(G116-(-78.68168))/2)^2))</x:f>
        <x:v>4.51652413663941</x:v>
      </x:c>
      <x:c r="Q116" s="1" t="str">
        <x:f>IF(P116&lt;=1,"0–1 mi",IF(P116&lt;=3,"&gt;1–3 mi",IF(P116&lt;=5,"&gt;3–5 mi","Outside 5 mi")))</x:f>
        <x:v>&gt;3–5 mi</x:v>
      </x:c>
      <x:c r="R116" s="7" t="n">
        <x:f>2*3958.7613*ASIN(SQRT(SIN(RADIANS(F116-35.7687)/2)^2+COS(RADIANS(35.7687))*COS(RADIANS(F116))*SIN(RADIANS(G116-(-78.6775))/2)^2))</x:f>
        <x:v>5.269304348245015</x:v>
      </x:c>
      <x:c r="S116" s="1" t="str">
        <x:f>IF(R116&lt;=1,"0–1 mi",IF(R116&lt;=3,"&gt;1–3 mi",IF(R116&lt;=5,"&gt;3–5 mi","Outside 5 mi")))</x:f>
        <x:v>Outside 5 mi</x:v>
      </x:c>
      <x:c r="T116" s="7" t="n">
        <x:f>2*3958.7613*ASIN(SQRT(SIN(RADIANS(F116-35.79847)/2)^2+COS(RADIANS(35.79847))*COS(RADIANS(F116))*SIN(RADIANS(G116-(-78.70408))/2)^2))</x:f>
        <x:v>3.4378114005003897</x:v>
      </x:c>
      <x:c r="U116" s="1" t="str">
        <x:f>IF(T116&lt;=1,"0–1 mi",IF(T116&lt;=3,"&gt;1–3 mi",IF(T116&lt;=5,"&gt;3–5 mi","Outside 5 mi")))</x:f>
        <x:v>&gt;3–5 mi</x:v>
      </x:c>
      <x:c r="V116" s="1" t="n">
        <x:f>IF(MIN(P116,R116,T116)&lt;=5,1,0)</x:f>
        <x:v>1</x:v>
      </x:c>
      <x:c r="W116" s="6" t="n">
        <x:f>IF(O116=1,(H116+I116)/2,"")</x:f>
        <x:v>700</x:v>
      </x:c>
      <x:c r="X116" s="1" t="n">
        <x:f>O116*V116</x:f>
        <x:v>1</x:v>
      </x:c>
      <x:c r="Y116" s="1" t="n">
        <x:v>0</x:v>
      </x:c>
      <x:c r="Z116" s="1" t="n">
        <x:v>0</x:v>
      </x:c>
      <x:c r="AA116" s="1" t="n">
        <x:v>0</x:v>
      </x:c>
      <x:c r="AB116" s="1" t="n">
        <x:v>0</x:v>
      </x:c>
      <x:c r="AC116" s="1" t="n">
        <x:v>0</x:v>
      </x:c>
      <x:c r="AD116" s="1" t="str">
        <x:f>IF('Raw properties'!Y116="","",'Raw properties'!Y116)</x:f>
      </x:c>
      <x:c r="AE116" s="1" t="str">
        <x:v>2026-09-09</x:v>
      </x:c>
      <x:c r="AF116" s="1" t="str">
        <x:v>Included in rent means</x:v>
      </x:c>
      <x:c r="AG116" s="5" t="str">
        <x:v>Saved September 9 title explicitly offers a room. Reclassified from whole unit to room/per-bedroom; snapshot price unchanged.</x:v>
      </x:c>
      <x:c r="AH116" s="1" t="str">
        <x:v>$700</x:v>
      </x:c>
      <x:c r="AI116" s="8" t="n">
        <x:f>MIN(ABS(P116-1),ABS(P116-3),ABS(P116-5))*5280</x:f>
        <x:v>2552.752558543913</x:v>
      </x:c>
      <x:c r="AJ116" s="8" t="n">
        <x:f>MIN(ABS(R116-1),ABS(R116-3),ABS(R116-5))*5280</x:f>
        <x:v>1421.9269587336794</x:v>
      </x:c>
      <x:c r="AK116" s="8" t="n">
        <x:f>MIN(ABS(T116-1),ABS(T116-3),ABS(T116-5))*5280</x:f>
        <x:v>2311.6441946420578</x:v>
      </x:c>
      <x:c r="AL116" s="1" t="n">
        <x:f>IF(MIN(AI116,AJ116,AK116)&lt;=100,1,0)</x:f>
        <x:v>0</x:v>
      </x:c>
    </x:row>
    <x:row r="117" ht="15" hidden="0" customHeight="1">
      <x:c r="A117" s="1" t="str">
        <x:f>IF('Raw properties'!A117="","",'Raw properties'!A117)</x:f>
        <x:v>ocp2bnnl9c</x:v>
      </x:c>
      <x:c r="B117" s="1" t="str">
        <x:f>IF('Raw properties'!D117="","",'Raw properties'!D117)</x:f>
        <x:v>Townhome at Hampton Place, Morrisville, 20 to 25 minutes from NCSU.</x:v>
      </x:c>
      <x:c r="C117" s="1" t="str">
        <x:f>IF('Raw properties'!AG117="","",'Raw properties'!AG117)</x:f>
        <x:v>https://offcampus.dasa.ncsu.edu/housing/property/townhome-at-hampton-place-morrisville-20-to-25-minutes-from-ncsu/ocp2bnnl9c</x:v>
      </x:c>
      <x:c r="D117" s="1" t="str">
        <x:v>Per bedroom</x:v>
      </x:c>
      <x:c r="E117" s="1" t="str">
        <x:v>Per bedroom</x:v>
      </x:c>
      <x:c r="F117" s="7" t="n">
        <x:f>IF('Raw properties'!I117="","",'Raw properties'!I117)</x:f>
        <x:v>35.831552</x:v>
      </x:c>
      <x:c r="G117" s="7" t="n">
        <x:f>IF('Raw properties'!J117="","",'Raw properties'!J117)</x:f>
        <x:v>-78.830401</x:v>
      </x:c>
      <x:c r="H117" s="6" t="n">
        <x:f>IF('Raw properties'!M117="","",'Raw properties'!M117)</x:f>
        <x:v>733</x:v>
      </x:c>
      <x:c r="I117" s="6" t="n">
        <x:f>IF('Raw properties'!N117="","",'Raw properties'!N117)</x:f>
        <x:v>733</x:v>
      </x:c>
      <x:c r="J117" s="6" t="n">
        <x:f>IF((IF('Raw floorplans'!H475&gt;0,1,0))=0,"",MIN(IF('Raw floorplans'!H475&gt;0,'Raw floorplans'!H475,1E99)))</x:f>
        <x:v>733</x:v>
      </x:c>
      <x:c r="K117" s="6" t="n">
        <x:f>IF((IF('Raw floorplans'!I475&gt;0,1,0))=0,"",MAX(IF('Raw floorplans'!I475&gt;0,'Raw floorplans'!I475,0)))</x:f>
        <x:v>733</x:v>
      </x:c>
      <x:c r="L117" s="1" t="n">
        <x:v>0</x:v>
      </x:c>
      <x:c r="M117" s="1" t="n">
        <x:f>IF(AND(ISNUMBER(H117),ISNUMBER(I117),ISNUMBER(J117),ISNUMBER(K117),H117&gt;0,I117&gt;0),IF(OR(H117&lt;&gt;J117,I117&lt;&gt;K117),1,0),0)</x:f>
        <x:v>0</x:v>
      </x:c>
      <x:c r="N117" s="1" t="n">
        <x:f>IF(AND(ISNUMBER(H117),ISNUMBER(I117),H117&gt;0,I117&gt;=H117),1,0)</x:f>
        <x:v>1</x:v>
      </x:c>
      <x:c r="O117" s="1" t="n">
        <x:f>IF(AND(L117=0,M117=0,N117=1),1,0)</x:f>
        <x:v>1</x:v>
      </x:c>
      <x:c r="P117" s="7" t="n">
        <x:f>2*3958.7613*ASIN(SQRT(SIN(RADIANS(F117-35.77951)/2)^2+COS(RADIANS(35.77951))*COS(RADIANS(F117))*SIN(RADIANS(G117-(-78.68168))/2)^2))</x:f>
        <x:v>9.076271746433772</x:v>
      </x:c>
      <x:c r="Q117" s="1" t="str">
        <x:f>IF(P117&lt;=1,"0–1 mi",IF(P117&lt;=3,"&gt;1–3 mi",IF(P117&lt;=5,"&gt;3–5 mi","Outside 5 mi")))</x:f>
        <x:v>Outside 5 mi</x:v>
      </x:c>
      <x:c r="R117" s="7" t="n">
        <x:f>2*3958.7613*ASIN(SQRT(SIN(RADIANS(F117-35.7687)/2)^2+COS(RADIANS(35.7687))*COS(RADIANS(F117))*SIN(RADIANS(G117-(-78.6775))/2)^2))</x:f>
        <x:v>9.606075339096268</x:v>
      </x:c>
      <x:c r="S117" s="1" t="str">
        <x:f>IF(R117&lt;=1,"0–1 mi",IF(R117&lt;=3,"&gt;1–3 mi",IF(R117&lt;=5,"&gt;3–5 mi","Outside 5 mi")))</x:f>
        <x:v>Outside 5 mi</x:v>
      </x:c>
      <x:c r="T117" s="7" t="n">
        <x:f>2*3958.7613*ASIN(SQRT(SIN(RADIANS(F117-35.79847)/2)^2+COS(RADIANS(35.79847))*COS(RADIANS(F117))*SIN(RADIANS(G117-(-78.70408))/2)^2))</x:f>
        <x:v>7.437530875363011</x:v>
      </x:c>
      <x:c r="U117" s="1" t="str">
        <x:f>IF(T117&lt;=1,"0–1 mi",IF(T117&lt;=3,"&gt;1–3 mi",IF(T117&lt;=5,"&gt;3–5 mi","Outside 5 mi")))</x:f>
        <x:v>Outside 5 mi</x:v>
      </x:c>
      <x:c r="V117" s="1" t="n">
        <x:f>IF(MIN(P117,R117,T117)&lt;=5,1,0)</x:f>
        <x:v>0</x:v>
      </x:c>
      <x:c r="W117" s="6" t="n">
        <x:f>IF(O117=1,(H117+I117)/2,"")</x:f>
        <x:v>733</x:v>
      </x:c>
      <x:c r="X117" s="1" t="n">
        <x:f>O117*V117</x:f>
        <x:v>0</x:v>
      </x:c>
      <x:c r="Y117" s="1" t="n">
        <x:v>0</x:v>
      </x:c>
      <x:c r="Z117" s="1" t="n">
        <x:v>0</x:v>
      </x:c>
      <x:c r="AA117" s="1" t="n">
        <x:v>0</x:v>
      </x:c>
      <x:c r="AB117" s="1" t="n">
        <x:v>1</x:v>
      </x:c>
      <x:c r="AC117" s="1" t="n">
        <x:v>0</x:v>
      </x:c>
      <x:c r="AD117" s="1" t="str">
        <x:f>IF('Raw properties'!Y117="","",'Raw properties'!Y117)</x:f>
        <x:v>9 Month Lease</x:v>
      </x:c>
      <x:c r="AE117" s="1" t="str">
        <x:v>1970-01-01</x:v>
      </x:c>
      <x:c r="AF117" s="1" t="str">
        <x:v>Included in rent means</x:v>
      </x:c>
      <x:c r="AG117" s="5" t="str">
        <x:v>Source pricing flag retained; automated consistency checks passed. This is not independent landlord verification.</x:v>
      </x:c>
      <x:c r="AH117" s="1" t="str">
        <x:v>$733</x:v>
      </x:c>
      <x:c r="AI117" s="8" t="n">
        <x:f>MIN(ABS(P117-1),ABS(P117-3),ABS(P117-5))*5280</x:f>
        <x:v>21522.714821170317</x:v>
      </x:c>
      <x:c r="AJ117" s="8" t="n">
        <x:f>MIN(ABS(R117-1),ABS(R117-3),ABS(R117-5))*5280</x:f>
        <x:v>24320.077790428295</x:v>
      </x:c>
      <x:c r="AK117" s="8" t="n">
        <x:f>MIN(ABS(T117-1),ABS(T117-3),ABS(T117-5))*5280</x:f>
        <x:v>12870.163021916698</x:v>
      </x:c>
      <x:c r="AL117" s="1" t="n">
        <x:f>IF(MIN(AI117,AJ117,AK117)&lt;=100,1,0)</x:f>
        <x:v>0</x:v>
      </x:c>
    </x:row>
    <x:row r="118" ht="15" hidden="0" customHeight="1">
      <x:c r="A118" s="1" t="str">
        <x:f>IF('Raw properties'!A118="","",'Raw properties'!A118)</x:f>
        <x:v>gc0phpz</x:v>
      </x:c>
      <x:c r="B118" s="1" t="str">
        <x:f>IF('Raw properties'!D118="","",'Raw properties'!D118)</x:f>
        <x:v>591 E Cabarrus St (Raleigh, NC)</x:v>
      </x:c>
      <x:c r="C118" s="1" t="str">
        <x:f>IF('Raw properties'!AG118="","",'Raw properties'!AG118)</x:f>
        <x:v>https://offcampus.dasa.ncsu.edu/housing/property/591-e-cabarrus-st-raleigh-nc/gc0phpz</x:v>
      </x:c>
      <x:c r="D118" s="1" t="str">
        <x:v>Whole unit</x:v>
      </x:c>
      <x:c r="E118" s="1" t="str">
        <x:v>Whole unit</x:v>
      </x:c>
      <x:c r="F118" s="7" t="n">
        <x:f>IF('Raw properties'!I118="","",'Raw properties'!I118)</x:f>
        <x:v>35.77414</x:v>
      </x:c>
      <x:c r="G118" s="7" t="n">
        <x:f>IF('Raw properties'!J118="","",'Raw properties'!J118)</x:f>
        <x:v>-78.62852</x:v>
      </x:c>
      <x:c r="H118" s="6" t="n">
        <x:f>IF('Raw properties'!M118="","",'Raw properties'!M118)</x:f>
        <x:v>2600</x:v>
      </x:c>
      <x:c r="I118" s="6" t="n">
        <x:f>IF('Raw properties'!N118="","",'Raw properties'!N118)</x:f>
        <x:v>2600</x:v>
      </x:c>
      <x:c r="J118" s="6" t="n">
        <x:f>IF((IF('Raw floorplans'!H476&gt;0,1,0))=0,"",MIN(IF('Raw floorplans'!H476&gt;0,'Raw floorplans'!H476,1E99)))</x:f>
        <x:v>2600</x:v>
      </x:c>
      <x:c r="K118" s="6" t="n">
        <x:f>IF((IF('Raw floorplans'!I476&gt;0,1,0))=0,"",MAX(IF('Raw floorplans'!I476&gt;0,'Raw floorplans'!I476,0)))</x:f>
        <x:v>2600</x:v>
      </x:c>
      <x:c r="L118" s="1" t="n">
        <x:v>0</x:v>
      </x:c>
      <x:c r="M118" s="1" t="n">
        <x:f>IF(AND(ISNUMBER(H118),ISNUMBER(I118),ISNUMBER(J118),ISNUMBER(K118),H118&gt;0,I118&gt;0),IF(OR(H118&lt;&gt;J118,I118&lt;&gt;K118),1,0),0)</x:f>
        <x:v>0</x:v>
      </x:c>
      <x:c r="N118" s="1" t="n">
        <x:f>IF(AND(ISNUMBER(H118),ISNUMBER(I118),H118&gt;0,I118&gt;=H118),1,0)</x:f>
        <x:v>1</x:v>
      </x:c>
      <x:c r="O118" s="1" t="n">
        <x:f>IF(AND(L118=0,M118=0,N118=1),1,0)</x:f>
        <x:v>1</x:v>
      </x:c>
      <x:c r="P118" s="7" t="n">
        <x:f>2*3958.7613*ASIN(SQRT(SIN(RADIANS(F118-35.77951)/2)^2+COS(RADIANS(35.77951))*COS(RADIANS(F118))*SIN(RADIANS(G118-(-78.68168))/2)^2))</x:f>
        <x:v>3.002921081927988</x:v>
      </x:c>
      <x:c r="Q118" s="1" t="str">
        <x:f>IF(P118&lt;=1,"0–1 mi",IF(P118&lt;=3,"&gt;1–3 mi",IF(P118&lt;=5,"&gt;3–5 mi","Outside 5 mi")))</x:f>
        <x:v>&gt;3–5 mi</x:v>
      </x:c>
      <x:c r="R118" s="7" t="n">
        <x:f>2*3958.7613*ASIN(SQRT(SIN(RADIANS(F118-35.7687)/2)^2+COS(RADIANS(35.7687))*COS(RADIANS(F118))*SIN(RADIANS(G118-(-78.6775))/2)^2))</x:f>
        <x:v>2.771392476844371</x:v>
      </x:c>
      <x:c r="S118" s="1" t="str">
        <x:f>IF(R118&lt;=1,"0–1 mi",IF(R118&lt;=3,"&gt;1–3 mi",IF(R118&lt;=5,"&gt;3–5 mi","Outside 5 mi")))</x:f>
        <x:v>&gt;1–3 mi</x:v>
      </x:c>
      <x:c r="T118" s="7" t="n">
        <x:f>2*3958.7613*ASIN(SQRT(SIN(RADIANS(F118-35.79847)/2)^2+COS(RADIANS(35.79847))*COS(RADIANS(F118))*SIN(RADIANS(G118-(-78.70408))/2)^2))</x:f>
        <x:v>4.556484327913823</x:v>
      </x:c>
      <x:c r="U118" s="1" t="str">
        <x:f>IF(T118&lt;=1,"0–1 mi",IF(T118&lt;=3,"&gt;1–3 mi",IF(T118&lt;=5,"&gt;3–5 mi","Outside 5 mi")))</x:f>
        <x:v>&gt;3–5 mi</x:v>
      </x:c>
      <x:c r="V118" s="1" t="n">
        <x:f>IF(MIN(P118,R118,T118)&lt;=5,1,0)</x:f>
        <x:v>1</x:v>
      </x:c>
      <x:c r="W118" s="6" t="n">
        <x:f>IF(O118=1,(H118+I118)/2,"")</x:f>
        <x:v>2600</x:v>
      </x:c>
      <x:c r="X118" s="1" t="n">
        <x:f>O118*V118</x:f>
        <x:v>1</x:v>
      </x:c>
      <x:c r="Y118" s="1" t="n">
        <x:v>0</x:v>
      </x:c>
      <x:c r="Z118" s="1" t="n">
        <x:v>0</x:v>
      </x:c>
      <x:c r="AA118" s="1" t="n">
        <x:v>0</x:v>
      </x:c>
      <x:c r="AB118" s="1" t="n">
        <x:v>0</x:v>
      </x:c>
      <x:c r="AC118" s="1" t="n">
        <x:v>0</x:v>
      </x:c>
      <x:c r="AD118" s="1" t="str">
        <x:f>IF('Raw properties'!Y118="","",'Raw properties'!Y118)</x:f>
      </x:c>
      <x:c r="AE118" s="1" t="str">
        <x:v>2026-10-01</x:v>
      </x:c>
      <x:c r="AF118" s="1" t="str">
        <x:v>Included in rent means</x:v>
      </x:c>
      <x:c r="AG118" s="5" t="str">
        <x:v>Source pricing flag retained; automated consistency checks passed. This is not independent landlord verification.</x:v>
      </x:c>
      <x:c r="AH118" s="1" t="str">
        <x:v>$2,600</x:v>
      </x:c>
      <x:c r="AI118" s="8" t="n">
        <x:f>MIN(ABS(P118-1),ABS(P118-3),ABS(P118-5))*5280</x:f>
        <x:v>15.423312579777289</x:v>
      </x:c>
      <x:c r="AJ118" s="8" t="n">
        <x:f>MIN(ABS(R118-1),ABS(R118-3),ABS(R118-5))*5280</x:f>
        <x:v>1207.04772226172</x:v>
      </x:c>
      <x:c r="AK118" s="8" t="n">
        <x:f>MIN(ABS(T118-1),ABS(T118-3),ABS(T118-5))*5280</x:f>
        <x:v>2341.7627486150122</x:v>
      </x:c>
      <x:c r="AL118" s="1" t="n">
        <x:f>IF(MIN(AI118,AJ118,AK118)&lt;=100,1,0)</x:f>
        <x:v>1</x:v>
      </x:c>
    </x:row>
    <x:row r="119" ht="15" hidden="0" customHeight="1">
      <x:c r="A119" s="1" t="str">
        <x:f>IF('Raw properties'!A119="","",'Raw properties'!A119)</x:f>
        <x:v>ocp0gblz91</x:v>
      </x:c>
      <x:c r="B119" s="1" t="str">
        <x:f>IF('Raw properties'!D119="","",'Raw properties'!D119)</x:f>
        <x:v>Great value in beautiful SW Raleigh</x:v>
      </x:c>
      <x:c r="C119" s="1" t="str">
        <x:f>IF('Raw properties'!AG119="","",'Raw properties'!AG119)</x:f>
        <x:v>https://offcampus.dasa.ncsu.edu/housing/property/great-value-in-beautiful-sw-raleigh/ocp0gblz91</x:v>
      </x:c>
      <x:c r="D119" s="1" t="str">
        <x:v>Per bedroom</x:v>
      </x:c>
      <x:c r="E119" s="1" t="str">
        <x:v>Per bedroom</x:v>
      </x:c>
      <x:c r="F119" s="7" t="n">
        <x:f>IF('Raw properties'!I119="","",'Raw properties'!I119)</x:f>
        <x:v>35.747295</x:v>
      </x:c>
      <x:c r="G119" s="7" t="n">
        <x:f>IF('Raw properties'!J119="","",'Raw properties'!J119)</x:f>
        <x:v>-78.729736</x:v>
      </x:c>
      <x:c r="H119" s="6" t="n">
        <x:f>IF('Raw properties'!M119="","",'Raw properties'!M119)</x:f>
        <x:v>850</x:v>
      </x:c>
      <x:c r="I119" s="6" t="n">
        <x:f>IF('Raw properties'!N119="","",'Raw properties'!N119)</x:f>
        <x:v>850</x:v>
      </x:c>
      <x:c r="J119" s="6" t="n">
        <x:f>IF((IF('Raw floorplans'!H477&gt;0,1,0))=0,"",MIN(IF('Raw floorplans'!H477&gt;0,'Raw floorplans'!H477,1E99)))</x:f>
        <x:v>850</x:v>
      </x:c>
      <x:c r="K119" s="6" t="n">
        <x:f>IF((IF('Raw floorplans'!I477&gt;0,1,0))=0,"",MAX(IF('Raw floorplans'!I477&gt;0,'Raw floorplans'!I477,0)))</x:f>
        <x:v>850</x:v>
      </x:c>
      <x:c r="L119" s="1" t="n">
        <x:v>0</x:v>
      </x:c>
      <x:c r="M119" s="1" t="n">
        <x:f>IF(AND(ISNUMBER(H119),ISNUMBER(I119),ISNUMBER(J119),ISNUMBER(K119),H119&gt;0,I119&gt;0),IF(OR(H119&lt;&gt;J119,I119&lt;&gt;K119),1,0),0)</x:f>
        <x:v>0</x:v>
      </x:c>
      <x:c r="N119" s="1" t="n">
        <x:f>IF(AND(ISNUMBER(H119),ISNUMBER(I119),H119&gt;0,I119&gt;=H119),1,0)</x:f>
        <x:v>1</x:v>
      </x:c>
      <x:c r="O119" s="1" t="n">
        <x:f>IF(AND(L119=0,M119=0,N119=1),1,0)</x:f>
        <x:v>1</x:v>
      </x:c>
      <x:c r="P119" s="7" t="n">
        <x:f>2*3958.7613*ASIN(SQRT(SIN(RADIANS(F119-35.77951)/2)^2+COS(RADIANS(35.77951))*COS(RADIANS(F119))*SIN(RADIANS(G119-(-78.68168))/2)^2))</x:f>
        <x:v>3.494769247784297</x:v>
      </x:c>
      <x:c r="Q119" s="1" t="str">
        <x:f>IF(P119&lt;=1,"0–1 mi",IF(P119&lt;=3,"&gt;1–3 mi",IF(P119&lt;=5,"&gt;3–5 mi","Outside 5 mi")))</x:f>
        <x:v>&gt;3–5 mi</x:v>
      </x:c>
      <x:c r="R119" s="7" t="n">
        <x:f>2*3958.7613*ASIN(SQRT(SIN(RADIANS(F119-35.7687)/2)^2+COS(RADIANS(35.7687))*COS(RADIANS(F119))*SIN(RADIANS(G119-(-78.6775))/2)^2))</x:f>
        <x:v>3.2810363516689587</x:v>
      </x:c>
      <x:c r="S119" s="1" t="str">
        <x:f>IF(R119&lt;=1,"0–1 mi",IF(R119&lt;=3,"&gt;1–3 mi",IF(R119&lt;=5,"&gt;3–5 mi","Outside 5 mi")))</x:f>
        <x:v>&gt;3–5 mi</x:v>
      </x:c>
      <x:c r="T119" s="7" t="n">
        <x:f>2*3958.7613*ASIN(SQRT(SIN(RADIANS(F119-35.79847)/2)^2+COS(RADIANS(35.79847))*COS(RADIANS(F119))*SIN(RADIANS(G119-(-78.70408))/2)^2))</x:f>
        <x:v>3.8171698224993054</x:v>
      </x:c>
      <x:c r="U119" s="1" t="str">
        <x:f>IF(T119&lt;=1,"0–1 mi",IF(T119&lt;=3,"&gt;1–3 mi",IF(T119&lt;=5,"&gt;3–5 mi","Outside 5 mi")))</x:f>
        <x:v>&gt;3–5 mi</x:v>
      </x:c>
      <x:c r="V119" s="1" t="n">
        <x:f>IF(MIN(P119,R119,T119)&lt;=5,1,0)</x:f>
        <x:v>1</x:v>
      </x:c>
      <x:c r="W119" s="6" t="n">
        <x:f>IF(O119=1,(H119+I119)/2,"")</x:f>
        <x:v>850</x:v>
      </x:c>
      <x:c r="X119" s="1" t="n">
        <x:f>O119*V119</x:f>
        <x:v>1</x:v>
      </x:c>
      <x:c r="Y119" s="1" t="n">
        <x:v>0</x:v>
      </x:c>
      <x:c r="Z119" s="1" t="n">
        <x:v>0</x:v>
      </x:c>
      <x:c r="AA119" s="1" t="n">
        <x:v>0</x:v>
      </x:c>
      <x:c r="AB119" s="1" t="n">
        <x:v>0</x:v>
      </x:c>
      <x:c r="AC119" s="1" t="n">
        <x:v>0</x:v>
      </x:c>
      <x:c r="AD119" s="1" t="str">
        <x:f>IF('Raw properties'!Y119="","",'Raw properties'!Y119)</x:f>
        <x:v>1 Month Lease</x:v>
      </x:c>
      <x:c r="AE119" s="1" t="str">
        <x:v>1970-01-01</x:v>
      </x:c>
      <x:c r="AF119" s="1" t="str">
        <x:v>Included in rent means</x:v>
      </x:c>
      <x:c r="AG119" s="5" t="str">
        <x:v>Source pricing flag retained; automated consistency checks passed. This is not independent landlord verification.</x:v>
      </x:c>
      <x:c r="AH119" s="1" t="str">
        <x:v>$850</x:v>
      </x:c>
      <x:c r="AI119" s="8" t="n">
        <x:f>MIN(ABS(P119-1),ABS(P119-3),ABS(P119-5))*5280</x:f>
        <x:v>2612.3816283010874</x:v>
      </x:c>
      <x:c r="AJ119" s="8" t="n">
        <x:f>MIN(ABS(R119-1),ABS(R119-3),ABS(R119-5))*5280</x:f>
        <x:v>1483.871936812102</x:v>
      </x:c>
      <x:c r="AK119" s="8" t="n">
        <x:f>MIN(ABS(T119-1),ABS(T119-3),ABS(T119-5))*5280</x:f>
        <x:v>4314.656662796332</x:v>
      </x:c>
      <x:c r="AL119" s="1" t="n">
        <x:f>IF(MIN(AI119,AJ119,AK119)&lt;=100,1,0)</x:f>
        <x:v>0</x:v>
      </x:c>
    </x:row>
    <x:row r="120" ht="15" hidden="0" customHeight="1">
      <x:c r="A120" s="1" t="str">
        <x:f>IF('Raw properties'!A120="","",'Raw properties'!A120)</x:f>
        <x:v>ocplp7c98d</x:v>
      </x:c>
      <x:c r="B120" s="1" t="str">
        <x:f>IF('Raw properties'!D120="","",'Raw properties'!D120)</x:f>
        <x:v>Collegeview Apartments</x:v>
      </x:c>
      <x:c r="C120" s="1" t="str">
        <x:f>IF('Raw properties'!AG120="","",'Raw properties'!AG120)</x:f>
        <x:v>https://offcampus.dasa.ncsu.edu/housing/property/collegeview-apartments/ocplp7c98d</x:v>
      </x:c>
      <x:c r="D120" s="1" t="str">
        <x:v>Whole unit</x:v>
      </x:c>
      <x:c r="E120" s="1" t="str">
        <x:v>Whole unit</x:v>
      </x:c>
      <x:c r="F120" s="7" t="n">
        <x:f>IF('Raw properties'!I120="","",'Raw properties'!I120)</x:f>
        <x:v>35.775174</x:v>
      </x:c>
      <x:c r="G120" s="7" t="n">
        <x:f>IF('Raw properties'!J120="","",'Raw properties'!J120)</x:f>
        <x:v>-78.68629</x:v>
      </x:c>
      <x:c r="H120" s="6" t="n">
        <x:f>IF('Raw properties'!M120="","",'Raw properties'!M120)</x:f>
        <x:v>1445</x:v>
      </x:c>
      <x:c r="I120" s="6" t="n">
        <x:f>IF('Raw properties'!N120="","",'Raw properties'!N120)</x:f>
        <x:v>1545</x:v>
      </x:c>
      <x:c r="J120" s="6" t="n">
        <x:f>IF((IF('Raw floorplans'!H478&gt;0,1,0)+IF('Raw floorplans'!H479&gt;0,1,0))=0,"",MIN(IF('Raw floorplans'!H478&gt;0,'Raw floorplans'!H478,1E99),IF('Raw floorplans'!H479&gt;0,'Raw floorplans'!H479,1E99)))</x:f>
        <x:v>1445</x:v>
      </x:c>
      <x:c r="K120" s="6" t="n">
        <x:f>IF((IF('Raw floorplans'!I478&gt;0,1,0)+IF('Raw floorplans'!I479&gt;0,1,0))=0,"",MAX(IF('Raw floorplans'!I478&gt;0,'Raw floorplans'!I478,0),IF('Raw floorplans'!I479&gt;0,'Raw floorplans'!I479,0)))</x:f>
        <x:v>1545</x:v>
      </x:c>
      <x:c r="L120" s="1" t="n">
        <x:v>0</x:v>
      </x:c>
      <x:c r="M120" s="1" t="n">
        <x:f>IF(AND(ISNUMBER(H120),ISNUMBER(I120),ISNUMBER(J120),ISNUMBER(K120),H120&gt;0,I120&gt;0),IF(OR(H120&lt;&gt;J120,I120&lt;&gt;K120),1,0),0)</x:f>
        <x:v>0</x:v>
      </x:c>
      <x:c r="N120" s="1" t="n">
        <x:f>IF(AND(ISNUMBER(H120),ISNUMBER(I120),H120&gt;0,I120&gt;=H120),1,0)</x:f>
        <x:v>1</x:v>
      </x:c>
      <x:c r="O120" s="1" t="n">
        <x:f>IF(AND(L120=0,M120=0,N120=1),1,0)</x:f>
        <x:v>1</x:v>
      </x:c>
      <x:c r="P120" s="7" t="n">
        <x:f>2*3958.7613*ASIN(SQRT(SIN(RADIANS(F120-35.77951)/2)^2+COS(RADIANS(35.77951))*COS(RADIANS(F120))*SIN(RADIANS(G120-(-78.68168))/2)^2))</x:f>
        <x:v>0.3956406577761263</x:v>
      </x:c>
      <x:c r="Q120" s="1" t="str">
        <x:f>IF(P120&lt;=1,"0–1 mi",IF(P120&lt;=3,"&gt;1–3 mi",IF(P120&lt;=5,"&gt;3–5 mi","Outside 5 mi")))</x:f>
        <x:v>0–1 mi</x:v>
      </x:c>
      <x:c r="R120" s="7" t="n">
        <x:f>2*3958.7613*ASIN(SQRT(SIN(RADIANS(F120-35.7687)/2)^2+COS(RADIANS(35.7687))*COS(RADIANS(F120))*SIN(RADIANS(G120-(-78.6775))/2)^2))</x:f>
        <x:v>0.6655055662942458</x:v>
      </x:c>
      <x:c r="S120" s="1" t="str">
        <x:f>IF(R120&lt;=1,"0–1 mi",IF(R120&lt;=3,"&gt;1–3 mi",IF(R120&lt;=5,"&gt;3–5 mi","Outside 5 mi")))</x:f>
        <x:v>0–1 mi</x:v>
      </x:c>
      <x:c r="T120" s="7" t="n">
        <x:f>2*3958.7613*ASIN(SQRT(SIN(RADIANS(F120-35.79847)/2)^2+COS(RADIANS(35.79847))*COS(RADIANS(F120))*SIN(RADIANS(G120-(-78.70408))/2)^2))</x:f>
        <x:v>1.8934164599443344</x:v>
      </x:c>
      <x:c r="U120" s="1" t="str">
        <x:f>IF(T120&lt;=1,"0–1 mi",IF(T120&lt;=3,"&gt;1–3 mi",IF(T120&lt;=5,"&gt;3–5 mi","Outside 5 mi")))</x:f>
        <x:v>&gt;1–3 mi</x:v>
      </x:c>
      <x:c r="V120" s="1" t="n">
        <x:f>IF(MIN(P120,R120,T120)&lt;=5,1,0)</x:f>
        <x:v>1</x:v>
      </x:c>
      <x:c r="W120" s="6" t="n">
        <x:f>IF(O120=1,(H120+I120)/2,"")</x:f>
        <x:v>1495</x:v>
      </x:c>
      <x:c r="X120" s="1" t="n">
        <x:f>O120*V120</x:f>
        <x:v>1</x:v>
      </x:c>
      <x:c r="Y120" s="1" t="n">
        <x:v>0</x:v>
      </x:c>
      <x:c r="Z120" s="1" t="n">
        <x:v>0</x:v>
      </x:c>
      <x:c r="AA120" s="1" t="n">
        <x:v>0</x:v>
      </x:c>
      <x:c r="AB120" s="1" t="n">
        <x:v>0</x:v>
      </x:c>
      <x:c r="AC120" s="1" t="n">
        <x:v>0</x:v>
      </x:c>
      <x:c r="AD120" s="1" t="str">
        <x:f>IF('Raw properties'!Y120="","",'Raw properties'!Y120)</x:f>
        <x:v>12 Month Lease</x:v>
      </x:c>
      <x:c r="AE120" s="1" t="str">
        <x:v>1970-01-01</x:v>
      </x:c>
      <x:c r="AF120" s="1" t="str">
        <x:v>Included in rent means</x:v>
      </x:c>
      <x:c r="AG120" s="5" t="str">
        <x:v>Source pricing flag retained; automated consistency checks passed. This is not independent landlord verification.</x:v>
      </x:c>
      <x:c r="AH120" s="1" t="str">
        <x:v>$1,445 - $1,545</x:v>
      </x:c>
      <x:c r="AI120" s="8" t="n">
        <x:f>MIN(ABS(P120-1),ABS(P120-3),ABS(P120-5))*5280</x:f>
        <x:v>3191.0173269420534</x:v>
      </x:c>
      <x:c r="AJ120" s="8" t="n">
        <x:f>MIN(ABS(R120-1),ABS(R120-3),ABS(R120-5))*5280</x:f>
        <x:v>1766.130609966382</x:v>
      </x:c>
      <x:c r="AK120" s="8" t="n">
        <x:f>MIN(ABS(T120-1),ABS(T120-3),ABS(T120-5))*5280</x:f>
        <x:v>4717.238908506086</x:v>
      </x:c>
      <x:c r="AL120" s="1" t="n">
        <x:f>IF(MIN(AI120,AJ120,AK120)&lt;=100,1,0)</x:f>
        <x:v>0</x:v>
      </x:c>
    </x:row>
    <x:row r="121" ht="24" hidden="0" customHeight="1">
      <x:c r="A121" s="1" t="str">
        <x:f>IF('Raw properties'!A121="","",'Raw properties'!A121)</x:f>
        <x:v>ocpteqgjg8</x:v>
      </x:c>
      <x:c r="B121" s="1" t="str">
        <x:f>IF('Raw properties'!D121="","",'Raw properties'!D121)</x:f>
        <x:v>Huge modern studio suite- private entrance and beth- near NCSU</x:v>
      </x:c>
      <x:c r="C121" s="1" t="str">
        <x:f>IF('Raw properties'!AG121="","",'Raw properties'!AG121)</x:f>
        <x:v>https://offcampus.dasa.ncsu.edu/housing/property/huge-modern-studio-suite-private-entrance-and-beth-near-ncsu/ocpteqgjg8</x:v>
      </x:c>
      <x:c r="D121" s="1" t="str">
        <x:v>Whole unit</x:v>
      </x:c>
      <x:c r="E121" s="1" t="str">
        <x:v>Per bedroom</x:v>
      </x:c>
      <x:c r="F121" s="7" t="n">
        <x:f>IF('Raw properties'!I121="","",'Raw properties'!I121)</x:f>
        <x:v>35.822478</x:v>
      </x:c>
      <x:c r="G121" s="7" t="n">
        <x:f>IF('Raw properties'!J121="","",'Raw properties'!J121)</x:f>
        <x:v>-78.680244</x:v>
      </x:c>
      <x:c r="H121" s="6" t="n">
        <x:f>IF('Raw properties'!M121="","",'Raw properties'!M121)</x:f>
        <x:v>1150</x:v>
      </x:c>
      <x:c r="I121" s="6" t="n">
        <x:f>IF('Raw properties'!N121="","",'Raw properties'!N121)</x:f>
        <x:v>1150</x:v>
      </x:c>
      <x:c r="J121" s="6" t="n">
        <x:f>IF((IF('Raw floorplans'!H480&gt;0,1,0))=0,"",MIN(IF('Raw floorplans'!H480&gt;0,'Raw floorplans'!H480,1E99)))</x:f>
        <x:v>1150</x:v>
      </x:c>
      <x:c r="K121" s="6" t="n">
        <x:f>IF((IF('Raw floorplans'!I480&gt;0,1,0))=0,"",MAX(IF('Raw floorplans'!I480&gt;0,'Raw floorplans'!I480,0)))</x:f>
        <x:v>1150</x:v>
      </x:c>
      <x:c r="L121" s="1" t="n">
        <x:v>0</x:v>
      </x:c>
      <x:c r="M121" s="1" t="n">
        <x:f>IF(AND(ISNUMBER(H121),ISNUMBER(I121),ISNUMBER(J121),ISNUMBER(K121),H121&gt;0,I121&gt;0),IF(OR(H121&lt;&gt;J121,I121&lt;&gt;K121),1,0),0)</x:f>
        <x:v>0</x:v>
      </x:c>
      <x:c r="N121" s="1" t="n">
        <x:f>IF(AND(ISNUMBER(H121),ISNUMBER(I121),H121&gt;0,I121&gt;=H121),1,0)</x:f>
        <x:v>1</x:v>
      </x:c>
      <x:c r="O121" s="1" t="n">
        <x:f>IF(AND(L121=0,M121=0,N121=1),1,0)</x:f>
        <x:v>1</x:v>
      </x:c>
      <x:c r="P121" s="7" t="n">
        <x:f>2*3958.7613*ASIN(SQRT(SIN(RADIANS(F121-35.77951)/2)^2+COS(RADIANS(35.77951))*COS(RADIANS(F121))*SIN(RADIANS(G121-(-78.68168))/2)^2))</x:f>
        <x:v>2.9698964369459784</x:v>
      </x:c>
      <x:c r="Q121" s="1" t="str">
        <x:f>IF(P121&lt;=1,"0–1 mi",IF(P121&lt;=3,"&gt;1–3 mi",IF(P121&lt;=5,"&gt;3–5 mi","Outside 5 mi")))</x:f>
        <x:v>&gt;1–3 mi</x:v>
      </x:c>
      <x:c r="R121" s="7" t="n">
        <x:f>2*3958.7613*ASIN(SQRT(SIN(RADIANS(F121-35.7687)/2)^2+COS(RADIANS(35.7687))*COS(RADIANS(F121))*SIN(RADIANS(G121-(-78.6775))/2)^2))</x:f>
        <x:v>3.7188867319154078</x:v>
      </x:c>
      <x:c r="S121" s="1" t="str">
        <x:f>IF(R121&lt;=1,"0–1 mi",IF(R121&lt;=3,"&gt;1–3 mi",IF(R121&lt;=5,"&gt;3–5 mi","Outside 5 mi")))</x:f>
        <x:v>&gt;3–5 mi</x:v>
      </x:c>
      <x:c r="T121" s="7" t="n">
        <x:f>2*3958.7613*ASIN(SQRT(SIN(RADIANS(F121-35.79847)/2)^2+COS(RADIANS(35.79847))*COS(RADIANS(F121))*SIN(RADIANS(G121-(-78.70408))/2)^2))</x:f>
        <x:v>2.129637740162672</x:v>
      </x:c>
      <x:c r="U121" s="1" t="str">
        <x:f>IF(T121&lt;=1,"0–1 mi",IF(T121&lt;=3,"&gt;1–3 mi",IF(T121&lt;=5,"&gt;3–5 mi","Outside 5 mi")))</x:f>
        <x:v>&gt;1–3 mi</x:v>
      </x:c>
      <x:c r="V121" s="1" t="n">
        <x:f>IF(MIN(P121,R121,T121)&lt;=5,1,0)</x:f>
        <x:v>1</x:v>
      </x:c>
      <x:c r="W121" s="6" t="n">
        <x:f>IF(O121=1,(H121+I121)/2,"")</x:f>
        <x:v>1150</x:v>
      </x:c>
      <x:c r="X121" s="1" t="n">
        <x:f>O121*V121</x:f>
        <x:v>1</x:v>
      </x:c>
      <x:c r="Y121" s="1" t="n">
        <x:v>0</x:v>
      </x:c>
      <x:c r="Z121" s="1" t="n">
        <x:v>0</x:v>
      </x:c>
      <x:c r="AA121" s="1" t="n">
        <x:v>0</x:v>
      </x:c>
      <x:c r="AB121" s="1" t="n">
        <x:v>0</x:v>
      </x:c>
      <x:c r="AC121" s="1" t="n">
        <x:v>0</x:v>
      </x:c>
      <x:c r="AD121" s="1" t="str">
        <x:f>IF('Raw properties'!Y121="","",'Raw properties'!Y121)</x:f>
        <x:v>1 Month Lease</x:v>
      </x:c>
      <x:c r="AE121" s="1" t="str">
        <x:v>1970-01-01</x:v>
      </x:c>
      <x:c r="AF121" s="1" t="str">
        <x:v>Included in rent means</x:v>
      </x:c>
      <x:c r="AG121" s="5" t="str">
        <x:v>September 13 source describes a single-occupancy private suite with shared kitchen and laundry. Classified as a per-person room/suite, not a self-contained whole dwelling; September 9 price retained.</x:v>
      </x:c>
      <x:c r="AH121" s="1" t="str">
        <x:v>$1,150</x:v>
      </x:c>
      <x:c r="AI121" s="8" t="n">
        <x:f>MIN(ABS(P121-1),ABS(P121-3),ABS(P121-5))*5280</x:f>
        <x:v>158.94681292523416</x:v>
      </x:c>
      <x:c r="AJ121" s="8" t="n">
        <x:f>MIN(ABS(R121-1),ABS(R121-3),ABS(R121-5))*5280</x:f>
        <x:v>3795.721944513353</x:v>
      </x:c>
      <x:c r="AK121" s="8" t="n">
        <x:f>MIN(ABS(T121-1),ABS(T121-3),ABS(T121-5))*5280</x:f>
        <x:v>4595.512731941093</x:v>
      </x:c>
      <x:c r="AL121" s="1" t="n">
        <x:f>IF(MIN(AI121,AJ121,AK121)&lt;=100,1,0)</x:f>
        <x:v>0</x:v>
      </x:c>
    </x:row>
    <x:row r="122" ht="15" hidden="0" customHeight="1">
      <x:c r="A122" s="1" t="str">
        <x:f>IF('Raw properties'!A122="","",'Raw properties'!A122)</x:f>
        <x:v>33f756e</x:v>
      </x:c>
      <x:c r="B122" s="1" t="str">
        <x:f>IF('Raw properties'!D122="","",'Raw properties'!D122)</x:f>
        <x:v>University Village at 2505</x:v>
      </x:c>
      <x:c r="C122" s="1" t="str">
        <x:f>IF('Raw properties'!AG122="","",'Raw properties'!AG122)</x:f>
        <x:v>https://offcampus.dasa.ncsu.edu/housing/property/university-village-at-2505/33f756e</x:v>
      </x:c>
      <x:c r="D122" s="1" t="str">
        <x:v>Per bedroom</x:v>
      </x:c>
      <x:c r="E122" s="1" t="str">
        <x:v>Per bedroom</x:v>
      </x:c>
      <x:c r="F122" s="7" t="n">
        <x:f>IF('Raw properties'!I122="","",'Raw properties'!I122)</x:f>
        <x:v>35.747318</x:v>
      </x:c>
      <x:c r="G122" s="7" t="n">
        <x:f>IF('Raw properties'!J122="","",'Raw properties'!J122)</x:f>
        <x:v>-78.677292</x:v>
      </x:c>
      <x:c r="H122" s="6" t="n">
        <x:f>IF('Raw properties'!M122="","",'Raw properties'!M122)</x:f>
        <x:v>799</x:v>
      </x:c>
      <x:c r="I122" s="6" t="n">
        <x:f>IF('Raw properties'!N122="","",'Raw properties'!N122)</x:f>
        <x:v>799</x:v>
      </x:c>
      <x:c r="J122" s="6" t="n">
        <x:f>IF((IF('Raw floorplans'!H481&gt;0,1,0))=0,"",MIN(IF('Raw floorplans'!H481&gt;0,'Raw floorplans'!H481,1E99)))</x:f>
        <x:v>799</x:v>
      </x:c>
      <x:c r="K122" s="6" t="n">
        <x:f>IF((IF('Raw floorplans'!I481&gt;0,1,0))=0,"",MAX(IF('Raw floorplans'!I481&gt;0,'Raw floorplans'!I481,0)))</x:f>
        <x:v>799</x:v>
      </x:c>
      <x:c r="L122" s="1" t="n">
        <x:v>0</x:v>
      </x:c>
      <x:c r="M122" s="1" t="n">
        <x:f>IF(AND(ISNUMBER(H122),ISNUMBER(I122),ISNUMBER(J122),ISNUMBER(K122),H122&gt;0,I122&gt;0),IF(OR(H122&lt;&gt;J122,I122&lt;&gt;K122),1,0),0)</x:f>
        <x:v>0</x:v>
      </x:c>
      <x:c r="N122" s="1" t="n">
        <x:f>IF(AND(ISNUMBER(H122),ISNUMBER(I122),H122&gt;0,I122&gt;=H122),1,0)</x:f>
        <x:v>1</x:v>
      </x:c>
      <x:c r="O122" s="1" t="n">
        <x:f>IF(AND(L122=0,M122=0,N122=1),1,0)</x:f>
        <x:v>1</x:v>
      </x:c>
      <x:c r="P122" s="7" t="n">
        <x:f>2*3958.7613*ASIN(SQRT(SIN(RADIANS(F122-35.77951)/2)^2+COS(RADIANS(35.77951))*COS(RADIANS(F122))*SIN(RADIANS(G122-(-78.68168))/2)^2))</x:f>
        <x:v>2.237819087455844</x:v>
      </x:c>
      <x:c r="Q122" s="1" t="str">
        <x:f>IF(P122&lt;=1,"0–1 mi",IF(P122&lt;=3,"&gt;1–3 mi",IF(P122&lt;=5,"&gt;3–5 mi","Outside 5 mi")))</x:f>
        <x:v>&gt;1–3 mi</x:v>
      </x:c>
      <x:c r="R122" s="7" t="n">
        <x:f>2*3958.7613*ASIN(SQRT(SIN(RADIANS(F122-35.7687)/2)^2+COS(RADIANS(35.7687))*COS(RADIANS(F122))*SIN(RADIANS(G122-(-78.6775))/2)^2))</x:f>
        <x:v>1.4774015153944724</x:v>
      </x:c>
      <x:c r="S122" s="1" t="str">
        <x:f>IF(R122&lt;=1,"0–1 mi",IF(R122&lt;=3,"&gt;1–3 mi",IF(R122&lt;=5,"&gt;3–5 mi","Outside 5 mi")))</x:f>
        <x:v>&gt;1–3 mi</x:v>
      </x:c>
      <x:c r="T122" s="7" t="n">
        <x:f>2*3958.7613*ASIN(SQRT(SIN(RADIANS(F122-35.79847)/2)^2+COS(RADIANS(35.79847))*COS(RADIANS(F122))*SIN(RADIANS(G122-(-78.70408))/2)^2))</x:f>
        <x:v>3.8400665076158256</x:v>
      </x:c>
      <x:c r="U122" s="1" t="str">
        <x:f>IF(T122&lt;=1,"0–1 mi",IF(T122&lt;=3,"&gt;1–3 mi",IF(T122&lt;=5,"&gt;3–5 mi","Outside 5 mi")))</x:f>
        <x:v>&gt;3–5 mi</x:v>
      </x:c>
      <x:c r="V122" s="1" t="n">
        <x:f>IF(MIN(P122,R122,T122)&lt;=5,1,0)</x:f>
        <x:v>1</x:v>
      </x:c>
      <x:c r="W122" s="6" t="n">
        <x:f>IF(O122=1,(H122+I122)/2,"")</x:f>
        <x:v>799</x:v>
      </x:c>
      <x:c r="X122" s="1" t="n">
        <x:f>O122*V122</x:f>
        <x:v>1</x:v>
      </x:c>
      <x:c r="Y122" s="1" t="n">
        <x:v>0</x:v>
      </x:c>
      <x:c r="Z122" s="1" t="n">
        <x:v>0</x:v>
      </x:c>
      <x:c r="AA122" s="1" t="n">
        <x:v>0</x:v>
      </x:c>
      <x:c r="AB122" s="1" t="n">
        <x:v>1</x:v>
      </x:c>
      <x:c r="AC122" s="1" t="n">
        <x:v>0</x:v>
      </x:c>
      <x:c r="AD122" s="1" t="str">
        <x:f>IF('Raw properties'!Y122="","",'Raw properties'!Y122)</x:f>
        <x:v>11 Month Lease</x:v>
      </x:c>
      <x:c r="AE122" s="1" t="str">
        <x:v>2026-08-12</x:v>
      </x:c>
      <x:c r="AF122" s="1" t="str">
        <x:v>Included in rent means</x:v>
      </x:c>
      <x:c r="AG122" s="5" t="str">
        <x:v>Source pricing flag retained; automated consistency checks passed. This is not independent landlord verification.</x:v>
      </x:c>
      <x:c r="AH122" s="1" t="str">
        <x:v>$799</x:v>
      </x:c>
      <x:c r="AI122" s="8" t="n">
        <x:f>MIN(ABS(P122-1),ABS(P122-3),ABS(P122-5))*5280</x:f>
        <x:v>4024.315218233144</x:v>
      </x:c>
      <x:c r="AJ122" s="8" t="n">
        <x:f>MIN(ABS(R122-1),ABS(R122-3),ABS(R122-5))*5280</x:f>
        <x:v>2520.6800012828144</x:v>
      </x:c>
      <x:c r="AK122" s="8" t="n">
        <x:f>MIN(ABS(T122-1),ABS(T122-3),ABS(T122-5))*5280</x:f>
        <x:v>4435.551160211559</x:v>
      </x:c>
      <x:c r="AL122" s="1" t="n">
        <x:f>IF(MIN(AI122,AJ122,AK122)&lt;=100,1,0)</x:f>
        <x:v>0</x:v>
      </x:c>
    </x:row>
    <x:row r="123" ht="15" hidden="0" customHeight="1">
      <x:c r="A123" s="1" t="str">
        <x:f>IF('Raw properties'!A123="","",'Raw properties'!A123)</x:f>
        <x:v>ocphe602k0</x:v>
      </x:c>
      <x:c r="B123" s="1" t="str">
        <x:f>IF('Raw properties'!D123="","",'Raw properties'!D123)</x:f>
        <x:v>Apartment close to campus</x:v>
      </x:c>
      <x:c r="C123" s="1" t="str">
        <x:f>IF('Raw properties'!AG123="","",'Raw properties'!AG123)</x:f>
        <x:v>https://offcampus.dasa.ncsu.edu/housing/property/apartment-close-to-campus/ocphe602k0</x:v>
      </x:c>
      <x:c r="D123" s="1" t="str">
        <x:v>Whole unit</x:v>
      </x:c>
      <x:c r="E123" s="1" t="str">
        <x:v>Whole unit</x:v>
      </x:c>
      <x:c r="F123" s="7" t="n">
        <x:f>IF('Raw properties'!I123="","",'Raw properties'!I123)</x:f>
        <x:v>35.748959</x:v>
      </x:c>
      <x:c r="G123" s="7" t="n">
        <x:f>IF('Raw properties'!J123="","",'Raw properties'!J123)</x:f>
        <x:v>-78.69618</x:v>
      </x:c>
      <x:c r="H123" s="6" t="n">
        <x:f>IF('Raw properties'!M123="","",'Raw properties'!M123)</x:f>
        <x:v>1800</x:v>
      </x:c>
      <x:c r="I123" s="6" t="n">
        <x:f>IF('Raw properties'!N123="","",'Raw properties'!N123)</x:f>
        <x:v>1800</x:v>
      </x:c>
      <x:c r="J123" s="6" t="n">
        <x:f>IF((IF('Raw floorplans'!H482&gt;0,1,0))=0,"",MIN(IF('Raw floorplans'!H482&gt;0,'Raw floorplans'!H482,1E99)))</x:f>
        <x:v>1800</x:v>
      </x:c>
      <x:c r="K123" s="6" t="n">
        <x:f>IF((IF('Raw floorplans'!I482&gt;0,1,0))=0,"",MAX(IF('Raw floorplans'!I482&gt;0,'Raw floorplans'!I482,0)))</x:f>
        <x:v>1800</x:v>
      </x:c>
      <x:c r="L123" s="1" t="n">
        <x:v>0</x:v>
      </x:c>
      <x:c r="M123" s="1" t="n">
        <x:f>IF(AND(ISNUMBER(H123),ISNUMBER(I123),ISNUMBER(J123),ISNUMBER(K123),H123&gt;0,I123&gt;0),IF(OR(H123&lt;&gt;J123,I123&lt;&gt;K123),1,0),0)</x:f>
        <x:v>0</x:v>
      </x:c>
      <x:c r="N123" s="1" t="n">
        <x:f>IF(AND(ISNUMBER(H123),ISNUMBER(I123),H123&gt;0,I123&gt;=H123),1,0)</x:f>
        <x:v>1</x:v>
      </x:c>
      <x:c r="O123" s="1" t="n">
        <x:f>IF(AND(L123=0,M123=0,N123=1),1,0)</x:f>
        <x:v>1</x:v>
      </x:c>
      <x:c r="P123" s="7" t="n">
        <x:f>2*3958.7613*ASIN(SQRT(SIN(RADIANS(F123-35.77951)/2)^2+COS(RADIANS(35.77951))*COS(RADIANS(F123))*SIN(RADIANS(G123-(-78.68168))/2)^2))</x:f>
        <x:v>2.262000465006574</x:v>
      </x:c>
      <x:c r="Q123" s="1" t="str">
        <x:f>IF(P123&lt;=1,"0–1 mi",IF(P123&lt;=3,"&gt;1–3 mi",IF(P123&lt;=5,"&gt;3–5 mi","Outside 5 mi")))</x:f>
        <x:v>&gt;1–3 mi</x:v>
      </x:c>
      <x:c r="R123" s="7" t="n">
        <x:f>2*3958.7613*ASIN(SQRT(SIN(RADIANS(F123-35.7687)/2)^2+COS(RADIANS(35.7687))*COS(RADIANS(F123))*SIN(RADIANS(G123-(-78.6775))/2)^2))</x:f>
        <x:v>1.7197014724701785</x:v>
      </x:c>
      <x:c r="S123" s="1" t="str">
        <x:f>IF(R123&lt;=1,"0–1 mi",IF(R123&lt;=3,"&gt;1–3 mi",IF(R123&lt;=5,"&gt;3–5 mi","Outside 5 mi")))</x:f>
        <x:v>&gt;1–3 mi</x:v>
      </x:c>
      <x:c r="T123" s="7" t="n">
        <x:f>2*3958.7613*ASIN(SQRT(SIN(RADIANS(F123-35.79847)/2)^2+COS(RADIANS(35.79847))*COS(RADIANS(F123))*SIN(RADIANS(G123-(-78.70408))/2)^2))</x:f>
        <x:v>3.4494304578829458</x:v>
      </x:c>
      <x:c r="U123" s="1" t="str">
        <x:f>IF(T123&lt;=1,"0–1 mi",IF(T123&lt;=3,"&gt;1–3 mi",IF(T123&lt;=5,"&gt;3–5 mi","Outside 5 mi")))</x:f>
        <x:v>&gt;3–5 mi</x:v>
      </x:c>
      <x:c r="V123" s="1" t="n">
        <x:f>IF(MIN(P123,R123,T123)&lt;=5,1,0)</x:f>
        <x:v>1</x:v>
      </x:c>
      <x:c r="W123" s="6" t="n">
        <x:f>IF(O123=1,(H123+I123)/2,"")</x:f>
        <x:v>1800</x:v>
      </x:c>
      <x:c r="X123" s="1" t="n">
        <x:f>O123*V123</x:f>
        <x:v>1</x:v>
      </x:c>
      <x:c r="Y123" s="1" t="n">
        <x:v>0</x:v>
      </x:c>
      <x:c r="Z123" s="1" t="n">
        <x:v>0</x:v>
      </x:c>
      <x:c r="AA123" s="1" t="n">
        <x:v>0</x:v>
      </x:c>
      <x:c r="AB123" s="1" t="n">
        <x:v>0</x:v>
      </x:c>
      <x:c r="AC123" s="1" t="n">
        <x:v>0</x:v>
      </x:c>
      <x:c r="AD123" s="1" t="str">
        <x:f>IF('Raw properties'!Y123="","",'Raw properties'!Y123)</x:f>
        <x:v>12 Month Lease</x:v>
      </x:c>
      <x:c r="AE123" s="1" t="str">
        <x:v>2026-07-20</x:v>
      </x:c>
      <x:c r="AF123" s="1" t="str">
        <x:v>Included in rent means</x:v>
      </x:c>
      <x:c r="AG123" s="5" t="str">
        <x:v>Source pricing flag retained; automated consistency checks passed. This is not independent landlord verification.</x:v>
      </x:c>
      <x:c r="AH123" s="1" t="str">
        <x:v>$1,800</x:v>
      </x:c>
      <x:c r="AI123" s="8" t="n">
        <x:f>MIN(ABS(P123-1),ABS(P123-3),ABS(P123-5))*5280</x:f>
        <x:v>3896.6375447652886</x:v>
      </x:c>
      <x:c r="AJ123" s="8" t="n">
        <x:f>MIN(ABS(R123-1),ABS(R123-3),ABS(R123-5))*5280</x:f>
        <x:v>3800.0237746425423</x:v>
      </x:c>
      <x:c r="AK123" s="8" t="n">
        <x:f>MIN(ABS(T123-1),ABS(T123-3),ABS(T123-5))*5280</x:f>
        <x:v>2372.9928176219537</x:v>
      </x:c>
      <x:c r="AL123" s="1" t="n">
        <x:f>IF(MIN(AI123,AJ123,AK123)&lt;=100,1,0)</x:f>
        <x:v>0</x:v>
      </x:c>
    </x:row>
    <x:row r="124" ht="15" hidden="0" customHeight="1">
      <x:c r="A124" s="1" t="str">
        <x:f>IF('Raw properties'!A124="","",'Raw properties'!A124)</x:f>
        <x:v>zfenc9w</x:v>
      </x:c>
      <x:c r="B124" s="1" t="str">
        <x:f>IF('Raw properties'!D124="","",'Raw properties'!D124)</x:f>
        <x:v>Room in Condo on Wolfmill Dr</x:v>
      </x:c>
      <x:c r="C124" s="1" t="str">
        <x:f>IF('Raw properties'!AG124="","",'Raw properties'!AG124)</x:f>
        <x:v>https://offcampus.dasa.ncsu.edu/housing/property/room-in-condo-on-wolfmill-dr/zfenc9w</x:v>
      </x:c>
      <x:c r="D124" s="1" t="str">
        <x:v>Whole unit</x:v>
      </x:c>
      <x:c r="E124" s="1" t="str">
        <x:v>Per bedroom</x:v>
      </x:c>
      <x:c r="F124" s="7" t="n">
        <x:f>IF('Raw properties'!I124="","",'Raw properties'!I124)</x:f>
        <x:v>35.749406</x:v>
      </x:c>
      <x:c r="G124" s="7" t="n">
        <x:f>IF('Raw properties'!J124="","",'Raw properties'!J124)</x:f>
        <x:v>-78.696527</x:v>
      </x:c>
      <x:c r="H124" s="6" t="n">
        <x:f>IF('Raw properties'!M124="","",'Raw properties'!M124)</x:f>
        <x:v>720</x:v>
      </x:c>
      <x:c r="I124" s="6" t="n">
        <x:f>IF('Raw properties'!N124="","",'Raw properties'!N124)</x:f>
        <x:v>720</x:v>
      </x:c>
      <x:c r="J124" s="6" t="n">
        <x:f>IF((IF('Raw floorplans'!H483&gt;0,1,0))=0,"",MIN(IF('Raw floorplans'!H483&gt;0,'Raw floorplans'!H483,1E99)))</x:f>
        <x:v>720</x:v>
      </x:c>
      <x:c r="K124" s="6" t="n">
        <x:f>IF((IF('Raw floorplans'!I483&gt;0,1,0))=0,"",MAX(IF('Raw floorplans'!I483&gt;0,'Raw floorplans'!I483,0)))</x:f>
        <x:v>720</x:v>
      </x:c>
      <x:c r="L124" s="1" t="n">
        <x:v>0</x:v>
      </x:c>
      <x:c r="M124" s="1" t="n">
        <x:f>IF(AND(ISNUMBER(H124),ISNUMBER(I124),ISNUMBER(J124),ISNUMBER(K124),H124&gt;0,I124&gt;0),IF(OR(H124&lt;&gt;J124,I124&lt;&gt;K124),1,0),0)</x:f>
        <x:v>0</x:v>
      </x:c>
      <x:c r="N124" s="1" t="n">
        <x:f>IF(AND(ISNUMBER(H124),ISNUMBER(I124),H124&gt;0,I124&gt;=H124),1,0)</x:f>
        <x:v>1</x:v>
      </x:c>
      <x:c r="O124" s="1" t="n">
        <x:f>IF(AND(L124=0,M124=0,N124=1),1,0)</x:f>
        <x:v>1</x:v>
      </x:c>
      <x:c r="P124" s="7" t="n">
        <x:f>2*3958.7613*ASIN(SQRT(SIN(RADIANS(F124-35.77951)/2)^2+COS(RADIANS(35.77951))*COS(RADIANS(F124))*SIN(RADIANS(G124-(-78.68168))/2)^2))</x:f>
        <x:v>2.2403609359133854</x:v>
      </x:c>
      <x:c r="Q124" s="1" t="str">
        <x:f>IF(P124&lt;=1,"0–1 mi",IF(P124&lt;=3,"&gt;1–3 mi",IF(P124&lt;=5,"&gt;3–5 mi","Outside 5 mi")))</x:f>
        <x:v>&gt;1–3 mi</x:v>
      </x:c>
      <x:c r="R124" s="7" t="n">
        <x:f>2*3958.7613*ASIN(SQRT(SIN(RADIANS(F124-35.7687)/2)^2+COS(RADIANS(35.7687))*COS(RADIANS(F124))*SIN(RADIANS(G124-(-78.6775))/2)^2))</x:f>
        <x:v>1.7073960067858187</x:v>
      </x:c>
      <x:c r="S124" s="1" t="str">
        <x:f>IF(R124&lt;=1,"0–1 mi",IF(R124&lt;=3,"&gt;1–3 mi",IF(R124&lt;=5,"&gt;3–5 mi","Outside 5 mi")))</x:f>
        <x:v>&gt;1–3 mi</x:v>
      </x:c>
      <x:c r="T124" s="7" t="n">
        <x:f>2*3958.7613*ASIN(SQRT(SIN(RADIANS(F124-35.79847)/2)^2+COS(RADIANS(35.79847))*COS(RADIANS(F124))*SIN(RADIANS(G124-(-78.70408))/2)^2))</x:f>
        <x:v>3.4163381673451085</x:v>
      </x:c>
      <x:c r="U124" s="1" t="str">
        <x:f>IF(T124&lt;=1,"0–1 mi",IF(T124&lt;=3,"&gt;1–3 mi",IF(T124&lt;=5,"&gt;3–5 mi","Outside 5 mi")))</x:f>
        <x:v>&gt;3–5 mi</x:v>
      </x:c>
      <x:c r="V124" s="1" t="n">
        <x:f>IF(MIN(P124,R124,T124)&lt;=5,1,0)</x:f>
        <x:v>1</x:v>
      </x:c>
      <x:c r="W124" s="6" t="n">
        <x:f>IF(O124=1,(H124+I124)/2,"")</x:f>
        <x:v>720</x:v>
      </x:c>
      <x:c r="X124" s="1" t="n">
        <x:f>O124*V124</x:f>
        <x:v>1</x:v>
      </x:c>
      <x:c r="Y124" s="1" t="n">
        <x:v>0</x:v>
      </x:c>
      <x:c r="Z124" s="1" t="n">
        <x:v>0</x:v>
      </x:c>
      <x:c r="AA124" s="1" t="n">
        <x:v>0</x:v>
      </x:c>
      <x:c r="AB124" s="1" t="n">
        <x:v>0</x:v>
      </x:c>
      <x:c r="AC124" s="1" t="n">
        <x:v>0</x:v>
      </x:c>
      <x:c r="AD124" s="1" t="str">
        <x:f>IF('Raw properties'!Y124="","",'Raw properties'!Y124)</x:f>
      </x:c>
      <x:c r="AE124" s="1" t="str">
        <x:v>2026-09-09</x:v>
      </x:c>
      <x:c r="AF124" s="1" t="str">
        <x:v>Included in rent means</x:v>
      </x:c>
      <x:c r="AG124" s="5" t="str">
        <x:v>Saved September 9 title explicitly offers a room. Reclassified from whole unit to room/per-bedroom; snapshot price unchanged.</x:v>
      </x:c>
      <x:c r="AH124" s="1" t="str">
        <x:v>$720</x:v>
      </x:c>
      <x:c r="AI124" s="8" t="n">
        <x:f>MIN(ABS(P124-1),ABS(P124-3),ABS(P124-5))*5280</x:f>
        <x:v>4010.894258377325</x:v>
      </x:c>
      <x:c r="AJ124" s="8" t="n">
        <x:f>MIN(ABS(R124-1),ABS(R124-3),ABS(R124-5))*5280</x:f>
        <x:v>3735.050915829123</x:v>
      </x:c>
      <x:c r="AK124" s="8" t="n">
        <x:f>MIN(ABS(T124-1),ABS(T124-3),ABS(T124-5))*5280</x:f>
        <x:v>2198.265523582173</x:v>
      </x:c>
      <x:c r="AL124" s="1" t="n">
        <x:f>IF(MIN(AI124,AJ124,AK124)&lt;=100,1,0)</x:f>
        <x:v>0</x:v>
      </x:c>
    </x:row>
    <x:row r="125" ht="15" hidden="0" customHeight="1">
      <x:c r="A125" s="1" t="str">
        <x:f>IF('Raw properties'!A125="","",'Raw properties'!A125)</x:f>
        <x:v>ocpvv9069d</x:v>
      </x:c>
      <x:c r="B125" s="1" t="str">
        <x:f>IF('Raw properties'!D125="","",'Raw properties'!D125)</x:f>
        <x:v>912 Chaney Rd. #102</x:v>
      </x:c>
      <x:c r="C125" s="1" t="str">
        <x:f>IF('Raw properties'!AG125="","",'Raw properties'!AG125)</x:f>
        <x:v>https://offcampus.dasa.ncsu.edu/housing/property/912-chaney-rd-102/ocpvv9069d</x:v>
      </x:c>
      <x:c r="D125" s="1" t="str">
        <x:v>Whole unit</x:v>
      </x:c>
      <x:c r="E125" s="1" t="str">
        <x:v>Whole unit</x:v>
      </x:c>
      <x:c r="F125" s="7" t="n">
        <x:f>IF('Raw properties'!I125="","",'Raw properties'!I125)</x:f>
        <x:v>35.786705</x:v>
      </x:c>
      <x:c r="G125" s="7" t="n">
        <x:f>IF('Raw properties'!J125="","",'Raw properties'!J125)</x:f>
        <x:v>-78.69549</x:v>
      </x:c>
      <x:c r="H125" s="6" t="n">
        <x:f>IF('Raw properties'!M125="","",'Raw properties'!M125)</x:f>
        <x:v>2600</x:v>
      </x:c>
      <x:c r="I125" s="6" t="n">
        <x:f>IF('Raw properties'!N125="","",'Raw properties'!N125)</x:f>
        <x:v>2600</x:v>
      </x:c>
      <x:c r="J125" s="6" t="n">
        <x:f>IF((IF('Raw floorplans'!H484&gt;0,1,0))=0,"",MIN(IF('Raw floorplans'!H484&gt;0,'Raw floorplans'!H484,1E99)))</x:f>
        <x:v>2600</x:v>
      </x:c>
      <x:c r="K125" s="6" t="n">
        <x:f>IF((IF('Raw floorplans'!I484&gt;0,1,0))=0,"",MAX(IF('Raw floorplans'!I484&gt;0,'Raw floorplans'!I484,0)))</x:f>
        <x:v>2600</x:v>
      </x:c>
      <x:c r="L125" s="1" t="n">
        <x:v>0</x:v>
      </x:c>
      <x:c r="M125" s="1" t="n">
        <x:f>IF(AND(ISNUMBER(H125),ISNUMBER(I125),ISNUMBER(J125),ISNUMBER(K125),H125&gt;0,I125&gt;0),IF(OR(H125&lt;&gt;J125,I125&lt;&gt;K125),1,0),0)</x:f>
        <x:v>0</x:v>
      </x:c>
      <x:c r="N125" s="1" t="n">
        <x:f>IF(AND(ISNUMBER(H125),ISNUMBER(I125),H125&gt;0,I125&gt;=H125),1,0)</x:f>
        <x:v>1</x:v>
      </x:c>
      <x:c r="O125" s="1" t="n">
        <x:f>IF(AND(L125=0,M125=0,N125=1),1,0)</x:f>
        <x:v>1</x:v>
      </x:c>
      <x:c r="P125" s="7" t="n">
        <x:f>2*3958.7613*ASIN(SQRT(SIN(RADIANS(F125-35.77951)/2)^2+COS(RADIANS(35.77951))*COS(RADIANS(F125))*SIN(RADIANS(G125-(-78.68168))/2)^2))</x:f>
        <x:v>0.9199526031849081</x:v>
      </x:c>
      <x:c r="Q125" s="1" t="str">
        <x:f>IF(P125&lt;=1,"0–1 mi",IF(P125&lt;=3,"&gt;1–3 mi",IF(P125&lt;=5,"&gt;3–5 mi","Outside 5 mi")))</x:f>
        <x:v>0–1 mi</x:v>
      </x:c>
      <x:c r="R125" s="7" t="n">
        <x:f>2*3958.7613*ASIN(SQRT(SIN(RADIANS(F125-35.7687)/2)^2+COS(RADIANS(35.7687))*COS(RADIANS(F125))*SIN(RADIANS(G125-(-78.6775))/2)^2))</x:f>
        <x:v>1.6014148073986902</x:v>
      </x:c>
      <x:c r="S125" s="1" t="str">
        <x:f>IF(R125&lt;=1,"0–1 mi",IF(R125&lt;=3,"&gt;1–3 mi",IF(R125&lt;=5,"&gt;3–5 mi","Outside 5 mi")))</x:f>
        <x:v>&gt;1–3 mi</x:v>
      </x:c>
      <x:c r="T125" s="7" t="n">
        <x:f>2*3958.7613*ASIN(SQRT(SIN(RADIANS(F125-35.79847)/2)^2+COS(RADIANS(35.79847))*COS(RADIANS(F125))*SIN(RADIANS(G125-(-78.70408))/2)^2))</x:f>
        <x:v>0.9447470993512855</x:v>
      </x:c>
      <x:c r="U125" s="1" t="str">
        <x:f>IF(T125&lt;=1,"0–1 mi",IF(T125&lt;=3,"&gt;1–3 mi",IF(T125&lt;=5,"&gt;3–5 mi","Outside 5 mi")))</x:f>
        <x:v>0–1 mi</x:v>
      </x:c>
      <x:c r="V125" s="1" t="n">
        <x:f>IF(MIN(P125,R125,T125)&lt;=5,1,0)</x:f>
        <x:v>1</x:v>
      </x:c>
      <x:c r="W125" s="6" t="n">
        <x:f>IF(O125=1,(H125+I125)/2,"")</x:f>
        <x:v>2600</x:v>
      </x:c>
      <x:c r="X125" s="1" t="n">
        <x:f>O125*V125</x:f>
        <x:v>1</x:v>
      </x:c>
      <x:c r="Y125" s="1" t="n">
        <x:v>0</x:v>
      </x:c>
      <x:c r="Z125" s="1" t="n">
        <x:v>0</x:v>
      </x:c>
      <x:c r="AA125" s="1" t="n">
        <x:v>0</x:v>
      </x:c>
      <x:c r="AB125" s="1" t="n">
        <x:v>1</x:v>
      </x:c>
      <x:c r="AC125" s="1" t="n">
        <x:v>0</x:v>
      </x:c>
      <x:c r="AD125" s="1" t="str">
        <x:f>IF('Raw properties'!Y125="","",'Raw properties'!Y125)</x:f>
        <x:v>12 Month Lease</x:v>
      </x:c>
      <x:c r="AE125" s="1" t="str">
        <x:v>1970-01-01</x:v>
      </x:c>
      <x:c r="AF125" s="1" t="str">
        <x:v>Included in rent means</x:v>
      </x:c>
      <x:c r="AG125" s="5" t="str">
        <x:v>Source pricing flag retained; automated consistency checks passed. This is not independent landlord verification.</x:v>
      </x:c>
      <x:c r="AH125" s="1" t="str">
        <x:v>$2,600</x:v>
      </x:c>
      <x:c r="AI125" s="8" t="n">
        <x:f>MIN(ABS(P125-1),ABS(P125-3),ABS(P125-5))*5280</x:f>
        <x:v>422.6502551836851</x:v>
      </x:c>
      <x:c r="AJ125" s="8" t="n">
        <x:f>MIN(ABS(R125-1),ABS(R125-3),ABS(R125-5))*5280</x:f>
        <x:v>3175.4701830650847</x:v>
      </x:c>
      <x:c r="AK125" s="8" t="n">
        <x:f>MIN(ABS(T125-1),ABS(T125-3),ABS(T125-5))*5280</x:f>
        <x:v>291.7353154252124</x:v>
      </x:c>
      <x:c r="AL125" s="1" t="n">
        <x:f>IF(MIN(AI125,AJ125,AK125)&lt;=100,1,0)</x:f>
        <x:v>0</x:v>
      </x:c>
    </x:row>
    <x:row r="126" ht="15" hidden="0" customHeight="1">
      <x:c r="A126" s="1" t="str">
        <x:f>IF('Raw properties'!A126="","",'Raw properties'!A126)</x:f>
        <x:v>49jmmdh</x:v>
      </x:c>
      <x:c r="B126" s="1" t="str">
        <x:f>IF('Raw properties'!D126="","",'Raw properties'!D126)</x:f>
        <x:v>Room in Townhome on Haskell Dr</x:v>
      </x:c>
      <x:c r="C126" s="1" t="str">
        <x:f>IF('Raw properties'!AG126="","",'Raw properties'!AG126)</x:f>
        <x:v>https://offcampus.dasa.ncsu.edu/housing/property/room-in-townhome-on-haskell-dr/49jmmdh</x:v>
      </x:c>
      <x:c r="D126" s="1" t="str">
        <x:v>Whole unit</x:v>
      </x:c>
      <x:c r="E126" s="1" t="str">
        <x:v>Per bedroom</x:v>
      </x:c>
      <x:c r="F126" s="7" t="n">
        <x:f>IF('Raw properties'!I126="","",'Raw properties'!I126)</x:f>
        <x:v>35.738846</x:v>
      </x:c>
      <x:c r="G126" s="7" t="n">
        <x:f>IF('Raw properties'!J126="","",'Raw properties'!J126)</x:f>
        <x:v>-78.629227</x:v>
      </x:c>
      <x:c r="H126" s="6" t="n">
        <x:f>IF('Raw properties'!M126="","",'Raw properties'!M126)</x:f>
        <x:v>563</x:v>
      </x:c>
      <x:c r="I126" s="6" t="n">
        <x:f>IF('Raw properties'!N126="","",'Raw properties'!N126)</x:f>
        <x:v>563</x:v>
      </x:c>
      <x:c r="J126" s="6" t="n">
        <x:f>IF((IF('Raw floorplans'!H485&gt;0,1,0))=0,"",MIN(IF('Raw floorplans'!H485&gt;0,'Raw floorplans'!H485,1E99)))</x:f>
        <x:v>563</x:v>
      </x:c>
      <x:c r="K126" s="6" t="n">
        <x:f>IF((IF('Raw floorplans'!I485&gt;0,1,0))=0,"",MAX(IF('Raw floorplans'!I485&gt;0,'Raw floorplans'!I485,0)))</x:f>
        <x:v>563</x:v>
      </x:c>
      <x:c r="L126" s="1" t="n">
        <x:v>0</x:v>
      </x:c>
      <x:c r="M126" s="1" t="n">
        <x:f>IF(AND(ISNUMBER(H126),ISNUMBER(I126),ISNUMBER(J126),ISNUMBER(K126),H126&gt;0,I126&gt;0),IF(OR(H126&lt;&gt;J126,I126&lt;&gt;K126),1,0),0)</x:f>
        <x:v>0</x:v>
      </x:c>
      <x:c r="N126" s="1" t="n">
        <x:f>IF(AND(ISNUMBER(H126),ISNUMBER(I126),H126&gt;0,I126&gt;=H126),1,0)</x:f>
        <x:v>1</x:v>
      </x:c>
      <x:c r="O126" s="1" t="n">
        <x:f>IF(AND(L126=0,M126=0,N126=1),1,0)</x:f>
        <x:v>1</x:v>
      </x:c>
      <x:c r="P126" s="7" t="n">
        <x:f>2*3958.7613*ASIN(SQRT(SIN(RADIANS(F126-35.77951)/2)^2+COS(RADIANS(35.77951))*COS(RADIANS(F126))*SIN(RADIANS(G126-(-78.68168))/2)^2))</x:f>
        <x:v>4.067310842213812</x:v>
      </x:c>
      <x:c r="Q126" s="1" t="str">
        <x:f>IF(P126&lt;=1,"0–1 mi",IF(P126&lt;=3,"&gt;1–3 mi",IF(P126&lt;=5,"&gt;3–5 mi","Outside 5 mi")))</x:f>
        <x:v>&gt;3–5 mi</x:v>
      </x:c>
      <x:c r="R126" s="7" t="n">
        <x:f>2*3958.7613*ASIN(SQRT(SIN(RADIANS(F126-35.7687)/2)^2+COS(RADIANS(35.7687))*COS(RADIANS(F126))*SIN(RADIANS(G126-(-78.6775))/2)^2))</x:f>
        <x:v>3.403130883504008</x:v>
      </x:c>
      <x:c r="S126" s="1" t="str">
        <x:f>IF(R126&lt;=1,"0–1 mi",IF(R126&lt;=3,"&gt;1–3 mi",IF(R126&lt;=5,"&gt;3–5 mi","Outside 5 mi")))</x:f>
        <x:v>&gt;3–5 mi</x:v>
      </x:c>
      <x:c r="T126" s="7" t="n">
        <x:f>2*3958.7613*ASIN(SQRT(SIN(RADIANS(F126-35.79847)/2)^2+COS(RADIANS(35.79847))*COS(RADIANS(F126))*SIN(RADIANS(G126-(-78.70408))/2)^2))</x:f>
        <x:v>5.880536046599733</x:v>
      </x:c>
      <x:c r="U126" s="1" t="str">
        <x:f>IF(T126&lt;=1,"0–1 mi",IF(T126&lt;=3,"&gt;1–3 mi",IF(T126&lt;=5,"&gt;3–5 mi","Outside 5 mi")))</x:f>
        <x:v>Outside 5 mi</x:v>
      </x:c>
      <x:c r="V126" s="1" t="n">
        <x:f>IF(MIN(P126,R126,T126)&lt;=5,1,0)</x:f>
        <x:v>1</x:v>
      </x:c>
      <x:c r="W126" s="6" t="n">
        <x:f>IF(O126=1,(H126+I126)/2,"")</x:f>
        <x:v>563</x:v>
      </x:c>
      <x:c r="X126" s="1" t="n">
        <x:f>O126*V126</x:f>
        <x:v>1</x:v>
      </x:c>
      <x:c r="Y126" s="1" t="n">
        <x:v>0</x:v>
      </x:c>
      <x:c r="Z126" s="1" t="n">
        <x:v>0</x:v>
      </x:c>
      <x:c r="AA126" s="1" t="n">
        <x:v>0</x:v>
      </x:c>
      <x:c r="AB126" s="1" t="n">
        <x:v>0</x:v>
      </x:c>
      <x:c r="AC126" s="1" t="n">
        <x:v>0</x:v>
      </x:c>
      <x:c r="AD126" s="1" t="str">
        <x:f>IF('Raw properties'!Y126="","",'Raw properties'!Y126)</x:f>
      </x:c>
      <x:c r="AE126" s="1" t="str">
        <x:v>2026-09-09</x:v>
      </x:c>
      <x:c r="AF126" s="1" t="str">
        <x:v>Included in rent means</x:v>
      </x:c>
      <x:c r="AG126" s="5" t="str">
        <x:v>Saved September 9 title explicitly offers a room. Reclassified from whole unit to room/per-bedroom; snapshot price unchanged.</x:v>
      </x:c>
      <x:c r="AH126" s="1" t="str">
        <x:v>$563</x:v>
      </x:c>
      <x:c r="AI126" s="8" t="n">
        <x:f>MIN(ABS(P126-1),ABS(P126-3),ABS(P126-5))*5280</x:f>
        <x:v>4924.598753111075</x:v>
      </x:c>
      <x:c r="AJ126" s="8" t="n">
        <x:f>MIN(ABS(R126-1),ABS(R126-3),ABS(R126-5))*5280</x:f>
        <x:v>2128.531064901163</x:v>
      </x:c>
      <x:c r="AK126" s="8" t="n">
        <x:f>MIN(ABS(T126-1),ABS(T126-3),ABS(T126-5))*5280</x:f>
        <x:v>4649.2303260465915</x:v>
      </x:c>
      <x:c r="AL126" s="1" t="n">
        <x:f>IF(MIN(AI126,AJ126,AK126)&lt;=100,1,0)</x:f>
        <x:v>0</x:v>
      </x:c>
    </x:row>
    <x:row r="127" ht="15" hidden="0" customHeight="1">
      <x:c r="A127" s="1" t="str">
        <x:f>IF('Raw properties'!A127="","",'Raw properties'!A127)</x:f>
        <x:v>ocpn54lxfn</x:v>
      </x:c>
      <x:c r="B127" s="1" t="str">
        <x:f>IF('Raw properties'!D127="","",'Raw properties'!D127)</x:f>
        <x:v>3 bedroom home close to campus and downtown Raleigh(Utilities included)</x:v>
      </x:c>
      <x:c r="C127" s="1" t="str">
        <x:f>IF('Raw properties'!AG127="","",'Raw properties'!AG127)</x:f>
        <x:v>https://offcampus.dasa.ncsu.edu/housing/property/3-bedroom-home-close-to-campus-and-downtown-raleigh-utilities-included/ocpn54lxfn</x:v>
      </x:c>
      <x:c r="D127" s="1" t="str">
        <x:v>Whole unit</x:v>
      </x:c>
      <x:c r="E127" s="1" t="str">
        <x:v>Whole unit</x:v>
      </x:c>
      <x:c r="F127" s="7" t="n">
        <x:f>IF('Raw properties'!I127="","",'Raw properties'!I127)</x:f>
        <x:v>35.748395</x:v>
      </x:c>
      <x:c r="G127" s="7" t="n">
        <x:f>IF('Raw properties'!J127="","",'Raw properties'!J127)</x:f>
        <x:v>-78.616584</x:v>
      </x:c>
      <x:c r="H127" s="6" t="n">
        <x:f>IF('Raw properties'!M127="","",'Raw properties'!M127)</x:f>
        <x:v>2000</x:v>
      </x:c>
      <x:c r="I127" s="6" t="n">
        <x:f>IF('Raw properties'!N127="","",'Raw properties'!N127)</x:f>
        <x:v>2000</x:v>
      </x:c>
      <x:c r="J127" s="6" t="n">
        <x:f>IF((IF('Raw floorplans'!H486&gt;0,1,0))=0,"",MIN(IF('Raw floorplans'!H486&gt;0,'Raw floorplans'!H486,1E99)))</x:f>
        <x:v>2000</x:v>
      </x:c>
      <x:c r="K127" s="6" t="n">
        <x:f>IF((IF('Raw floorplans'!I486&gt;0,1,0))=0,"",MAX(IF('Raw floorplans'!I486&gt;0,'Raw floorplans'!I486,0)))</x:f>
        <x:v>2000</x:v>
      </x:c>
      <x:c r="L127" s="1" t="n">
        <x:v>0</x:v>
      </x:c>
      <x:c r="M127" s="1" t="n">
        <x:f>IF(AND(ISNUMBER(H127),ISNUMBER(I127),ISNUMBER(J127),ISNUMBER(K127),H127&gt;0,I127&gt;0),IF(OR(H127&lt;&gt;J127,I127&lt;&gt;K127),1,0),0)</x:f>
        <x:v>0</x:v>
      </x:c>
      <x:c r="N127" s="1" t="n">
        <x:f>IF(AND(ISNUMBER(H127),ISNUMBER(I127),H127&gt;0,I127&gt;=H127),1,0)</x:f>
        <x:v>1</x:v>
      </x:c>
      <x:c r="O127" s="1" t="n">
        <x:f>IF(AND(L127=0,M127=0,N127=1),1,0)</x:f>
        <x:v>1</x:v>
      </x:c>
      <x:c r="P127" s="7" t="n">
        <x:f>2*3958.7613*ASIN(SQRT(SIN(RADIANS(F127-35.77951)/2)^2+COS(RADIANS(35.77951))*COS(RADIANS(F127))*SIN(RADIANS(G127-(-78.68168))/2)^2))</x:f>
        <x:v>4.2357119814671575</x:v>
      </x:c>
      <x:c r="Q127" s="1" t="str">
        <x:f>IF(P127&lt;=1,"0–1 mi",IF(P127&lt;=3,"&gt;1–3 mi",IF(P127&lt;=5,"&gt;3–5 mi","Outside 5 mi")))</x:f>
        <x:v>&gt;3–5 mi</x:v>
      </x:c>
      <x:c r="R127" s="7" t="n">
        <x:f>2*3958.7613*ASIN(SQRT(SIN(RADIANS(F127-35.7687)/2)^2+COS(RADIANS(35.7687))*COS(RADIANS(F127))*SIN(RADIANS(G127-(-78.6775))/2)^2))</x:f>
        <x:v>3.692374532421051</x:v>
      </x:c>
      <x:c r="S127" s="1" t="str">
        <x:f>IF(R127&lt;=1,"0–1 mi",IF(R127&lt;=3,"&gt;1–3 mi",IF(R127&lt;=5,"&gt;3–5 mi","Outside 5 mi")))</x:f>
        <x:v>&gt;3–5 mi</x:v>
      </x:c>
      <x:c r="T127" s="7" t="n">
        <x:f>2*3958.7613*ASIN(SQRT(SIN(RADIANS(F127-35.79847)/2)^2+COS(RADIANS(35.79847))*COS(RADIANS(F127))*SIN(RADIANS(G127-(-78.70408))/2)^2))</x:f>
        <x:v>6.002337733914312</x:v>
      </x:c>
      <x:c r="U127" s="1" t="str">
        <x:f>IF(T127&lt;=1,"0–1 mi",IF(T127&lt;=3,"&gt;1–3 mi",IF(T127&lt;=5,"&gt;3–5 mi","Outside 5 mi")))</x:f>
        <x:v>Outside 5 mi</x:v>
      </x:c>
      <x:c r="V127" s="1" t="n">
        <x:f>IF(MIN(P127,R127,T127)&lt;=5,1,0)</x:f>
        <x:v>1</x:v>
      </x:c>
      <x:c r="W127" s="6" t="n">
        <x:f>IF(O127=1,(H127+I127)/2,"")</x:f>
        <x:v>2000</x:v>
      </x:c>
      <x:c r="X127" s="1" t="n">
        <x:f>O127*V127</x:f>
        <x:v>1</x:v>
      </x:c>
      <x:c r="Y127" s="1" t="n">
        <x:v>0</x:v>
      </x:c>
      <x:c r="Z127" s="1" t="n">
        <x:v>0</x:v>
      </x:c>
      <x:c r="AA127" s="1" t="n">
        <x:v>0</x:v>
      </x:c>
      <x:c r="AB127" s="1" t="n">
        <x:v>0</x:v>
      </x:c>
      <x:c r="AC127" s="1" t="n">
        <x:v>0</x:v>
      </x:c>
      <x:c r="AD127" s="1" t="str">
        <x:f>IF('Raw properties'!Y127="","",'Raw properties'!Y127)</x:f>
        <x:v>12 Month Lease</x:v>
      </x:c>
      <x:c r="AE127" s="1" t="str">
        <x:v>1970-01-01</x:v>
      </x:c>
      <x:c r="AF127" s="1" t="str">
        <x:v>Included in rent means</x:v>
      </x:c>
      <x:c r="AG127" s="5" t="str">
        <x:v>Source pricing flag retained; automated consistency checks passed. This is not independent landlord verification.</x:v>
      </x:c>
      <x:c r="AH127" s="1" t="str">
        <x:v>$2,000</x:v>
      </x:c>
      <x:c r="AI127" s="8" t="n">
        <x:f>MIN(ABS(P127-1),ABS(P127-3),ABS(P127-5))*5280</x:f>
        <x:v>4035.4407378534083</x:v>
      </x:c>
      <x:c r="AJ127" s="8" t="n">
        <x:f>MIN(ABS(R127-1),ABS(R127-3),ABS(R127-5))*5280</x:f>
        <x:v>3655.7375311831483</x:v>
      </x:c>
      <x:c r="AK127" s="8" t="n">
        <x:f>MIN(ABS(T127-1),ABS(T127-3),ABS(T127-5))*5280</x:f>
        <x:v>5292.3432350675685</x:v>
      </x:c>
      <x:c r="AL127" s="1" t="n">
        <x:f>IF(MIN(AI127,AJ127,AK127)&lt;=100,1,0)</x:f>
        <x:v>0</x:v>
      </x:c>
    </x:row>
    <x:row r="128" ht="36" hidden="0" customHeight="1">
      <x:c r="A128" s="1" t="str">
        <x:f>IF('Raw properties'!A128="","",'Raw properties'!A128)</x:f>
        <x:v>wjt9dqk</x:v>
      </x:c>
      <x:c r="B128" s="1" t="str">
        <x:f>IF('Raw properties'!D128="","",'Raw properties'!D128)</x:f>
        <x:v>Room in Condo on University Ct</x:v>
      </x:c>
      <x:c r="C128" s="1" t="str">
        <x:f>IF('Raw properties'!AG128="","",'Raw properties'!AG128)</x:f>
        <x:v>https://offcampus.dasa.ncsu.edu/housing/property/room-in-condo-on-university-ct/wjt9dqk</x:v>
      </x:c>
      <x:c r="D128" s="1" t="str">
        <x:v>Whole unit</x:v>
      </x:c>
      <x:c r="E128" s="1" t="str">
        <x:v>Per bedroom</x:v>
      </x:c>
      <x:c r="F128" s="7" t="n">
        <x:f>IF('Raw properties'!I128="","",'Raw properties'!I128)</x:f>
        <x:v>35.763601</x:v>
      </x:c>
      <x:c r="G128" s="7" t="n">
        <x:f>IF('Raw properties'!J128="","",'Raw properties'!J128)</x:f>
        <x:v>-78.70304</x:v>
      </x:c>
      <x:c r="H128" s="6" t="n">
        <x:f>IF('Raw properties'!M128="","",'Raw properties'!M128)</x:f>
        <x:v>650</x:v>
      </x:c>
      <x:c r="I128" s="6" t="n">
        <x:f>IF('Raw properties'!N128="","",'Raw properties'!N128)</x:f>
        <x:v>650</x:v>
      </x:c>
      <x:c r="J128" s="6" t="n">
        <x:f>IF((IF('Raw floorplans'!H487&gt;0,1,0))=0,"",MIN(IF('Raw floorplans'!H487&gt;0,'Raw floorplans'!H487,1E99)))</x:f>
        <x:v>625</x:v>
      </x:c>
      <x:c r="K128" s="6" t="n">
        <x:f>IF((IF('Raw floorplans'!I487&gt;0,1,0))=0,"",MAX(IF('Raw floorplans'!I487&gt;0,'Raw floorplans'!I487,0)))</x:f>
        <x:v>625</x:v>
      </x:c>
      <x:c r="L128" s="1" t="n">
        <x:v>0</x:v>
      </x:c>
      <x:c r="M128" s="1" t="n">
        <x:f>IF(AND(ISNUMBER(H128),ISNUMBER(I128),ISNUMBER(J128),ISNUMBER(K128),H128&gt;0,I128&gt;0),IF(OR(H128&lt;&gt;J128,I128&lt;&gt;K128),1,0),0)</x:f>
        <x:v>1</x:v>
      </x:c>
      <x:c r="N128" s="1" t="n">
        <x:f>IF(AND(ISNUMBER(H128),ISNUMBER(I128),H128&gt;0,I128&gt;=H128),1,0)</x:f>
        <x:v>1</x:v>
      </x:c>
      <x:c r="O128" s="1" t="n">
        <x:f>IF(AND(L128=0,M128=0,N128=1),1,0)</x:f>
        <x:v>0</x:v>
      </x:c>
      <x:c r="P128" s="7" t="n">
        <x:f>2*3958.7613*ASIN(SQRT(SIN(RADIANS(F128-35.77951)/2)^2+COS(RADIANS(35.77951))*COS(RADIANS(F128))*SIN(RADIANS(G128-(-78.68168))/2)^2))</x:f>
        <x:v>1.6254486933257006</x:v>
      </x:c>
      <x:c r="Q128" s="1" t="str">
        <x:f>IF(P128&lt;=1,"0–1 mi",IF(P128&lt;=3,"&gt;1–3 mi",IF(P128&lt;=5,"&gt;3–5 mi","Outside 5 mi")))</x:f>
        <x:v>&gt;1–3 mi</x:v>
      </x:c>
      <x:c r="R128" s="7" t="n">
        <x:f>2*3958.7613*ASIN(SQRT(SIN(RADIANS(F128-35.7687)/2)^2+COS(RADIANS(35.7687))*COS(RADIANS(F128))*SIN(RADIANS(G128-(-78.6775))/2)^2))</x:f>
        <x:v>1.4745558645180903</x:v>
      </x:c>
      <x:c r="S128" s="1" t="str">
        <x:f>IF(R128&lt;=1,"0–1 mi",IF(R128&lt;=3,"&gt;1–3 mi",IF(R128&lt;=5,"&gt;3–5 mi","Outside 5 mi")))</x:f>
        <x:v>&gt;1–3 mi</x:v>
      </x:c>
      <x:c r="T128" s="7" t="n">
        <x:f>2*3958.7613*ASIN(SQRT(SIN(RADIANS(F128-35.79847)/2)^2+COS(RADIANS(35.79847))*COS(RADIANS(F128))*SIN(RADIANS(G128-(-78.70408))/2)^2))</x:f>
        <x:v>2.4099235865276003</x:v>
      </x:c>
      <x:c r="U128" s="1" t="str">
        <x:f>IF(T128&lt;=1,"0–1 mi",IF(T128&lt;=3,"&gt;1–3 mi",IF(T128&lt;=5,"&gt;3–5 mi","Outside 5 mi")))</x:f>
        <x:v>&gt;1–3 mi</x:v>
      </x:c>
      <x:c r="V128" s="1" t="n">
        <x:f>IF(MIN(P128,R128,T128)&lt;=5,1,0)</x:f>
        <x:v>1</x:v>
      </x:c>
      <x:c r="W128" s="6" t="str">
        <x:f>IF(O128=1,(H128+I128)/2,"")</x:f>
      </x:c>
      <x:c r="X128" s="1" t="n">
        <x:f>O128*V128</x:f>
        <x:v>0</x:v>
      </x:c>
      <x:c r="Y128" s="1" t="n">
        <x:v>0</x:v>
      </x:c>
      <x:c r="Z128" s="1" t="n">
        <x:v>0</x:v>
      </x:c>
      <x:c r="AA128" s="1" t="n">
        <x:v>0</x:v>
      </x:c>
      <x:c r="AB128" s="1" t="n">
        <x:v>0</x:v>
      </x:c>
      <x:c r="AC128" s="1" t="n">
        <x:v>0</x:v>
      </x:c>
      <x:c r="AD128" s="1" t="str">
        <x:f>IF('Raw properties'!Y128="","",'Raw properties'!Y128)</x:f>
      </x:c>
      <x:c r="AE128" s="1" t="str">
        <x:v>2026-09-09</x:v>
      </x:c>
      <x:c r="AF128" s="1" t="str">
        <x:v>Excluded from rent means</x:v>
      </x:c>
      <x:c r="AG128" s="5" t="str">
        <x:v>Saved September 9 title explicitly offers a room. Reclassified from whole unit to room/per-bedroom; snapshot price unchanged. Search summary: $650–$650; saved floor-plan envelope: $625–$625. Difference may reflect fees, timing or scope; unresolved snapshot price excluded.</x:v>
      </x:c>
      <x:c r="AH128" s="1" t="str">
        <x:v>$650</x:v>
      </x:c>
      <x:c r="AI128" s="8" t="n">
        <x:f>MIN(ABS(P128-1),ABS(P128-3),ABS(P128-5))*5280</x:f>
        <x:v>3302.3691007596994</x:v>
      </x:c>
      <x:c r="AJ128" s="8" t="n">
        <x:f>MIN(ABS(R128-1),ABS(R128-3),ABS(R128-5))*5280</x:f>
        <x:v>2505.654964655517</x:v>
      </x:c>
      <x:c r="AK128" s="8" t="n">
        <x:f>MIN(ABS(T128-1),ABS(T128-3),ABS(T128-5))*5280</x:f>
        <x:v>3115.6034631342704</x:v>
      </x:c>
      <x:c r="AL128" s="1" t="n">
        <x:f>IF(MIN(AI128,AJ128,AK128)&lt;=100,1,0)</x:f>
        <x:v>0</x:v>
      </x:c>
    </x:row>
    <x:row r="129" ht="15" hidden="0" customHeight="1">
      <x:c r="A129" s="1" t="str">
        <x:f>IF('Raw properties'!A129="","",'Raw properties'!A129)</x:f>
        <x:v>ocpg8zsjmz</x:v>
      </x:c>
      <x:c r="B129" s="1" t="str">
        <x:f>IF('Raw properties'!D129="","",'Raw properties'!D129)</x:f>
        <x:v>Flex Stay | Lux Furnished | 3 Bed |  Pets OK | Utilities Incl. | International OK</x:v>
      </x:c>
      <x:c r="C129" s="1" t="str">
        <x:f>IF('Raw properties'!AG129="","",'Raw properties'!AG129)</x:f>
        <x:v>https://offcampus.dasa.ncsu.edu/housing/property/flex-stay-lux-furnished-3-bed-pets-ok-utilities-incl-international-ok/ocpg8zsjmz</x:v>
      </x:c>
      <x:c r="D129" s="1" t="str">
        <x:v>Whole unit</x:v>
      </x:c>
      <x:c r="E129" s="1" t="str">
        <x:v>Whole unit</x:v>
      </x:c>
      <x:c r="F129" s="7" t="n">
        <x:f>IF('Raw properties'!I129="","",'Raw properties'!I129)</x:f>
        <x:v>35.773384</x:v>
      </x:c>
      <x:c r="G129" s="7" t="n">
        <x:f>IF('Raw properties'!J129="","",'Raw properties'!J129)</x:f>
        <x:v>-78.694331</x:v>
      </x:c>
      <x:c r="H129" s="6" t="n">
        <x:f>IF('Raw properties'!M129="","",'Raw properties'!M129)</x:f>
        <x:v>2800</x:v>
      </x:c>
      <x:c r="I129" s="6" t="n">
        <x:f>IF('Raw properties'!N129="","",'Raw properties'!N129)</x:f>
        <x:v>2800</x:v>
      </x:c>
      <x:c r="J129" s="6" t="n">
        <x:f>IF((IF('Raw floorplans'!H488&gt;0,1,0))=0,"",MIN(IF('Raw floorplans'!H488&gt;0,'Raw floorplans'!H488,1E99)))</x:f>
        <x:v>2800</x:v>
      </x:c>
      <x:c r="K129" s="6" t="n">
        <x:f>IF((IF('Raw floorplans'!I488&gt;0,1,0))=0,"",MAX(IF('Raw floorplans'!I488&gt;0,'Raw floorplans'!I488,0)))</x:f>
        <x:v>2800</x:v>
      </x:c>
      <x:c r="L129" s="1" t="n">
        <x:v>0</x:v>
      </x:c>
      <x:c r="M129" s="1" t="n">
        <x:f>IF(AND(ISNUMBER(H129),ISNUMBER(I129),ISNUMBER(J129),ISNUMBER(K129),H129&gt;0,I129&gt;0),IF(OR(H129&lt;&gt;J129,I129&lt;&gt;K129),1,0),0)</x:f>
        <x:v>0</x:v>
      </x:c>
      <x:c r="N129" s="1" t="n">
        <x:f>IF(AND(ISNUMBER(H129),ISNUMBER(I129),H129&gt;0,I129&gt;=H129),1,0)</x:f>
        <x:v>1</x:v>
      </x:c>
      <x:c r="O129" s="1" t="n">
        <x:f>IF(AND(L129=0,M129=0,N129=1),1,0)</x:f>
        <x:v>1</x:v>
      </x:c>
      <x:c r="P129" s="7" t="n">
        <x:f>2*3958.7613*ASIN(SQRT(SIN(RADIANS(F129-35.77951)/2)^2+COS(RADIANS(35.77951))*COS(RADIANS(F129))*SIN(RADIANS(G129-(-78.68168))/2)^2))</x:f>
        <x:v>0.8258720595427331</x:v>
      </x:c>
      <x:c r="Q129" s="1" t="str">
        <x:f>IF(P129&lt;=1,"0–1 mi",IF(P129&lt;=3,"&gt;1–3 mi",IF(P129&lt;=5,"&gt;3–5 mi","Outside 5 mi")))</x:f>
        <x:v>0–1 mi</x:v>
      </x:c>
      <x:c r="R129" s="7" t="n">
        <x:f>2*3958.7613*ASIN(SQRT(SIN(RADIANS(F129-35.7687)/2)^2+COS(RADIANS(35.7687))*COS(RADIANS(F129))*SIN(RADIANS(G129-(-78.6775))/2)^2))</x:f>
        <x:v>0.997499135613368</x:v>
      </x:c>
      <x:c r="S129" s="1" t="str">
        <x:f>IF(R129&lt;=1,"0–1 mi",IF(R129&lt;=3,"&gt;1–3 mi",IF(R129&lt;=5,"&gt;3–5 mi","Outside 5 mi")))</x:f>
        <x:v>0–1 mi</x:v>
      </x:c>
      <x:c r="T129" s="7" t="n">
        <x:f>2*3958.7613*ASIN(SQRT(SIN(RADIANS(F129-35.79847)/2)^2+COS(RADIANS(35.79847))*COS(RADIANS(F129))*SIN(RADIANS(G129-(-78.70408))/2)^2))</x:f>
        <x:v>1.8173685994593705</x:v>
      </x:c>
      <x:c r="U129" s="1" t="str">
        <x:f>IF(T129&lt;=1,"0–1 mi",IF(T129&lt;=3,"&gt;1–3 mi",IF(T129&lt;=5,"&gt;3–5 mi","Outside 5 mi")))</x:f>
        <x:v>&gt;1–3 mi</x:v>
      </x:c>
      <x:c r="V129" s="1" t="n">
        <x:f>IF(MIN(P129,R129,T129)&lt;=5,1,0)</x:f>
        <x:v>1</x:v>
      </x:c>
      <x:c r="W129" s="6" t="n">
        <x:f>IF(O129=1,(H129+I129)/2,"")</x:f>
        <x:v>2800</x:v>
      </x:c>
      <x:c r="X129" s="1" t="n">
        <x:f>O129*V129</x:f>
        <x:v>1</x:v>
      </x:c>
      <x:c r="Y129" s="1" t="n">
        <x:v>0</x:v>
      </x:c>
      <x:c r="Z129" s="1" t="n">
        <x:v>0</x:v>
      </x:c>
      <x:c r="AA129" s="1" t="n">
        <x:v>0</x:v>
      </x:c>
      <x:c r="AB129" s="1" t="n">
        <x:v>0</x:v>
      </x:c>
      <x:c r="AC129" s="1" t="n">
        <x:v>0</x:v>
      </x:c>
      <x:c r="AD129" s="1" t="str">
        <x:f>IF('Raw properties'!Y129="","",'Raw properties'!Y129)</x:f>
        <x:v>1 Month Lease</x:v>
      </x:c>
      <x:c r="AE129" s="1" t="str">
        <x:v>2026-08-15</x:v>
      </x:c>
      <x:c r="AF129" s="1" t="str">
        <x:v>Included in rent means</x:v>
      </x:c>
      <x:c r="AG129" s="5" t="str">
        <x:v>Source pricing flag retained; automated consistency checks passed. This is not independent landlord verification.</x:v>
      </x:c>
      <x:c r="AH129" s="1" t="str">
        <x:v>$2,800</x:v>
      </x:c>
      <x:c r="AI129" s="8" t="n">
        <x:f>MIN(ABS(P129-1),ABS(P129-3),ABS(P129-5))*5280</x:f>
        <x:v>919.395525614369</x:v>
      </x:c>
      <x:c r="AJ129" s="8" t="n">
        <x:f>MIN(ABS(R129-1),ABS(R129-3),ABS(R129-5))*5280</x:f>
        <x:v>13.204563961416937</x:v>
      </x:c>
      <x:c r="AK129" s="8" t="n">
        <x:f>MIN(ABS(T129-1),ABS(T129-3),ABS(T129-5))*5280</x:f>
        <x:v>4315.706205145476</x:v>
      </x:c>
      <x:c r="AL129" s="1" t="n">
        <x:f>IF(MIN(AI129,AJ129,AK129)&lt;=100,1,0)</x:f>
        <x:v>1</x:v>
      </x:c>
    </x:row>
    <x:row r="130" ht="15" hidden="0" customHeight="1">
      <x:c r="A130" s="1" t="str">
        <x:f>IF('Raw properties'!A130="","",'Raw properties'!A130)</x:f>
        <x:v>bq6wzsb</x:v>
      </x:c>
      <x:c r="B130" s="1" t="str">
        <x:f>IF('Raw properties'!D130="","",'Raw properties'!D130)</x:f>
        <x:v>Room in House on Quartz Ct</x:v>
      </x:c>
      <x:c r="C130" s="1" t="str">
        <x:f>IF('Raw properties'!AG130="","",'Raw properties'!AG130)</x:f>
        <x:v>https://offcampus.dasa.ncsu.edu/housing/property/room-in-house-on-quartz-ct/bq6wzsb</x:v>
      </x:c>
      <x:c r="D130" s="1" t="str">
        <x:v>Whole unit</x:v>
      </x:c>
      <x:c r="E130" s="1" t="str">
        <x:v>Per bedroom</x:v>
      </x:c>
      <x:c r="F130" s="7" t="n">
        <x:f>IF('Raw properties'!I130="","",'Raw properties'!I130)</x:f>
        <x:v>35.746499</x:v>
      </x:c>
      <x:c r="G130" s="7" t="n">
        <x:f>IF('Raw properties'!J130="","",'Raw properties'!J130)</x:f>
        <x:v>-78.607758</x:v>
      </x:c>
      <x:c r="H130" s="6" t="n">
        <x:f>IF('Raw properties'!M130="","",'Raw properties'!M130)</x:f>
        <x:v>685</x:v>
      </x:c>
      <x:c r="I130" s="6" t="n">
        <x:f>IF('Raw properties'!N130="","",'Raw properties'!N130)</x:f>
        <x:v>685</x:v>
      </x:c>
      <x:c r="J130" s="6" t="n">
        <x:f>IF((IF('Raw floorplans'!H489&gt;0,1,0))=0,"",MIN(IF('Raw floorplans'!H489&gt;0,'Raw floorplans'!H489,1E99)))</x:f>
        <x:v>685</x:v>
      </x:c>
      <x:c r="K130" s="6" t="n">
        <x:f>IF((IF('Raw floorplans'!I489&gt;0,1,0))=0,"",MAX(IF('Raw floorplans'!I489&gt;0,'Raw floorplans'!I489,0)))</x:f>
        <x:v>685</x:v>
      </x:c>
      <x:c r="L130" s="1" t="n">
        <x:v>0</x:v>
      </x:c>
      <x:c r="M130" s="1" t="n">
        <x:f>IF(AND(ISNUMBER(H130),ISNUMBER(I130),ISNUMBER(J130),ISNUMBER(K130),H130&gt;0,I130&gt;0),IF(OR(H130&lt;&gt;J130,I130&lt;&gt;K130),1,0),0)</x:f>
        <x:v>0</x:v>
      </x:c>
      <x:c r="N130" s="1" t="n">
        <x:f>IF(AND(ISNUMBER(H130),ISNUMBER(I130),H130&gt;0,I130&gt;=H130),1,0)</x:f>
        <x:v>1</x:v>
      </x:c>
      <x:c r="O130" s="1" t="n">
        <x:f>IF(AND(L130=0,M130=0,N130=1),1,0)</x:f>
        <x:v>1</x:v>
      </x:c>
      <x:c r="P130" s="7" t="n">
        <x:f>2*3958.7613*ASIN(SQRT(SIN(RADIANS(F130-35.77951)/2)^2+COS(RADIANS(35.77951))*COS(RADIANS(F130))*SIN(RADIANS(G130-(-78.68168))/2)^2))</x:f>
        <x:v>4.730619121957775</x:v>
      </x:c>
      <x:c r="Q130" s="1" t="str">
        <x:f>IF(P130&lt;=1,"0–1 mi",IF(P130&lt;=3,"&gt;1–3 mi",IF(P130&lt;=5,"&gt;3–5 mi","Outside 5 mi")))</x:f>
        <x:v>&gt;3–5 mi</x:v>
      </x:c>
      <x:c r="R130" s="7" t="n">
        <x:f>2*3958.7613*ASIN(SQRT(SIN(RADIANS(F130-35.7687)/2)^2+COS(RADIANS(35.7687))*COS(RADIANS(F130))*SIN(RADIANS(G130-(-78.6775))/2)^2))</x:f>
        <x:v>4.200471923458718</x:v>
      </x:c>
      <x:c r="S130" s="1" t="str">
        <x:f>IF(R130&lt;=1,"0–1 mi",IF(R130&lt;=3,"&gt;1–3 mi",IF(R130&lt;=5,"&gt;3–5 mi","Outside 5 mi")))</x:f>
        <x:v>&gt;3–5 mi</x:v>
      </x:c>
      <x:c r="T130" s="7" t="n">
        <x:f>2*3958.7613*ASIN(SQRT(SIN(RADIANS(F130-35.79847)/2)^2+COS(RADIANS(35.79847))*COS(RADIANS(F130))*SIN(RADIANS(G130-(-78.70408))/2)^2))</x:f>
        <x:v>6.4846515642144285</x:v>
      </x:c>
      <x:c r="U130" s="1" t="str">
        <x:f>IF(T130&lt;=1,"0–1 mi",IF(T130&lt;=3,"&gt;1–3 mi",IF(T130&lt;=5,"&gt;3–5 mi","Outside 5 mi")))</x:f>
        <x:v>Outside 5 mi</x:v>
      </x:c>
      <x:c r="V130" s="1" t="n">
        <x:f>IF(MIN(P130,R130,T130)&lt;=5,1,0)</x:f>
        <x:v>1</x:v>
      </x:c>
      <x:c r="W130" s="6" t="n">
        <x:f>IF(O130=1,(H130+I130)/2,"")</x:f>
        <x:v>685</x:v>
      </x:c>
      <x:c r="X130" s="1" t="n">
        <x:f>O130*V130</x:f>
        <x:v>1</x:v>
      </x:c>
      <x:c r="Y130" s="1" t="n">
        <x:v>0</x:v>
      </x:c>
      <x:c r="Z130" s="1" t="n">
        <x:v>0</x:v>
      </x:c>
      <x:c r="AA130" s="1" t="n">
        <x:v>0</x:v>
      </x:c>
      <x:c r="AB130" s="1" t="n">
        <x:v>0</x:v>
      </x:c>
      <x:c r="AC130" s="1" t="n">
        <x:v>0</x:v>
      </x:c>
      <x:c r="AD130" s="1" t="str">
        <x:f>IF('Raw properties'!Y130="","",'Raw properties'!Y130)</x:f>
      </x:c>
      <x:c r="AE130" s="1" t="str">
        <x:v>2026-09-09</x:v>
      </x:c>
      <x:c r="AF130" s="1" t="str">
        <x:v>Included in rent means</x:v>
      </x:c>
      <x:c r="AG130" s="5" t="str">
        <x:v>Saved September 9 title explicitly offers a room. Reclassified from whole unit to room/per-bedroom; snapshot price unchanged.</x:v>
      </x:c>
      <x:c r="AH130" s="1" t="str">
        <x:v>$685</x:v>
      </x:c>
      <x:c r="AI130" s="8" t="n">
        <x:f>MIN(ABS(P130-1),ABS(P130-3),ABS(P130-5))*5280</x:f>
        <x:v>1422.3310360629462</x:v>
      </x:c>
      <x:c r="AJ130" s="8" t="n">
        <x:f>MIN(ABS(R130-1),ABS(R130-3),ABS(R130-5))*5280</x:f>
        <x:v>4221.50824413797</x:v>
      </x:c>
      <x:c r="AK130" s="8" t="n">
        <x:f>MIN(ABS(T130-1),ABS(T130-3),ABS(T130-5))*5280</x:f>
        <x:v>7838.960259052183</x:v>
      </x:c>
      <x:c r="AL130" s="1" t="n">
        <x:f>IF(MIN(AI130,AJ130,AK130)&lt;=100,1,0)</x:f>
        <x:v>0</x:v>
      </x:c>
    </x:row>
    <x:row r="131" ht="15" hidden="0" customHeight="1">
      <x:c r="A131" s="1" t="str">
        <x:f>IF('Raw properties'!A131="","",'Raw properties'!A131)</x:f>
        <x:v>ocp4t7wmxk</x:v>
      </x:c>
      <x:c r="B131" s="1" t="str">
        <x:f>IF('Raw properties'!D131="","",'Raw properties'!D131)</x:f>
        <x:v>University Oaks</x:v>
      </x:c>
      <x:c r="C131" s="1" t="str">
        <x:f>IF('Raw properties'!AG131="","",'Raw properties'!AG131)</x:f>
        <x:v>https://offcampus.dasa.ncsu.edu/housing/property/university-oaks/ocp4t7wmxk</x:v>
      </x:c>
      <x:c r="D131" s="1" t="str">
        <x:v>Per bedroom</x:v>
      </x:c>
      <x:c r="E131" s="1" t="str">
        <x:v>Per bedroom</x:v>
      </x:c>
      <x:c r="F131" s="7" t="n">
        <x:f>IF('Raw properties'!I131="","",'Raw properties'!I131)</x:f>
        <x:v>35.782112</x:v>
      </x:c>
      <x:c r="G131" s="7" t="n">
        <x:f>IF('Raw properties'!J131="","",'Raw properties'!J131)</x:f>
        <x:v>-78.689174</x:v>
      </x:c>
      <x:c r="H131" s="6" t="n">
        <x:f>IF('Raw properties'!M131="","",'Raw properties'!M131)</x:f>
        <x:v>725</x:v>
      </x:c>
      <x:c r="I131" s="6" t="n">
        <x:f>IF('Raw properties'!N131="","",'Raw properties'!N131)</x:f>
        <x:v>725</x:v>
      </x:c>
      <x:c r="J131" s="6" t="n">
        <x:f>IF((IF('Raw floorplans'!H490&gt;0,1,0))=0,"",MIN(IF('Raw floorplans'!H490&gt;0,'Raw floorplans'!H490,1E99)))</x:f>
        <x:v>725</x:v>
      </x:c>
      <x:c r="K131" s="6" t="n">
        <x:f>IF((IF('Raw floorplans'!I490&gt;0,1,0))=0,"",MAX(IF('Raw floorplans'!I490&gt;0,'Raw floorplans'!I490,0)))</x:f>
        <x:v>725</x:v>
      </x:c>
      <x:c r="L131" s="1" t="n">
        <x:v>0</x:v>
      </x:c>
      <x:c r="M131" s="1" t="n">
        <x:f>IF(AND(ISNUMBER(H131),ISNUMBER(I131),ISNUMBER(J131),ISNUMBER(K131),H131&gt;0,I131&gt;0),IF(OR(H131&lt;&gt;J131,I131&lt;&gt;K131),1,0),0)</x:f>
        <x:v>0</x:v>
      </x:c>
      <x:c r="N131" s="1" t="n">
        <x:f>IF(AND(ISNUMBER(H131),ISNUMBER(I131),H131&gt;0,I131&gt;=H131),1,0)</x:f>
        <x:v>1</x:v>
      </x:c>
      <x:c r="O131" s="1" t="n">
        <x:f>IF(AND(L131=0,M131=0,N131=1),1,0)</x:f>
        <x:v>1</x:v>
      </x:c>
      <x:c r="P131" s="7" t="n">
        <x:f>2*3958.7613*ASIN(SQRT(SIN(RADIANS(F131-35.77951)/2)^2+COS(RADIANS(35.77951))*COS(RADIANS(F131))*SIN(RADIANS(G131-(-78.68168))/2)^2))</x:f>
        <x:v>0.45691440711825165</x:v>
      </x:c>
      <x:c r="Q131" s="1" t="str">
        <x:f>IF(P131&lt;=1,"0–1 mi",IF(P131&lt;=3,"&gt;1–3 mi",IF(P131&lt;=5,"&gt;3–5 mi","Outside 5 mi")))</x:f>
        <x:v>0–1 mi</x:v>
      </x:c>
      <x:c r="R131" s="7" t="n">
        <x:f>2*3958.7613*ASIN(SQRT(SIN(RADIANS(F131-35.7687)/2)^2+COS(RADIANS(35.7687))*COS(RADIANS(F131))*SIN(RADIANS(G131-(-78.6775))/2)^2))</x:f>
        <x:v>1.1344522199550118</x:v>
      </x:c>
      <x:c r="S131" s="1" t="str">
        <x:f>IF(R131&lt;=1,"0–1 mi",IF(R131&lt;=3,"&gt;1–3 mi",IF(R131&lt;=5,"&gt;3–5 mi","Outside 5 mi")))</x:f>
        <x:v>&gt;1–3 mi</x:v>
      </x:c>
      <x:c r="T131" s="7" t="n">
        <x:f>2*3958.7613*ASIN(SQRT(SIN(RADIANS(F131-35.79847)/2)^2+COS(RADIANS(35.79847))*COS(RADIANS(F131))*SIN(RADIANS(G131-(-78.70408))/2)^2))</x:f>
        <x:v>1.405471470465813</x:v>
      </x:c>
      <x:c r="U131" s="1" t="str">
        <x:f>IF(T131&lt;=1,"0–1 mi",IF(T131&lt;=3,"&gt;1–3 mi",IF(T131&lt;=5,"&gt;3–5 mi","Outside 5 mi")))</x:f>
        <x:v>&gt;1–3 mi</x:v>
      </x:c>
      <x:c r="V131" s="1" t="n">
        <x:f>IF(MIN(P131,R131,T131)&lt;=5,1,0)</x:f>
        <x:v>1</x:v>
      </x:c>
      <x:c r="W131" s="6" t="n">
        <x:f>IF(O131=1,(H131+I131)/2,"")</x:f>
        <x:v>725</x:v>
      </x:c>
      <x:c r="X131" s="1" t="n">
        <x:f>O131*V131</x:f>
        <x:v>1</x:v>
      </x:c>
      <x:c r="Y131" s="1" t="n">
        <x:v>0</x:v>
      </x:c>
      <x:c r="Z131" s="1" t="n">
        <x:v>0</x:v>
      </x:c>
      <x:c r="AA131" s="1" t="n">
        <x:v>0</x:v>
      </x:c>
      <x:c r="AB131" s="1" t="n">
        <x:v>0</x:v>
      </x:c>
      <x:c r="AC131" s="1" t="n">
        <x:v>0</x:v>
      </x:c>
      <x:c r="AD131" s="1" t="str">
        <x:f>IF('Raw properties'!Y131="","",'Raw properties'!Y131)</x:f>
        <x:v>12 Month Lease</x:v>
      </x:c>
      <x:c r="AE131" s="1" t="str">
        <x:v>1970-01-01</x:v>
      </x:c>
      <x:c r="AF131" s="1" t="str">
        <x:v>Included in rent means</x:v>
      </x:c>
      <x:c r="AG131" s="5" t="str">
        <x:v>Source pricing flag retained; automated consistency checks passed. This is not independent landlord verification.</x:v>
      </x:c>
      <x:c r="AH131" s="1" t="str">
        <x:v>$725</x:v>
      </x:c>
      <x:c r="AI131" s="8" t="n">
        <x:f>MIN(ABS(P131-1),ABS(P131-3),ABS(P131-5))*5280</x:f>
        <x:v>2867.4919304156315</x:v>
      </x:c>
      <x:c r="AJ131" s="8" t="n">
        <x:f>MIN(ABS(R131-1),ABS(R131-3),ABS(R131-5))*5280</x:f>
        <x:v>709.9077213624622</x:v>
      </x:c>
      <x:c r="AK131" s="8" t="n">
        <x:f>MIN(ABS(T131-1),ABS(T131-3),ABS(T131-5))*5280</x:f>
        <x:v>2140.8893640594933</x:v>
      </x:c>
      <x:c r="AL131" s="1" t="n">
        <x:f>IF(MIN(AI131,AJ131,AK131)&lt;=100,1,0)</x:f>
        <x:v>0</x:v>
      </x:c>
    </x:row>
    <x:row r="132" ht="15" hidden="0" customHeight="1">
      <x:c r="A132" s="1" t="str">
        <x:f>IF('Raw properties'!A132="","",'Raw properties'!A132)</x:f>
        <x:v>z44390w</x:v>
      </x:c>
      <x:c r="B132" s="1" t="str">
        <x:f>IF('Raw properties'!D132="","",'Raw properties'!D132)</x:f>
        <x:v>Lofts at Lineberry</x:v>
      </x:c>
      <x:c r="C132" s="1" t="str">
        <x:f>IF('Raw properties'!AG132="","",'Raw properties'!AG132)</x:f>
        <x:v>https://offcampus.dasa.ncsu.edu/housing/property/lofts-at-lineberry/z44390w</x:v>
      </x:c>
      <x:c r="D132" s="1" t="str">
        <x:v>Whole unit</x:v>
      </x:c>
      <x:c r="E132" s="1" t="str">
        <x:v>Whole unit</x:v>
      </x:c>
      <x:c r="F132" s="7" t="n">
        <x:f>IF('Raw properties'!I132="","",'Raw properties'!I132)</x:f>
        <x:v>35.74926</x:v>
      </x:c>
      <x:c r="G132" s="7" t="n">
        <x:f>IF('Raw properties'!J132="","",'Raw properties'!J132)</x:f>
        <x:v>-78.679092</x:v>
      </x:c>
      <x:c r="H132" s="6" t="str">
        <x:f>IF('Raw properties'!M132="","",'Raw properties'!M132)</x:f>
      </x:c>
      <x:c r="I132" s="6" t="str">
        <x:f>IF('Raw properties'!N132="","",'Raw properties'!N132)</x:f>
      </x:c>
      <x:c r="J132" s="6" t="str">
        <x:f>IF((IF('Raw floorplans'!H491&gt;0,1,0)+IF('Raw floorplans'!H492&gt;0,1,0))=0,"",MIN(IF('Raw floorplans'!H491&gt;0,'Raw floorplans'!H491,1E99),IF('Raw floorplans'!H492&gt;0,'Raw floorplans'!H492,1E99)))</x:f>
      </x:c>
      <x:c r="K132" s="6" t="str">
        <x:f>IF((IF('Raw floorplans'!I491&gt;0,1,0)+IF('Raw floorplans'!I492&gt;0,1,0))=0,"",MAX(IF('Raw floorplans'!I491&gt;0,'Raw floorplans'!I491,0),IF('Raw floorplans'!I492&gt;0,'Raw floorplans'!I492,0)))</x:f>
      </x:c>
      <x:c r="L132" s="1" t="n">
        <x:v>0</x:v>
      </x:c>
      <x:c r="M132" s="1" t="n">
        <x:f>IF(AND(ISNUMBER(H132),ISNUMBER(I132),ISNUMBER(J132),ISNUMBER(K132),H132&gt;0,I132&gt;0),IF(OR(H132&lt;&gt;J132,I132&lt;&gt;K132),1,0),0)</x:f>
        <x:v>0</x:v>
      </x:c>
      <x:c r="N132" s="1" t="n">
        <x:f>IF(AND(ISNUMBER(H132),ISNUMBER(I132),H132&gt;0,I132&gt;=H132),1,0)</x:f>
        <x:v>0</x:v>
      </x:c>
      <x:c r="O132" s="1" t="n">
        <x:f>IF(AND(L132=0,M132=0,N132=1),1,0)</x:f>
        <x:v>0</x:v>
      </x:c>
      <x:c r="P132" s="7" t="n">
        <x:f>2*3958.7613*ASIN(SQRT(SIN(RADIANS(F132-35.77951)/2)^2+COS(RADIANS(35.77951))*COS(RADIANS(F132))*SIN(RADIANS(G132-(-78.68168))/2)^2))</x:f>
        <x:v>2.0951061414165397</x:v>
      </x:c>
      <x:c r="Q132" s="1" t="str">
        <x:f>IF(P132&lt;=1,"0–1 mi",IF(P132&lt;=3,"&gt;1–3 mi",IF(P132&lt;=5,"&gt;3–5 mi","Outside 5 mi")))</x:f>
        <x:v>&gt;1–3 mi</x:v>
      </x:c>
      <x:c r="R132" s="7" t="n">
        <x:f>2*3958.7613*ASIN(SQRT(SIN(RADIANS(F132-35.7687)/2)^2+COS(RADIANS(35.7687))*COS(RADIANS(F132))*SIN(RADIANS(G132-(-78.6775))/2)^2))</x:f>
        <x:v>1.3461386858391107</x:v>
      </x:c>
      <x:c r="S132" s="1" t="str">
        <x:f>IF(R132&lt;=1,"0–1 mi",IF(R132&lt;=3,"&gt;1–3 mi",IF(R132&lt;=5,"&gt;3–5 mi","Outside 5 mi")))</x:f>
        <x:v>&gt;1–3 mi</x:v>
      </x:c>
      <x:c r="T132" s="7" t="n">
        <x:f>2*3958.7613*ASIN(SQRT(SIN(RADIANS(F132-35.79847)/2)^2+COS(RADIANS(35.79847))*COS(RADIANS(F132))*SIN(RADIANS(G132-(-78.70408))/2)^2))</x:f>
        <x:v>3.6773280386684095</x:v>
      </x:c>
      <x:c r="U132" s="1" t="str">
        <x:f>IF(T132&lt;=1,"0–1 mi",IF(T132&lt;=3,"&gt;1–3 mi",IF(T132&lt;=5,"&gt;3–5 mi","Outside 5 mi")))</x:f>
        <x:v>&gt;3–5 mi</x:v>
      </x:c>
      <x:c r="V132" s="1" t="n">
        <x:f>IF(MIN(P132,R132,T132)&lt;=5,1,0)</x:f>
        <x:v>1</x:v>
      </x:c>
      <x:c r="W132" s="6" t="str">
        <x:f>IF(O132=1,(H132+I132)/2,"")</x:f>
      </x:c>
      <x:c r="X132" s="1" t="n">
        <x:f>O132*V132</x:f>
        <x:v>0</x:v>
      </x:c>
      <x:c r="Y132" s="1" t="n">
        <x:v>0</x:v>
      </x:c>
      <x:c r="Z132" s="1" t="n">
        <x:v>0</x:v>
      </x:c>
      <x:c r="AA132" s="1" t="n">
        <x:v>0</x:v>
      </x:c>
      <x:c r="AB132" s="1" t="n">
        <x:v>0</x:v>
      </x:c>
      <x:c r="AC132" s="1" t="n">
        <x:v>0</x:v>
      </x:c>
      <x:c r="AD132" s="1" t="str">
        <x:f>IF('Raw properties'!Y132="","",'Raw properties'!Y132)</x:f>
      </x:c>
      <x:c r="AE132" s="1" t="str"/>
      <x:c r="AF132" s="1" t="str">
        <x:v>Excluded from rent means</x:v>
      </x:c>
      <x:c r="AG132" s="5" t="str">
        <x:v>Source pricing flag retained; automated consistency checks passed. This is not independent landlord verification.</x:v>
      </x:c>
      <x:c r="AH132" s="1" t="str">
        <x:v>Call for Pricing</x:v>
      </x:c>
      <x:c r="AI132" s="8" t="n">
        <x:f>MIN(ABS(P132-1),ABS(P132-3),ABS(P132-5))*5280</x:f>
        <x:v>4777.83957332067</x:v>
      </x:c>
      <x:c r="AJ132" s="8" t="n">
        <x:f>MIN(ABS(R132-1),ABS(R132-3),ABS(R132-5))*5280</x:f>
        <x:v>1827.6122612305044</x:v>
      </x:c>
      <x:c r="AK132" s="8" t="n">
        <x:f>MIN(ABS(T132-1),ABS(T132-3),ABS(T132-5))*5280</x:f>
        <x:v>3576.292044169202</x:v>
      </x:c>
      <x:c r="AL132" s="1" t="n">
        <x:f>IF(MIN(AI132,AJ132,AK132)&lt;=100,1,0)</x:f>
        <x:v>0</x:v>
      </x:c>
    </x:row>
    <x:row r="133" ht="15" hidden="0" customHeight="1">
      <x:c r="A133" s="1" t="str">
        <x:f>IF('Raw properties'!A133="","",'Raw properties'!A133)</x:f>
        <x:v>ocp90bdzb4</x:v>
      </x:c>
      <x:c r="B133" s="1" t="str">
        <x:f>IF('Raw properties'!D133="","",'Raw properties'!D133)</x:f>
        <x:v>Brick Bungalow close to Campus</x:v>
      </x:c>
      <x:c r="C133" s="1" t="str">
        <x:f>IF('Raw properties'!AG133="","",'Raw properties'!AG133)</x:f>
        <x:v>https://offcampus.dasa.ncsu.edu/housing/property/brick-bungalow-close-to-campus/ocp90bdzb4</x:v>
      </x:c>
      <x:c r="D133" s="1" t="str">
        <x:v>Per bedroom</x:v>
      </x:c>
      <x:c r="E133" s="1" t="str">
        <x:v>Per bedroom</x:v>
      </x:c>
      <x:c r="F133" s="7" t="n">
        <x:f>IF('Raw properties'!I133="","",'Raw properties'!I133)</x:f>
        <x:v>35.80608</x:v>
      </x:c>
      <x:c r="G133" s="7" t="n">
        <x:f>IF('Raw properties'!J133="","",'Raw properties'!J133)</x:f>
        <x:v>-78.627592</x:v>
      </x:c>
      <x:c r="H133" s="6" t="n">
        <x:f>IF('Raw properties'!M133="","",'Raw properties'!M133)</x:f>
        <x:v>1050</x:v>
      </x:c>
      <x:c r="I133" s="6" t="n">
        <x:f>IF('Raw properties'!N133="","",'Raw properties'!N133)</x:f>
        <x:v>1050</x:v>
      </x:c>
      <x:c r="J133" s="6" t="n">
        <x:f>IF((IF('Raw floorplans'!H493&gt;0,1,0))=0,"",MIN(IF('Raw floorplans'!H493&gt;0,'Raw floorplans'!H493,1E99)))</x:f>
        <x:v>1050</x:v>
      </x:c>
      <x:c r="K133" s="6" t="n">
        <x:f>IF((IF('Raw floorplans'!I493&gt;0,1,0))=0,"",MAX(IF('Raw floorplans'!I493&gt;0,'Raw floorplans'!I493,0)))</x:f>
        <x:v>1050</x:v>
      </x:c>
      <x:c r="L133" s="1" t="n">
        <x:v>0</x:v>
      </x:c>
      <x:c r="M133" s="1" t="n">
        <x:f>IF(AND(ISNUMBER(H133),ISNUMBER(I133),ISNUMBER(J133),ISNUMBER(K133),H133&gt;0,I133&gt;0),IF(OR(H133&lt;&gt;J133,I133&lt;&gt;K133),1,0),0)</x:f>
        <x:v>0</x:v>
      </x:c>
      <x:c r="N133" s="1" t="n">
        <x:f>IF(AND(ISNUMBER(H133),ISNUMBER(I133),H133&gt;0,I133&gt;=H133),1,0)</x:f>
        <x:v>1</x:v>
      </x:c>
      <x:c r="O133" s="1" t="n">
        <x:f>IF(AND(L133=0,M133=0,N133=1),1,0)</x:f>
        <x:v>1</x:v>
      </x:c>
      <x:c r="P133" s="7" t="n">
        <x:f>2*3958.7613*ASIN(SQRT(SIN(RADIANS(F133-35.77951)/2)^2+COS(RADIANS(35.77951))*COS(RADIANS(F133))*SIN(RADIANS(G133-(-78.68168))/2)^2))</x:f>
        <x:v>3.5438843605555284</x:v>
      </x:c>
      <x:c r="Q133" s="1" t="str">
        <x:f>IF(P133&lt;=1,"0–1 mi",IF(P133&lt;=3,"&gt;1–3 mi",IF(P133&lt;=5,"&gt;3–5 mi","Outside 5 mi")))</x:f>
        <x:v>&gt;3–5 mi</x:v>
      </x:c>
      <x:c r="R133" s="7" t="n">
        <x:f>2*3958.7613*ASIN(SQRT(SIN(RADIANS(F133-35.7687)/2)^2+COS(RADIANS(35.7687))*COS(RADIANS(F133))*SIN(RADIANS(G133-(-78.6775))/2)^2))</x:f>
        <x:v>3.807228719080432</x:v>
      </x:c>
      <x:c r="S133" s="1" t="str">
        <x:f>IF(R133&lt;=1,"0–1 mi",IF(R133&lt;=3,"&gt;1–3 mi",IF(R133&lt;=5,"&gt;3–5 mi","Outside 5 mi")))</x:f>
        <x:v>&gt;3–5 mi</x:v>
      </x:c>
      <x:c r="T133" s="7" t="n">
        <x:f>2*3958.7613*ASIN(SQRT(SIN(RADIANS(F133-35.79847)/2)^2+COS(RADIANS(35.79847))*COS(RADIANS(F133))*SIN(RADIANS(G133-(-78.70408))/2)^2))</x:f>
        <x:v>4.318331684504858</x:v>
      </x:c>
      <x:c r="U133" s="1" t="str">
        <x:f>IF(T133&lt;=1,"0–1 mi",IF(T133&lt;=3,"&gt;1–3 mi",IF(T133&lt;=5,"&gt;3–5 mi","Outside 5 mi")))</x:f>
        <x:v>&gt;3–5 mi</x:v>
      </x:c>
      <x:c r="V133" s="1" t="n">
        <x:f>IF(MIN(P133,R133,T133)&lt;=5,1,0)</x:f>
        <x:v>1</x:v>
      </x:c>
      <x:c r="W133" s="6" t="n">
        <x:f>IF(O133=1,(H133+I133)/2,"")</x:f>
        <x:v>1050</x:v>
      </x:c>
      <x:c r="X133" s="1" t="n">
        <x:f>O133*V133</x:f>
        <x:v>1</x:v>
      </x:c>
      <x:c r="Y133" s="1" t="n">
        <x:v>0</x:v>
      </x:c>
      <x:c r="Z133" s="1" t="n">
        <x:v>0</x:v>
      </x:c>
      <x:c r="AA133" s="1" t="n">
        <x:v>0</x:v>
      </x:c>
      <x:c r="AB133" s="1" t="n">
        <x:v>0</x:v>
      </x:c>
      <x:c r="AC133" s="1" t="n">
        <x:v>0</x:v>
      </x:c>
      <x:c r="AD133" s="1" t="str">
        <x:f>IF('Raw properties'!Y133="","",'Raw properties'!Y133)</x:f>
        <x:v>1 Month Lease</x:v>
      </x:c>
      <x:c r="AE133" s="1" t="str">
        <x:v>2026-09-08</x:v>
      </x:c>
      <x:c r="AF133" s="1" t="str">
        <x:v>Included in rent means</x:v>
      </x:c>
      <x:c r="AG133" s="5" t="str">
        <x:v>Source pricing flag retained; automated consistency checks passed. This is not independent landlord verification.</x:v>
      </x:c>
      <x:c r="AH133" s="1" t="str">
        <x:v>$1,050</x:v>
      </x:c>
      <x:c r="AI133" s="8" t="n">
        <x:f>MIN(ABS(P133-1),ABS(P133-3),ABS(P133-5))*5280</x:f>
        <x:v>2871.70942373319</x:v>
      </x:c>
      <x:c r="AJ133" s="8" t="n">
        <x:f>MIN(ABS(R133-1),ABS(R133-3),ABS(R133-5))*5280</x:f>
        <x:v>4262.167636744681</x:v>
      </x:c>
      <x:c r="AK133" s="8" t="n">
        <x:f>MIN(ABS(T133-1),ABS(T133-3),ABS(T133-5))*5280</x:f>
        <x:v>3599.2087058143507</x:v>
      </x:c>
      <x:c r="AL133" s="1" t="n">
        <x:f>IF(MIN(AI133,AJ133,AK133)&lt;=100,1,0)</x:f>
        <x:v>0</x:v>
      </x:c>
    </x:row>
    <x:row r="134" ht="15" hidden="0" customHeight="1">
      <x:c r="A134" s="1" t="str">
        <x:f>IF('Raw properties'!A134="","",'Raw properties'!A134)</x:f>
        <x:v>ocp9blcpd7</x:v>
      </x:c>
      <x:c r="B134" s="1" t="str">
        <x:f>IF('Raw properties'!D134="","",'Raw properties'!D134)</x:f>
        <x:v>Studio, One and Two Bedrooms at Westgrove Towers</x:v>
      </x:c>
      <x:c r="C134" s="1" t="str">
        <x:f>IF('Raw properties'!AG134="","",'Raw properties'!AG134)</x:f>
        <x:v>https://offcampus.dasa.ncsu.edu/housing/property/studio-one-and-two-bedrooms-at-westgrove-towers/ocp9blcpd7</x:v>
      </x:c>
      <x:c r="D134" s="1" t="str">
        <x:v>Whole unit</x:v>
      </x:c>
      <x:c r="E134" s="1" t="str">
        <x:v>Whole unit</x:v>
      </x:c>
      <x:c r="F134" s="7" t="n">
        <x:f>IF('Raw properties'!I134="","",'Raw properties'!I134)</x:f>
        <x:v>35.787608</x:v>
      </x:c>
      <x:c r="G134" s="7" t="n">
        <x:f>IF('Raw properties'!J134="","",'Raw properties'!J134)</x:f>
        <x:v>-78.700346</x:v>
      </x:c>
      <x:c r="H134" s="6" t="n">
        <x:f>IF('Raw properties'!M134="","",'Raw properties'!M134)</x:f>
        <x:v>805</x:v>
      </x:c>
      <x:c r="I134" s="6" t="n">
        <x:f>IF('Raw properties'!N134="","",'Raw properties'!N134)</x:f>
        <x:v>1050</x:v>
      </x:c>
      <x:c r="J134" s="6" t="n">
        <x:f>IF((IF('Raw floorplans'!H494&gt;0,1,0)+IF('Raw floorplans'!H495&gt;0,1,0)+IF('Raw floorplans'!H496&gt;0,1,0))=0,"",MIN(IF('Raw floorplans'!H494&gt;0,'Raw floorplans'!H494,1E99),IF('Raw floorplans'!H495&gt;0,'Raw floorplans'!H495,1E99),IF('Raw floorplans'!H496&gt;0,'Raw floorplans'!H496,1E99)))</x:f>
        <x:v>805</x:v>
      </x:c>
      <x:c r="K134" s="6" t="n">
        <x:f>IF((IF('Raw floorplans'!I494&gt;0,1,0)+IF('Raw floorplans'!I495&gt;0,1,0)+IF('Raw floorplans'!I496&gt;0,1,0))=0,"",MAX(IF('Raw floorplans'!I494&gt;0,'Raw floorplans'!I494,0),IF('Raw floorplans'!I495&gt;0,'Raw floorplans'!I495,0),IF('Raw floorplans'!I496&gt;0,'Raw floorplans'!I496,0)))</x:f>
        <x:v>1050</x:v>
      </x:c>
      <x:c r="L134" s="1" t="n">
        <x:v>0</x:v>
      </x:c>
      <x:c r="M134" s="1" t="n">
        <x:f>IF(AND(ISNUMBER(H134),ISNUMBER(I134),ISNUMBER(J134),ISNUMBER(K134),H134&gt;0,I134&gt;0),IF(OR(H134&lt;&gt;J134,I134&lt;&gt;K134),1,0),0)</x:f>
        <x:v>0</x:v>
      </x:c>
      <x:c r="N134" s="1" t="n">
        <x:f>IF(AND(ISNUMBER(H134),ISNUMBER(I134),H134&gt;0,I134&gt;=H134),1,0)</x:f>
        <x:v>1</x:v>
      </x:c>
      <x:c r="O134" s="1" t="n">
        <x:f>IF(AND(L134=0,M134=0,N134=1),1,0)</x:f>
        <x:v>1</x:v>
      </x:c>
      <x:c r="P134" s="7" t="n">
        <x:f>2*3958.7613*ASIN(SQRT(SIN(RADIANS(F134-35.77951)/2)^2+COS(RADIANS(35.77951))*COS(RADIANS(F134))*SIN(RADIANS(G134-(-78.68168))/2)^2))</x:f>
        <x:v>1.1864597245063326</x:v>
      </x:c>
      <x:c r="Q134" s="1" t="str">
        <x:f>IF(P134&lt;=1,"0–1 mi",IF(P134&lt;=3,"&gt;1–3 mi",IF(P134&lt;=5,"&gt;3–5 mi","Outside 5 mi")))</x:f>
        <x:v>&gt;1–3 mi</x:v>
      </x:c>
      <x:c r="R134" s="7" t="n">
        <x:f>2*3958.7613*ASIN(SQRT(SIN(RADIANS(F134-35.7687)/2)^2+COS(RADIANS(35.7687))*COS(RADIANS(F134))*SIN(RADIANS(G134-(-78.6775))/2)^2))</x:f>
        <x:v>1.8294053442035048</x:v>
      </x:c>
      <x:c r="S134" s="1" t="str">
        <x:f>IF(R134&lt;=1,"0–1 mi",IF(R134&lt;=3,"&gt;1–3 mi",IF(R134&lt;=5,"&gt;3–5 mi","Outside 5 mi")))</x:f>
        <x:v>&gt;1–3 mi</x:v>
      </x:c>
      <x:c r="T134" s="7" t="n">
        <x:f>2*3958.7613*ASIN(SQRT(SIN(RADIANS(F134-35.79847)/2)^2+COS(RADIANS(35.79847))*COS(RADIANS(F134))*SIN(RADIANS(G134-(-78.70408))/2)^2))</x:f>
        <x:v>0.7791230108931563</x:v>
      </x:c>
      <x:c r="U134" s="1" t="str">
        <x:f>IF(T134&lt;=1,"0–1 mi",IF(T134&lt;=3,"&gt;1–3 mi",IF(T134&lt;=5,"&gt;3–5 mi","Outside 5 mi")))</x:f>
        <x:v>0–1 mi</x:v>
      </x:c>
      <x:c r="V134" s="1" t="n">
        <x:f>IF(MIN(P134,R134,T134)&lt;=5,1,0)</x:f>
        <x:v>1</x:v>
      </x:c>
      <x:c r="W134" s="6" t="n">
        <x:f>IF(O134=1,(H134+I134)/2,"")</x:f>
        <x:v>927.5</x:v>
      </x:c>
      <x:c r="X134" s="1" t="n">
        <x:f>O134*V134</x:f>
        <x:v>1</x:v>
      </x:c>
      <x:c r="Y134" s="1" t="n">
        <x:v>0</x:v>
      </x:c>
      <x:c r="Z134" s="1" t="n">
        <x:v>0</x:v>
      </x:c>
      <x:c r="AA134" s="1" t="n">
        <x:v>0</x:v>
      </x:c>
      <x:c r="AB134" s="1" t="n">
        <x:v>0</x:v>
      </x:c>
      <x:c r="AC134" s="1" t="n">
        <x:v>0</x:v>
      </x:c>
      <x:c r="AD134" s="1" t="str">
        <x:f>IF('Raw properties'!Y134="","",'Raw properties'!Y134)</x:f>
        <x:v>12 Month Lease</x:v>
      </x:c>
      <x:c r="AE134" s="1" t="str">
        <x:v>1970-01-01</x:v>
      </x:c>
      <x:c r="AF134" s="1" t="str">
        <x:v>Included in rent means</x:v>
      </x:c>
      <x:c r="AG134" s="5" t="str">
        <x:v>Source pricing flag retained; automated consistency checks passed. This is not independent landlord verification.</x:v>
      </x:c>
      <x:c r="AH134" s="1" t="str">
        <x:v>$805 - $1,050</x:v>
      </x:c>
      <x:c r="AI134" s="8" t="n">
        <x:f>MIN(ABS(P134-1),ABS(P134-3),ABS(P134-5))*5280</x:f>
        <x:v>984.5073453934364</x:v>
      </x:c>
      <x:c r="AJ134" s="8" t="n">
        <x:f>MIN(ABS(R134-1),ABS(R134-3),ABS(R134-5))*5280</x:f>
        <x:v>4379.260217394505</x:v>
      </x:c>
      <x:c r="AK134" s="8" t="n">
        <x:f>MIN(ABS(T134-1),ABS(T134-3),ABS(T134-5))*5280</x:f>
        <x:v>1166.2305024841348</x:v>
      </x:c>
      <x:c r="AL134" s="1" t="n">
        <x:f>IF(MIN(AI134,AJ134,AK134)&lt;=100,1,0)</x:f>
        <x:v>0</x:v>
      </x:c>
    </x:row>
    <x:row r="135" ht="15" hidden="0" customHeight="1">
      <x:c r="A135" s="1" t="str">
        <x:f>IF('Raw properties'!A135="","",'Raw properties'!A135)</x:f>
        <x:v>ocpq99qjpx</x:v>
      </x:c>
      <x:c r="B135" s="1" t="str">
        <x:f>IF('Raw properties'!D135="","",'Raw properties'!D135)</x:f>
        <x:v>Apartment close to NCSU</x:v>
      </x:c>
      <x:c r="C135" s="1" t="str">
        <x:f>IF('Raw properties'!AG135="","",'Raw properties'!AG135)</x:f>
        <x:v>https://offcampus.dasa.ncsu.edu/housing/property/apartment-close-to-ncsu/ocpq99qjpx</x:v>
      </x:c>
      <x:c r="D135" s="1" t="str">
        <x:v>Per bedroom</x:v>
      </x:c>
      <x:c r="E135" s="1" t="str">
        <x:v>Per bedroom</x:v>
      </x:c>
      <x:c r="F135" s="7" t="n">
        <x:f>IF('Raw properties'!I135="","",'Raw properties'!I135)</x:f>
        <x:v>35.762406</x:v>
      </x:c>
      <x:c r="G135" s="7" t="n">
        <x:f>IF('Raw properties'!J135="","",'Raw properties'!J135)</x:f>
        <x:v>-78.702305</x:v>
      </x:c>
      <x:c r="H135" s="6" t="n">
        <x:f>IF('Raw properties'!M135="","",'Raw properties'!M135)</x:f>
        <x:v>645</x:v>
      </x:c>
      <x:c r="I135" s="6" t="n">
        <x:f>IF('Raw properties'!N135="","",'Raw properties'!N135)</x:f>
        <x:v>645</x:v>
      </x:c>
      <x:c r="J135" s="6" t="n">
        <x:f>IF((IF('Raw floorplans'!H497&gt;0,1,0))=0,"",MIN(IF('Raw floorplans'!H497&gt;0,'Raw floorplans'!H497,1E99)))</x:f>
        <x:v>645</x:v>
      </x:c>
      <x:c r="K135" s="6" t="n">
        <x:f>IF((IF('Raw floorplans'!I497&gt;0,1,0))=0,"",MAX(IF('Raw floorplans'!I497&gt;0,'Raw floorplans'!I497,0)))</x:f>
        <x:v>645</x:v>
      </x:c>
      <x:c r="L135" s="1" t="n">
        <x:v>0</x:v>
      </x:c>
      <x:c r="M135" s="1" t="n">
        <x:f>IF(AND(ISNUMBER(H135),ISNUMBER(I135),ISNUMBER(J135),ISNUMBER(K135),H135&gt;0,I135&gt;0),IF(OR(H135&lt;&gt;J135,I135&lt;&gt;K135),1,0),0)</x:f>
        <x:v>0</x:v>
      </x:c>
      <x:c r="N135" s="1" t="n">
        <x:f>IF(AND(ISNUMBER(H135),ISNUMBER(I135),H135&gt;0,I135&gt;=H135),1,0)</x:f>
        <x:v>1</x:v>
      </x:c>
      <x:c r="O135" s="1" t="n">
        <x:f>IF(AND(L135=0,M135=0,N135=1),1,0)</x:f>
        <x:v>1</x:v>
      </x:c>
      <x:c r="P135" s="7" t="n">
        <x:f>2*3958.7613*ASIN(SQRT(SIN(RADIANS(F135-35.77951)/2)^2+COS(RADIANS(35.77951))*COS(RADIANS(F135))*SIN(RADIANS(G135-(-78.68168))/2)^2))</x:f>
        <x:v>1.653317243177069</x:v>
      </x:c>
      <x:c r="Q135" s="1" t="str">
        <x:f>IF(P135&lt;=1,"0–1 mi",IF(P135&lt;=3,"&gt;1–3 mi",IF(P135&lt;=5,"&gt;3–5 mi","Outside 5 mi")))</x:f>
        <x:v>&gt;1–3 mi</x:v>
      </x:c>
      <x:c r="R135" s="7" t="n">
        <x:f>2*3958.7613*ASIN(SQRT(SIN(RADIANS(F135-35.7687)/2)^2+COS(RADIANS(35.7687))*COS(RADIANS(F135))*SIN(RADIANS(G135-(-78.6775))/2)^2))</x:f>
        <x:v>1.4570636029553892</x:v>
      </x:c>
      <x:c r="S135" s="1" t="str">
        <x:f>IF(R135&lt;=1,"0–1 mi",IF(R135&lt;=3,"&gt;1–3 mi",IF(R135&lt;=5,"&gt;3–5 mi","Outside 5 mi")))</x:f>
        <x:v>&gt;1–3 mi</x:v>
      </x:c>
      <x:c r="T135" s="7" t="n">
        <x:f>2*3958.7613*ASIN(SQRT(SIN(RADIANS(F135-35.79847)/2)^2+COS(RADIANS(35.79847))*COS(RADIANS(F135))*SIN(RADIANS(G135-(-78.70408))/2)^2))</x:f>
        <x:v>2.4937706100486325</x:v>
      </x:c>
      <x:c r="U135" s="1" t="str">
        <x:f>IF(T135&lt;=1,"0–1 mi",IF(T135&lt;=3,"&gt;1–3 mi",IF(T135&lt;=5,"&gt;3–5 mi","Outside 5 mi")))</x:f>
        <x:v>&gt;1–3 mi</x:v>
      </x:c>
      <x:c r="V135" s="1" t="n">
        <x:f>IF(MIN(P135,R135,T135)&lt;=5,1,0)</x:f>
        <x:v>1</x:v>
      </x:c>
      <x:c r="W135" s="6" t="n">
        <x:f>IF(O135=1,(H135+I135)/2,"")</x:f>
        <x:v>645</x:v>
      </x:c>
      <x:c r="X135" s="1" t="n">
        <x:f>O135*V135</x:f>
        <x:v>1</x:v>
      </x:c>
      <x:c r="Y135" s="1" t="n">
        <x:v>0</x:v>
      </x:c>
      <x:c r="Z135" s="1" t="n">
        <x:v>0</x:v>
      </x:c>
      <x:c r="AA135" s="1" t="n">
        <x:v>0</x:v>
      </x:c>
      <x:c r="AB135" s="1" t="n">
        <x:v>0</x:v>
      </x:c>
      <x:c r="AC135" s="1" t="n">
        <x:v>0</x:v>
      </x:c>
      <x:c r="AD135" s="1" t="str">
        <x:f>IF('Raw properties'!Y135="","",'Raw properties'!Y135)</x:f>
      </x:c>
      <x:c r="AE135" s="1" t="str">
        <x:v>1970-01-01</x:v>
      </x:c>
      <x:c r="AF135" s="1" t="str">
        <x:v>Included in rent means</x:v>
      </x:c>
      <x:c r="AG135" s="5" t="str">
        <x:v>Source pricing flag retained; automated consistency checks passed. This is not independent landlord verification.</x:v>
      </x:c>
      <x:c r="AH135" s="1" t="str">
        <x:v>$645</x:v>
      </x:c>
      <x:c r="AI135" s="8" t="n">
        <x:f>MIN(ABS(P135-1),ABS(P135-3),ABS(P135-5))*5280</x:f>
        <x:v>3449.5150439749245</x:v>
      </x:c>
      <x:c r="AJ135" s="8" t="n">
        <x:f>MIN(ABS(R135-1),ABS(R135-3),ABS(R135-5))*5280</x:f>
        <x:v>2413.2958236044547</x:v>
      </x:c>
      <x:c r="AK135" s="8" t="n">
        <x:f>MIN(ABS(T135-1),ABS(T135-3),ABS(T135-5))*5280</x:f>
        <x:v>2672.89117894322</x:v>
      </x:c>
      <x:c r="AL135" s="1" t="n">
        <x:f>IF(MIN(AI135,AJ135,AK135)&lt;=100,1,0)</x:f>
        <x:v>0</x:v>
      </x:c>
    </x:row>
    <x:row r="136" ht="36" hidden="0" customHeight="1">
      <x:c r="A136" s="1" t="str">
        <x:f>IF('Raw properties'!A136="","",'Raw properties'!A136)</x:f>
        <x:v>gdtz0ww</x:v>
      </x:c>
      <x:c r="B136" s="1" t="str">
        <x:f>IF('Raw properties'!D136="","",'Raw properties'!D136)</x:f>
        <x:v>3111 Kentish Town Ln (Raleigh, NC)</x:v>
      </x:c>
      <x:c r="C136" s="1" t="str">
        <x:f>IF('Raw properties'!AG136="","",'Raw properties'!AG136)</x:f>
        <x:v>https://offcampus.dasa.ncsu.edu/housing/property/3111-kentish-town-ln-raleigh-nc/gdtz0ww</x:v>
      </x:c>
      <x:c r="D136" s="1" t="str">
        <x:v>Whole unit</x:v>
      </x:c>
      <x:c r="E136" s="1" t="str">
        <x:v>Whole unit</x:v>
      </x:c>
      <x:c r="F136" s="7" t="n">
        <x:f>IF('Raw properties'!I136="","",'Raw properties'!I136)</x:f>
        <x:v>35.825827</x:v>
      </x:c>
      <x:c r="G136" s="7" t="n">
        <x:f>IF('Raw properties'!J136="","",'Raw properties'!J136)</x:f>
        <x:v>-78.702069</x:v>
      </x:c>
      <x:c r="H136" s="6" t="n">
        <x:f>IF('Raw properties'!M136="","",'Raw properties'!M136)</x:f>
        <x:v>2700</x:v>
      </x:c>
      <x:c r="I136" s="6" t="n">
        <x:f>IF('Raw properties'!N136="","",'Raw properties'!N136)</x:f>
        <x:v>2700</x:v>
      </x:c>
      <x:c r="J136" s="6" t="n">
        <x:f>IF((IF('Raw floorplans'!H498&gt;0,1,0))=0,"",MIN(IF('Raw floorplans'!H498&gt;0,'Raw floorplans'!H498,1E99)))</x:f>
        <x:v>2675</x:v>
      </x:c>
      <x:c r="K136" s="6" t="n">
        <x:f>IF((IF('Raw floorplans'!I498&gt;0,1,0))=0,"",MAX(IF('Raw floorplans'!I498&gt;0,'Raw floorplans'!I498,0)))</x:f>
        <x:v>2675</x:v>
      </x:c>
      <x:c r="L136" s="1" t="n">
        <x:v>0</x:v>
      </x:c>
      <x:c r="M136" s="1" t="n">
        <x:f>IF(AND(ISNUMBER(H136),ISNUMBER(I136),ISNUMBER(J136),ISNUMBER(K136),H136&gt;0,I136&gt;0),IF(OR(H136&lt;&gt;J136,I136&lt;&gt;K136),1,0),0)</x:f>
        <x:v>1</x:v>
      </x:c>
      <x:c r="N136" s="1" t="n">
        <x:f>IF(AND(ISNUMBER(H136),ISNUMBER(I136),H136&gt;0,I136&gt;=H136),1,0)</x:f>
        <x:v>1</x:v>
      </x:c>
      <x:c r="O136" s="1" t="n">
        <x:f>IF(AND(L136=0,M136=0,N136=1),1,0)</x:f>
        <x:v>0</x:v>
      </x:c>
      <x:c r="P136" s="7" t="n">
        <x:f>2*3958.7613*ASIN(SQRT(SIN(RADIANS(F136-35.77951)/2)^2+COS(RADIANS(35.77951))*COS(RADIANS(F136))*SIN(RADIANS(G136-(-78.68168))/2)^2))</x:f>
        <x:v>3.398041585097347</x:v>
      </x:c>
      <x:c r="Q136" s="1" t="str">
        <x:f>IF(P136&lt;=1,"0–1 mi",IF(P136&lt;=3,"&gt;1–3 mi",IF(P136&lt;=5,"&gt;3–5 mi","Outside 5 mi")))</x:f>
        <x:v>&gt;3–5 mi</x:v>
      </x:c>
      <x:c r="R136" s="7" t="n">
        <x:f>2*3958.7613*ASIN(SQRT(SIN(RADIANS(F136-35.7687)/2)^2+COS(RADIANS(35.7687))*COS(RADIANS(F136))*SIN(RADIANS(G136-(-78.6775))/2)^2))</x:f>
        <x:v>4.180356155934813</x:v>
      </x:c>
      <x:c r="S136" s="1" t="str">
        <x:f>IF(R136&lt;=1,"0–1 mi",IF(R136&lt;=3,"&gt;1–3 mi",IF(R136&lt;=5,"&gt;3–5 mi","Outside 5 mi")))</x:f>
        <x:v>&gt;3–5 mi</x:v>
      </x:c>
      <x:c r="T136" s="7" t="n">
        <x:f>2*3958.7613*ASIN(SQRT(SIN(RADIANS(F136-35.79847)/2)^2+COS(RADIANS(35.79847))*COS(RADIANS(F136))*SIN(RADIANS(G136-(-78.70408))/2)^2))</x:f>
        <x:v>1.8935441398894064</x:v>
      </x:c>
      <x:c r="U136" s="1" t="str">
        <x:f>IF(T136&lt;=1,"0–1 mi",IF(T136&lt;=3,"&gt;1–3 mi",IF(T136&lt;=5,"&gt;3–5 mi","Outside 5 mi")))</x:f>
        <x:v>&gt;1–3 mi</x:v>
      </x:c>
      <x:c r="V136" s="1" t="n">
        <x:f>IF(MIN(P136,R136,T136)&lt;=5,1,0)</x:f>
        <x:v>1</x:v>
      </x:c>
      <x:c r="W136" s="6" t="str">
        <x:f>IF(O136=1,(H136+I136)/2,"")</x:f>
      </x:c>
      <x:c r="X136" s="1" t="n">
        <x:f>O136*V136</x:f>
        <x:v>0</x:v>
      </x:c>
      <x:c r="Y136" s="1" t="n">
        <x:v>0</x:v>
      </x:c>
      <x:c r="Z136" s="1" t="n">
        <x:v>0</x:v>
      </x:c>
      <x:c r="AA136" s="1" t="n">
        <x:v>0</x:v>
      </x:c>
      <x:c r="AB136" s="1" t="n">
        <x:v>0</x:v>
      </x:c>
      <x:c r="AC136" s="1" t="n">
        <x:v>0</x:v>
      </x:c>
      <x:c r="AD136" s="1" t="str">
        <x:f>IF('Raw properties'!Y136="","",'Raw properties'!Y136)</x:f>
      </x:c>
      <x:c r="AE136" s="1" t="str">
        <x:v>2026-09-12</x:v>
      </x:c>
      <x:c r="AF136" s="1" t="str">
        <x:v>Excluded from rent means</x:v>
      </x:c>
      <x:c r="AG136" s="5" t="str">
        <x:v>Source pricing flag retained; automated consistency checks passed. This is not independent landlord verification. Search summary: $2700–$2700; saved floor-plan envelope: $2675–$2675. Difference may reflect fees, timing or scope; unresolved snapshot price excluded.</x:v>
      </x:c>
      <x:c r="AH136" s="1" t="str">
        <x:v>$2,700</x:v>
      </x:c>
      <x:c r="AI136" s="8" t="n">
        <x:f>MIN(ABS(P136-1),ABS(P136-3),ABS(P136-5))*5280</x:f>
        <x:v>2101.6595693139925</x:v>
      </x:c>
      <x:c r="AJ136" s="8" t="n">
        <x:f>MIN(ABS(R136-1),ABS(R136-3),ABS(R136-5))*5280</x:f>
        <x:v>4327.719496664186</x:v>
      </x:c>
      <x:c r="AK136" s="8" t="n">
        <x:f>MIN(ABS(T136-1),ABS(T136-3),ABS(T136-5))*5280</x:f>
        <x:v>4717.913058616065</x:v>
      </x:c>
      <x:c r="AL136" s="1" t="n">
        <x:f>IF(MIN(AI136,AJ136,AK136)&lt;=100,1,0)</x:f>
        <x:v>0</x:v>
      </x:c>
    </x:row>
    <x:row r="137" ht="15" hidden="0" customHeight="1">
      <x:c r="A137" s="1" t="str">
        <x:f>IF('Raw properties'!A137="","",'Raw properties'!A137)</x:f>
        <x:v>ocps6ymwl7</x:v>
      </x:c>
      <x:c r="B137" s="1" t="str">
        <x:f>IF('Raw properties'!D137="","",'Raw properties'!D137)</x:f>
        <x:v>University Woods</x:v>
      </x:c>
      <x:c r="C137" s="1" t="str">
        <x:f>IF('Raw properties'!AG137="","",'Raw properties'!AG137)</x:f>
        <x:v>https://offcampus.dasa.ncsu.edu/housing/property/university-woods/ocps6ymwl7</x:v>
      </x:c>
      <x:c r="D137" s="1" t="str">
        <x:v>Per bedroom</x:v>
      </x:c>
      <x:c r="E137" s="1" t="str">
        <x:v>Per bedroom</x:v>
      </x:c>
      <x:c r="F137" s="7" t="n">
        <x:f>IF('Raw properties'!I137="","",'Raw properties'!I137)</x:f>
        <x:v>35.750831</x:v>
      </x:c>
      <x:c r="G137" s="7" t="n">
        <x:f>IF('Raw properties'!J137="","",'Raw properties'!J137)</x:f>
        <x:v>-78.695304</x:v>
      </x:c>
      <x:c r="H137" s="6" t="n">
        <x:f>IF('Raw properties'!M137="","",'Raw properties'!M137)</x:f>
        <x:v>600</x:v>
      </x:c>
      <x:c r="I137" s="6" t="n">
        <x:f>IF('Raw properties'!N137="","",'Raw properties'!N137)</x:f>
        <x:v>600</x:v>
      </x:c>
      <x:c r="J137" s="6" t="n">
        <x:f>IF((IF('Raw floorplans'!H499&gt;0,1,0))=0,"",MIN(IF('Raw floorplans'!H499&gt;0,'Raw floorplans'!H499,1E99)))</x:f>
        <x:v>600</x:v>
      </x:c>
      <x:c r="K137" s="6" t="n">
        <x:f>IF((IF('Raw floorplans'!I499&gt;0,1,0))=0,"",MAX(IF('Raw floorplans'!I499&gt;0,'Raw floorplans'!I499,0)))</x:f>
        <x:v>600</x:v>
      </x:c>
      <x:c r="L137" s="1" t="n">
        <x:v>0</x:v>
      </x:c>
      <x:c r="M137" s="1" t="n">
        <x:f>IF(AND(ISNUMBER(H137),ISNUMBER(I137),ISNUMBER(J137),ISNUMBER(K137),H137&gt;0,I137&gt;0),IF(OR(H137&lt;&gt;J137,I137&lt;&gt;K137),1,0),0)</x:f>
        <x:v>0</x:v>
      </x:c>
      <x:c r="N137" s="1" t="n">
        <x:f>IF(AND(ISNUMBER(H137),ISNUMBER(I137),H137&gt;0,I137&gt;=H137),1,0)</x:f>
        <x:v>1</x:v>
      </x:c>
      <x:c r="O137" s="1" t="n">
        <x:f>IF(AND(L137=0,M137=0,N137=1),1,0)</x:f>
        <x:v>1</x:v>
      </x:c>
      <x:c r="P137" s="7" t="n">
        <x:f>2*3958.7613*ASIN(SQRT(SIN(RADIANS(F137-35.77951)/2)^2+COS(RADIANS(35.77951))*COS(RADIANS(F137))*SIN(RADIANS(G137-(-78.68168))/2)^2))</x:f>
        <x:v>2.1236456712086413</x:v>
      </x:c>
      <x:c r="Q137" s="1" t="str">
        <x:f>IF(P137&lt;=1,"0–1 mi",IF(P137&lt;=3,"&gt;1–3 mi",IF(P137&lt;=5,"&gt;3–5 mi","Outside 5 mi")))</x:f>
        <x:v>&gt;1–3 mi</x:v>
      </x:c>
      <x:c r="R137" s="7" t="n">
        <x:f>2*3958.7613*ASIN(SQRT(SIN(RADIANS(F137-35.7687)/2)^2+COS(RADIANS(35.7687))*COS(RADIANS(F137))*SIN(RADIANS(G137-(-78.6775))/2)^2))</x:f>
        <x:v>1.5876926893474719</x:v>
      </x:c>
      <x:c r="S137" s="1" t="str">
        <x:f>IF(R137&lt;=1,"0–1 mi",IF(R137&lt;=3,"&gt;1–3 mi",IF(R137&lt;=5,"&gt;3–5 mi","Outside 5 mi")))</x:f>
        <x:v>&gt;1–3 mi</x:v>
      </x:c>
      <x:c r="T137" s="7" t="n">
        <x:f>2*3958.7613*ASIN(SQRT(SIN(RADIANS(F137-35.79847)/2)^2+COS(RADIANS(35.79847))*COS(RADIANS(F137))*SIN(RADIANS(G137-(-78.70408))/2)^2))</x:f>
        <x:v>3.3281024652774645</x:v>
      </x:c>
      <x:c r="U137" s="1" t="str">
        <x:f>IF(T137&lt;=1,"0–1 mi",IF(T137&lt;=3,"&gt;1–3 mi",IF(T137&lt;=5,"&gt;3–5 mi","Outside 5 mi")))</x:f>
        <x:v>&gt;3–5 mi</x:v>
      </x:c>
      <x:c r="V137" s="1" t="n">
        <x:f>IF(MIN(P137,R137,T137)&lt;=5,1,0)</x:f>
        <x:v>1</x:v>
      </x:c>
      <x:c r="W137" s="6" t="n">
        <x:f>IF(O137=1,(H137+I137)/2,"")</x:f>
        <x:v>600</x:v>
      </x:c>
      <x:c r="X137" s="1" t="n">
        <x:f>O137*V137</x:f>
        <x:v>1</x:v>
      </x:c>
      <x:c r="Y137" s="1" t="n">
        <x:v>0</x:v>
      </x:c>
      <x:c r="Z137" s="1" t="n">
        <x:v>0</x:v>
      </x:c>
      <x:c r="AA137" s="1" t="n">
        <x:v>0</x:v>
      </x:c>
      <x:c r="AB137" s="1" t="n">
        <x:v>0</x:v>
      </x:c>
      <x:c r="AC137" s="1" t="n">
        <x:v>0</x:v>
      </x:c>
      <x:c r="AD137" s="1" t="str">
        <x:f>IF('Raw properties'!Y137="","",'Raw properties'!Y137)</x:f>
      </x:c>
      <x:c r="AE137" s="1" t="str">
        <x:v>1970-01-01</x:v>
      </x:c>
      <x:c r="AF137" s="1" t="str">
        <x:v>Included in rent means</x:v>
      </x:c>
      <x:c r="AG137" s="5" t="str">
        <x:v>Source pricing flag retained; automated consistency checks passed. This is not independent landlord verification.</x:v>
      </x:c>
      <x:c r="AH137" s="1" t="str">
        <x:v>$600</x:v>
      </x:c>
      <x:c r="AI137" s="8" t="n">
        <x:f>MIN(ABS(P137-1),ABS(P137-3),ABS(P137-5))*5280</x:f>
        <x:v>4627.150856018374</x:v>
      </x:c>
      <x:c r="AJ137" s="8" t="n">
        <x:f>MIN(ABS(R137-1),ABS(R137-3),ABS(R137-5))*5280</x:f>
        <x:v>3103.0173997546517</x:v>
      </x:c>
      <x:c r="AK137" s="8" t="n">
        <x:f>MIN(ABS(T137-1),ABS(T137-3),ABS(T137-5))*5280</x:f>
        <x:v>1732.3810166650123</x:v>
      </x:c>
      <x:c r="AL137" s="1" t="n">
        <x:f>IF(MIN(AI137,AJ137,AK137)&lt;=100,1,0)</x:f>
        <x:v>0</x:v>
      </x:c>
    </x:row>
    <x:row r="138" ht="15" hidden="0" customHeight="1">
      <x:c r="A138" s="1" t="str">
        <x:f>IF('Raw properties'!A138="","",'Raw properties'!A138)</x:f>
        <x:v>9m73sq5</x:v>
      </x:c>
      <x:c r="B138" s="1" t="str">
        <x:f>IF('Raw properties'!D138="","",'Raw properties'!D138)</x:f>
        <x:v>Room in Townhome on Macedonia Lake Dr</x:v>
      </x:c>
      <x:c r="C138" s="1" t="str">
        <x:f>IF('Raw properties'!AG138="","",'Raw properties'!AG138)</x:f>
        <x:v>https://offcampus.dasa.ncsu.edu/housing/property/room-in-townhome-on-macedonia-lake-dr/9m73sq5</x:v>
      </x:c>
      <x:c r="D138" s="1" t="str">
        <x:v>Whole unit</x:v>
      </x:c>
      <x:c r="E138" s="1" t="str">
        <x:v>Per bedroom</x:v>
      </x:c>
      <x:c r="F138" s="7" t="n">
        <x:f>IF('Raw properties'!I138="","",'Raw properties'!I138)</x:f>
        <x:v>35.748332</x:v>
      </x:c>
      <x:c r="G138" s="7" t="n">
        <x:f>IF('Raw properties'!J138="","",'Raw properties'!J138)</x:f>
        <x:v>-78.742572</x:v>
      </x:c>
      <x:c r="H138" s="6" t="n">
        <x:f>IF('Raw properties'!M138="","",'Raw properties'!M138)</x:f>
        <x:v>800</x:v>
      </x:c>
      <x:c r="I138" s="6" t="n">
        <x:f>IF('Raw properties'!N138="","",'Raw properties'!N138)</x:f>
        <x:v>800</x:v>
      </x:c>
      <x:c r="J138" s="6" t="n">
        <x:f>IF((IF('Raw floorplans'!H500&gt;0,1,0))=0,"",MIN(IF('Raw floorplans'!H500&gt;0,'Raw floorplans'!H500,1E99)))</x:f>
        <x:v>800</x:v>
      </x:c>
      <x:c r="K138" s="6" t="n">
        <x:f>IF((IF('Raw floorplans'!I500&gt;0,1,0))=0,"",MAX(IF('Raw floorplans'!I500&gt;0,'Raw floorplans'!I500,0)))</x:f>
        <x:v>800</x:v>
      </x:c>
      <x:c r="L138" s="1" t="n">
        <x:v>0</x:v>
      </x:c>
      <x:c r="M138" s="1" t="n">
        <x:f>IF(AND(ISNUMBER(H138),ISNUMBER(I138),ISNUMBER(J138),ISNUMBER(K138),H138&gt;0,I138&gt;0),IF(OR(H138&lt;&gt;J138,I138&lt;&gt;K138),1,0),0)</x:f>
        <x:v>0</x:v>
      </x:c>
      <x:c r="N138" s="1" t="n">
        <x:f>IF(AND(ISNUMBER(H138),ISNUMBER(I138),H138&gt;0,I138&gt;=H138),1,0)</x:f>
        <x:v>1</x:v>
      </x:c>
      <x:c r="O138" s="1" t="n">
        <x:f>IF(AND(L138=0,M138=0,N138=1),1,0)</x:f>
        <x:v>1</x:v>
      </x:c>
      <x:c r="P138" s="7" t="n">
        <x:f>2*3958.7613*ASIN(SQRT(SIN(RADIANS(F138-35.77951)/2)^2+COS(RADIANS(35.77951))*COS(RADIANS(F138))*SIN(RADIANS(G138-(-78.68168))/2)^2))</x:f>
        <x:v>4.03672802556403</x:v>
      </x:c>
      <x:c r="Q138" s="1" t="str">
        <x:f>IF(P138&lt;=1,"0–1 mi",IF(P138&lt;=3,"&gt;1–3 mi",IF(P138&lt;=5,"&gt;3–5 mi","Outside 5 mi")))</x:f>
        <x:v>&gt;3–5 mi</x:v>
      </x:c>
      <x:c r="R138" s="7" t="n">
        <x:f>2*3958.7613*ASIN(SQRT(SIN(RADIANS(F138-35.7687)/2)^2+COS(RADIANS(35.7687))*COS(RADIANS(F138))*SIN(RADIANS(G138-(-78.6775))/2)^2))</x:f>
        <x:v>3.910487836729632</x:v>
      </x:c>
      <x:c r="S138" s="1" t="str">
        <x:f>IF(R138&lt;=1,"0–1 mi",IF(R138&lt;=3,"&gt;1–3 mi",IF(R138&lt;=5,"&gt;3–5 mi","Outside 5 mi")))</x:f>
        <x:v>&gt;3–5 mi</x:v>
      </x:c>
      <x:c r="T138" s="7" t="n">
        <x:f>2*3958.7613*ASIN(SQRT(SIN(RADIANS(F138-35.79847)/2)^2+COS(RADIANS(35.79847))*COS(RADIANS(F138))*SIN(RADIANS(G138-(-78.70408))/2)^2))</x:f>
        <x:v>4.081267407142452</x:v>
      </x:c>
      <x:c r="U138" s="1" t="str">
        <x:f>IF(T138&lt;=1,"0–1 mi",IF(T138&lt;=3,"&gt;1–3 mi",IF(T138&lt;=5,"&gt;3–5 mi","Outside 5 mi")))</x:f>
        <x:v>&gt;3–5 mi</x:v>
      </x:c>
      <x:c r="V138" s="1" t="n">
        <x:f>IF(MIN(P138,R138,T138)&lt;=5,1,0)</x:f>
        <x:v>1</x:v>
      </x:c>
      <x:c r="W138" s="6" t="n">
        <x:f>IF(O138=1,(H138+I138)/2,"")</x:f>
        <x:v>800</x:v>
      </x:c>
      <x:c r="X138" s="1" t="n">
        <x:f>O138*V138</x:f>
        <x:v>1</x:v>
      </x:c>
      <x:c r="Y138" s="1" t="n">
        <x:v>0</x:v>
      </x:c>
      <x:c r="Z138" s="1" t="n">
        <x:v>0</x:v>
      </x:c>
      <x:c r="AA138" s="1" t="n">
        <x:v>0</x:v>
      </x:c>
      <x:c r="AB138" s="1" t="n">
        <x:v>0</x:v>
      </x:c>
      <x:c r="AC138" s="1" t="n">
        <x:v>0</x:v>
      </x:c>
      <x:c r="AD138" s="1" t="str">
        <x:f>IF('Raw properties'!Y138="","",'Raw properties'!Y138)</x:f>
      </x:c>
      <x:c r="AE138" s="1" t="str">
        <x:v>2026-09-09</x:v>
      </x:c>
      <x:c r="AF138" s="1" t="str">
        <x:v>Included in rent means</x:v>
      </x:c>
      <x:c r="AG138" s="5" t="str">
        <x:v>Saved September 9 title explicitly offers a room. Reclassified from whole unit to room/per-bedroom; snapshot price unchanged.</x:v>
      </x:c>
      <x:c r="AH138" s="1" t="str">
        <x:v>$800</x:v>
      </x:c>
      <x:c r="AI138" s="8" t="n">
        <x:f>MIN(ABS(P138-1),ABS(P138-3),ABS(P138-5))*5280</x:f>
        <x:v>5086.076025021921</x:v>
      </x:c>
      <x:c r="AJ138" s="8" t="n">
        <x:f>MIN(ABS(R138-1),ABS(R138-3),ABS(R138-5))*5280</x:f>
        <x:v>4807.375777932457</x:v>
      </x:c>
      <x:c r="AK138" s="8" t="n">
        <x:f>MIN(ABS(T138-1),ABS(T138-3),ABS(T138-5))*5280</x:f>
        <x:v>4850.908090287855</x:v>
      </x:c>
      <x:c r="AL138" s="1" t="n">
        <x:f>IF(MIN(AI138,AJ138,AK138)&lt;=100,1,0)</x:f>
        <x:v>0</x:v>
      </x:c>
    </x:row>
    <x:row r="139" ht="15" hidden="0" customHeight="1">
      <x:c r="A139" s="1" t="str">
        <x:f>IF('Raw properties'!A139="","",'Raw properties'!A139)</x:f>
        <x:v>ocpvgtpebg</x:v>
      </x:c>
      <x:c r="B139" s="1" t="str">
        <x:f>IF('Raw properties'!D139="","",'Raw properties'!D139)</x:f>
        <x:v>Lake Park Condos- Room Rental with Utilities</x:v>
      </x:c>
      <x:c r="C139" s="1" t="str">
        <x:f>IF('Raw properties'!AG139="","",'Raw properties'!AG139)</x:f>
        <x:v>https://offcampus.dasa.ncsu.edu/housing/property/lake-park-condos-room-rental-with-utilities/ocpvgtpebg</x:v>
      </x:c>
      <x:c r="D139" s="1" t="str">
        <x:v>Per bedroom</x:v>
      </x:c>
      <x:c r="E139" s="1" t="str">
        <x:v>Per bedroom</x:v>
      </x:c>
      <x:c r="F139" s="7" t="n">
        <x:f>IF('Raw properties'!I139="","",'Raw properties'!I139)</x:f>
        <x:v>35.762115</x:v>
      </x:c>
      <x:c r="G139" s="7" t="n">
        <x:f>IF('Raw properties'!J139="","",'Raw properties'!J139)</x:f>
        <x:v>-78.701515</x:v>
      </x:c>
      <x:c r="H139" s="6" t="n">
        <x:f>IF('Raw properties'!M139="","",'Raw properties'!M139)</x:f>
        <x:v>500</x:v>
      </x:c>
      <x:c r="I139" s="6" t="n">
        <x:f>IF('Raw properties'!N139="","",'Raw properties'!N139)</x:f>
        <x:v>600</x:v>
      </x:c>
      <x:c r="J139" s="6" t="n">
        <x:f>IF((IF('Raw floorplans'!H501&gt;0,1,0))=0,"",MIN(IF('Raw floorplans'!H501&gt;0,'Raw floorplans'!H501,1E99)))</x:f>
        <x:v>500</x:v>
      </x:c>
      <x:c r="K139" s="6" t="n">
        <x:f>IF((IF('Raw floorplans'!I501&gt;0,1,0))=0,"",MAX(IF('Raw floorplans'!I501&gt;0,'Raw floorplans'!I501,0)))</x:f>
        <x:v>600</x:v>
      </x:c>
      <x:c r="L139" s="1" t="n">
        <x:v>0</x:v>
      </x:c>
      <x:c r="M139" s="1" t="n">
        <x:f>IF(AND(ISNUMBER(H139),ISNUMBER(I139),ISNUMBER(J139),ISNUMBER(K139),H139&gt;0,I139&gt;0),IF(OR(H139&lt;&gt;J139,I139&lt;&gt;K139),1,0),0)</x:f>
        <x:v>0</x:v>
      </x:c>
      <x:c r="N139" s="1" t="n">
        <x:f>IF(AND(ISNUMBER(H139),ISNUMBER(I139),H139&gt;0,I139&gt;=H139),1,0)</x:f>
        <x:v>1</x:v>
      </x:c>
      <x:c r="O139" s="1" t="n">
        <x:f>IF(AND(L139=0,M139=0,N139=1),1,0)</x:f>
        <x:v>1</x:v>
      </x:c>
      <x:c r="P139" s="7" t="n">
        <x:f>2*3958.7613*ASIN(SQRT(SIN(RADIANS(F139-35.77951)/2)^2+COS(RADIANS(35.77951))*COS(RADIANS(F139))*SIN(RADIANS(G139-(-78.68168))/2)^2))</x:f>
        <x:v>1.6373569359044704</x:v>
      </x:c>
      <x:c r="Q139" s="1" t="str">
        <x:f>IF(P139&lt;=1,"0–1 mi",IF(P139&lt;=3,"&gt;1–3 mi",IF(P139&lt;=5,"&gt;3–5 mi","Outside 5 mi")))</x:f>
        <x:v>&gt;1–3 mi</x:v>
      </x:c>
      <x:c r="R139" s="7" t="n">
        <x:f>2*3958.7613*ASIN(SQRT(SIN(RADIANS(F139-35.7687)/2)^2+COS(RADIANS(35.7687))*COS(RADIANS(F139))*SIN(RADIANS(G139-(-78.6775))/2)^2))</x:f>
        <x:v>1.4211648900991705</x:v>
      </x:c>
      <x:c r="S139" s="1" t="str">
        <x:f>IF(R139&lt;=1,"0–1 mi",IF(R139&lt;=3,"&gt;1–3 mi",IF(R139&lt;=5,"&gt;3–5 mi","Outside 5 mi")))</x:f>
        <x:v>&gt;1–3 mi</x:v>
      </x:c>
      <x:c r="T139" s="7" t="n">
        <x:f>2*3958.7613*ASIN(SQRT(SIN(RADIANS(F139-35.79847)/2)^2+COS(RADIANS(35.79847))*COS(RADIANS(F139))*SIN(RADIANS(G139-(-78.70408))/2)^2))</x:f>
        <x:v>2.516002625317234</x:v>
      </x:c>
      <x:c r="U139" s="1" t="str">
        <x:f>IF(T139&lt;=1,"0–1 mi",IF(T139&lt;=3,"&gt;1–3 mi",IF(T139&lt;=5,"&gt;3–5 mi","Outside 5 mi")))</x:f>
        <x:v>&gt;1–3 mi</x:v>
      </x:c>
      <x:c r="V139" s="1" t="n">
        <x:f>IF(MIN(P139,R139,T139)&lt;=5,1,0)</x:f>
        <x:v>1</x:v>
      </x:c>
      <x:c r="W139" s="6" t="n">
        <x:f>IF(O139=1,(H139+I139)/2,"")</x:f>
        <x:v>550</x:v>
      </x:c>
      <x:c r="X139" s="1" t="n">
        <x:f>O139*V139</x:f>
        <x:v>1</x:v>
      </x:c>
      <x:c r="Y139" s="1" t="n">
        <x:v>0</x:v>
      </x:c>
      <x:c r="Z139" s="1" t="n">
        <x:v>0</x:v>
      </x:c>
      <x:c r="AA139" s="1" t="n">
        <x:v>0</x:v>
      </x:c>
      <x:c r="AB139" s="1" t="n">
        <x:v>0</x:v>
      </x:c>
      <x:c r="AC139" s="1" t="n">
        <x:v>0</x:v>
      </x:c>
      <x:c r="AD139" s="1" t="str">
        <x:f>IF('Raw properties'!Y139="","",'Raw properties'!Y139)</x:f>
        <x:v>12 Month Lease</x:v>
      </x:c>
      <x:c r="AE139" s="1" t="str">
        <x:v>1970-01-01</x:v>
      </x:c>
      <x:c r="AF139" s="1" t="str">
        <x:v>Included in rent means</x:v>
      </x:c>
      <x:c r="AG139" s="5" t="str">
        <x:v>Source pricing flag retained; automated consistency checks passed. This is not independent landlord verification.</x:v>
      </x:c>
      <x:c r="AH139" s="1" t="str">
        <x:v>$500 - $600</x:v>
      </x:c>
      <x:c r="AI139" s="8" t="n">
        <x:f>MIN(ABS(P139-1),ABS(P139-3),ABS(P139-5))*5280</x:f>
        <x:v>3365.2446215756036</x:v>
      </x:c>
      <x:c r="AJ139" s="8" t="n">
        <x:f>MIN(ABS(R139-1),ABS(R139-3),ABS(R139-5))*5280</x:f>
        <x:v>2223.75061972362</x:v>
      </x:c>
      <x:c r="AK139" s="8" t="n">
        <x:f>MIN(ABS(T139-1),ABS(T139-3),ABS(T139-5))*5280</x:f>
        <x:v>2555.5061383250054</x:v>
      </x:c>
      <x:c r="AL139" s="1" t="n">
        <x:f>IF(MIN(AI139,AJ139,AK139)&lt;=100,1,0)</x:f>
        <x:v>0</x:v>
      </x:c>
    </x:row>
    <x:row r="140" ht="15" hidden="0" customHeight="1">
      <x:c r="A140" s="1" t="str">
        <x:f>IF('Raw properties'!A140="","",'Raw properties'!A140)</x:f>
        <x:v>5hme2mn</x:v>
      </x:c>
      <x:c r="B140" s="1" t="str">
        <x:f>IF('Raw properties'!D140="","",'Raw properties'!D140)</x:f>
        <x:v>The Station Raleigh</x:v>
      </x:c>
      <x:c r="C140" s="1" t="str">
        <x:f>IF('Raw properties'!AG140="","",'Raw properties'!AG140)</x:f>
        <x:v>https://offcampus.dasa.ncsu.edu/housing/property/the-station-raleigh/5hme2mn</x:v>
      </x:c>
      <x:c r="D140" s="1" t="str">
        <x:v>Per bedroom</x:v>
      </x:c>
      <x:c r="E140" s="1" t="str">
        <x:v>Per bedroom</x:v>
      </x:c>
      <x:c r="F140" s="7" t="n">
        <x:f>IF('Raw properties'!I140="","",'Raw properties'!I140)</x:f>
        <x:v>35.799954</x:v>
      </x:c>
      <x:c r="G140" s="7" t="n">
        <x:f>IF('Raw properties'!J140="","",'Raw properties'!J140)</x:f>
        <x:v>-78.711159</x:v>
      </x:c>
      <x:c r="H140" s="6" t="n">
        <x:f>IF('Raw properties'!M140="","",'Raw properties'!M140)</x:f>
        <x:v>749</x:v>
      </x:c>
      <x:c r="I140" s="6" t="n">
        <x:f>IF('Raw properties'!N140="","",'Raw properties'!N140)</x:f>
        <x:v>1930</x:v>
      </x:c>
      <x:c r="J140" s="6" t="n">
        <x:f>IF((IF('Raw floorplans'!H502&gt;0,1,0)+IF('Raw floorplans'!H503&gt;0,1,0)+IF('Raw floorplans'!H504&gt;0,1,0)+IF('Raw floorplans'!H505&gt;0,1,0)+IF('Raw floorplans'!H506&gt;0,1,0)+IF('Raw floorplans'!H507&gt;0,1,0)+IF('Raw floorplans'!H508&gt;0,1,0))=0,"",MIN(IF('Raw floorplans'!H502&gt;0,'Raw floorplans'!H502,1E99),IF('Raw floorplans'!H503&gt;0,'Raw floorplans'!H503,1E99),IF('Raw floorplans'!H504&gt;0,'Raw floorplans'!H504,1E99),IF('Raw floorplans'!H505&gt;0,'Raw floorplans'!H505,1E99),IF('Raw floorplans'!H506&gt;0,'Raw floorplans'!H506,1E99),IF('Raw floorplans'!H507&gt;0,'Raw floorplans'!H507,1E99),IF('Raw floorplans'!H508&gt;0,'Raw floorplans'!H508,1E99)))</x:f>
        <x:v>749</x:v>
      </x:c>
      <x:c r="K140" s="6" t="n">
        <x:f>IF((IF('Raw floorplans'!I502&gt;0,1,0)+IF('Raw floorplans'!I503&gt;0,1,0)+IF('Raw floorplans'!I504&gt;0,1,0)+IF('Raw floorplans'!I505&gt;0,1,0)+IF('Raw floorplans'!I506&gt;0,1,0)+IF('Raw floorplans'!I507&gt;0,1,0)+IF('Raw floorplans'!I508&gt;0,1,0))=0,"",MAX(IF('Raw floorplans'!I502&gt;0,'Raw floorplans'!I502,0),IF('Raw floorplans'!I503&gt;0,'Raw floorplans'!I503,0),IF('Raw floorplans'!I504&gt;0,'Raw floorplans'!I504,0),IF('Raw floorplans'!I505&gt;0,'Raw floorplans'!I505,0),IF('Raw floorplans'!I506&gt;0,'Raw floorplans'!I506,0),IF('Raw floorplans'!I507&gt;0,'Raw floorplans'!I507,0),IF('Raw floorplans'!I508&gt;0,'Raw floorplans'!I508,0)))</x:f>
        <x:v>1930</x:v>
      </x:c>
      <x:c r="L140" s="1" t="n">
        <x:v>0</x:v>
      </x:c>
      <x:c r="M140" s="1" t="n">
        <x:f>IF(AND(ISNUMBER(H140),ISNUMBER(I140),ISNUMBER(J140),ISNUMBER(K140),H140&gt;0,I140&gt;0),IF(OR(H140&lt;&gt;J140,I140&lt;&gt;K140),1,0),0)</x:f>
        <x:v>0</x:v>
      </x:c>
      <x:c r="N140" s="1" t="n">
        <x:f>IF(AND(ISNUMBER(H140),ISNUMBER(I140),H140&gt;0,I140&gt;=H140),1,0)</x:f>
        <x:v>1</x:v>
      </x:c>
      <x:c r="O140" s="1" t="n">
        <x:f>IF(AND(L140=0,M140=0,N140=1),1,0)</x:f>
        <x:v>1</x:v>
      </x:c>
      <x:c r="P140" s="7" t="n">
        <x:f>2*3958.7613*ASIN(SQRT(SIN(RADIANS(F140-35.77951)/2)^2+COS(RADIANS(35.77951))*COS(RADIANS(F140))*SIN(RADIANS(G140-(-78.68168))/2)^2))</x:f>
        <x:v>2.1737122494361176</x:v>
      </x:c>
      <x:c r="Q140" s="1" t="str">
        <x:f>IF(P140&lt;=1,"0–1 mi",IF(P140&lt;=3,"&gt;1–3 mi",IF(P140&lt;=5,"&gt;3–5 mi","Outside 5 mi")))</x:f>
        <x:v>&gt;1–3 mi</x:v>
      </x:c>
      <x:c r="R140" s="7" t="n">
        <x:f>2*3958.7613*ASIN(SQRT(SIN(RADIANS(F140-35.7687)/2)^2+COS(RADIANS(35.7687))*COS(RADIANS(F140))*SIN(RADIANS(G140-(-78.6775))/2)^2))</x:f>
        <x:v>2.8674805254771507</x:v>
      </x:c>
      <x:c r="S140" s="1" t="str">
        <x:f>IF(R140&lt;=1,"0–1 mi",IF(R140&lt;=3,"&gt;1–3 mi",IF(R140&lt;=5,"&gt;3–5 mi","Outside 5 mi")))</x:f>
        <x:v>&gt;1–3 mi</x:v>
      </x:c>
      <x:c r="T140" s="7" t="n">
        <x:f>2*3958.7613*ASIN(SQRT(SIN(RADIANS(F140-35.79847)/2)^2+COS(RADIANS(35.79847))*COS(RADIANS(F140))*SIN(RADIANS(G140-(-78.70408))/2)^2))</x:f>
        <x:v>0.40974186363258946</x:v>
      </x:c>
      <x:c r="U140" s="1" t="str">
        <x:f>IF(T140&lt;=1,"0–1 mi",IF(T140&lt;=3,"&gt;1–3 mi",IF(T140&lt;=5,"&gt;3–5 mi","Outside 5 mi")))</x:f>
        <x:v>0–1 mi</x:v>
      </x:c>
      <x:c r="V140" s="1" t="n">
        <x:f>IF(MIN(P140,R140,T140)&lt;=5,1,0)</x:f>
        <x:v>1</x:v>
      </x:c>
      <x:c r="W140" s="6" t="n">
        <x:f>IF(O140=1,(H140+I140)/2,"")</x:f>
        <x:v>1339.5</x:v>
      </x:c>
      <x:c r="X140" s="1" t="n">
        <x:f>O140*V140</x:f>
        <x:v>1</x:v>
      </x:c>
      <x:c r="Y140" s="1" t="n">
        <x:v>0</x:v>
      </x:c>
      <x:c r="Z140" s="1" t="n">
        <x:v>0</x:v>
      </x:c>
      <x:c r="AA140" s="1" t="n">
        <x:v>0</x:v>
      </x:c>
      <x:c r="AB140" s="1" t="n">
        <x:v>1</x:v>
      </x:c>
      <x:c r="AC140" s="1" t="n">
        <x:v>0</x:v>
      </x:c>
      <x:c r="AD140" s="1" t="str">
        <x:f>IF('Raw properties'!Y140="","",'Raw properties'!Y140)</x:f>
        <x:v>11 Month Lease</x:v>
      </x:c>
      <x:c r="AE140" s="1" t="str">
        <x:v>2026-08-08</x:v>
      </x:c>
      <x:c r="AF140" s="1" t="str">
        <x:v>Included in rent means</x:v>
      </x:c>
      <x:c r="AG140" s="5" t="str">
        <x:v>Source pricing flag retained; automated consistency checks passed. This is not independent landlord verification.</x:v>
      </x:c>
      <x:c r="AH140" s="1" t="str">
        <x:v>$749 - $1,930</x:v>
      </x:c>
      <x:c r="AI140" s="8" t="n">
        <x:f>MIN(ABS(P140-1),ABS(P140-3),ABS(P140-5))*5280</x:f>
        <x:v>4362.799322977299</x:v>
      </x:c>
      <x:c r="AJ140" s="8" t="n">
        <x:f>MIN(ABS(R140-1),ABS(R140-3),ABS(R140-5))*5280</x:f>
        <x:v>699.7028254806443</x:v>
      </x:c>
      <x:c r="AK140" s="8" t="n">
        <x:f>MIN(ABS(T140-1),ABS(T140-3),ABS(T140-5))*5280</x:f>
        <x:v>3116.5629600199277</x:v>
      </x:c>
      <x:c r="AL140" s="1" t="n">
        <x:f>IF(MIN(AI140,AJ140,AK140)&lt;=100,1,0)</x:f>
        <x:v>0</x:v>
      </x:c>
    </x:row>
    <x:row r="141" ht="15" hidden="0" customHeight="1">
      <x:c r="A141" s="1" t="str">
        <x:f>IF('Raw properties'!A141="","",'Raw properties'!A141)</x:f>
        <x:v>ocp1kxjde4</x:v>
      </x:c>
      <x:c r="B141" s="1" t="str">
        <x:f>IF('Raw properties'!D141="","",'Raw properties'!D141)</x:f>
        <x:v>Rent a WHOLE unit with water, electric, washer and dryer! 4 Bed 4 Bath! Lake Park Condos!</x:v>
      </x:c>
      <x:c r="C141" s="1" t="str">
        <x:f>IF('Raw properties'!AG141="","",'Raw properties'!AG141)</x:f>
        <x:v>https://offcampus.dasa.ncsu.edu/housing/property/rent-a-whole-unit-with-water-electric-washer-and-dryer-4-bed-4-bath-lake-park-condos/ocp1kxjde4</x:v>
      </x:c>
      <x:c r="D141" s="1" t="str">
        <x:v>Whole unit</x:v>
      </x:c>
      <x:c r="E141" s="1" t="str">
        <x:v>Whole unit</x:v>
      </x:c>
      <x:c r="F141" s="7" t="n">
        <x:f>IF('Raw properties'!I141="","",'Raw properties'!I141)</x:f>
        <x:v>35.762115</x:v>
      </x:c>
      <x:c r="G141" s="7" t="n">
        <x:f>IF('Raw properties'!J141="","",'Raw properties'!J141)</x:f>
        <x:v>-78.701515</x:v>
      </x:c>
      <x:c r="H141" s="6" t="n">
        <x:f>IF('Raw properties'!M141="","",'Raw properties'!M141)</x:f>
        <x:v>2000</x:v>
      </x:c>
      <x:c r="I141" s="6" t="n">
        <x:f>IF('Raw properties'!N141="","",'Raw properties'!N141)</x:f>
        <x:v>2000</x:v>
      </x:c>
      <x:c r="J141" s="6" t="n">
        <x:f>IF((IF('Raw floorplans'!H509&gt;0,1,0))=0,"",MIN(IF('Raw floorplans'!H509&gt;0,'Raw floorplans'!H509,1E99)))</x:f>
        <x:v>2000</x:v>
      </x:c>
      <x:c r="K141" s="6" t="n">
        <x:f>IF((IF('Raw floorplans'!I509&gt;0,1,0))=0,"",MAX(IF('Raw floorplans'!I509&gt;0,'Raw floorplans'!I509,0)))</x:f>
        <x:v>2000</x:v>
      </x:c>
      <x:c r="L141" s="1" t="n">
        <x:v>0</x:v>
      </x:c>
      <x:c r="M141" s="1" t="n">
        <x:f>IF(AND(ISNUMBER(H141),ISNUMBER(I141),ISNUMBER(J141),ISNUMBER(K141),H141&gt;0,I141&gt;0),IF(OR(H141&lt;&gt;J141,I141&lt;&gt;K141),1,0),0)</x:f>
        <x:v>0</x:v>
      </x:c>
      <x:c r="N141" s="1" t="n">
        <x:f>IF(AND(ISNUMBER(H141),ISNUMBER(I141),H141&gt;0,I141&gt;=H141),1,0)</x:f>
        <x:v>1</x:v>
      </x:c>
      <x:c r="O141" s="1" t="n">
        <x:f>IF(AND(L141=0,M141=0,N141=1),1,0)</x:f>
        <x:v>1</x:v>
      </x:c>
      <x:c r="P141" s="7" t="n">
        <x:f>2*3958.7613*ASIN(SQRT(SIN(RADIANS(F141-35.77951)/2)^2+COS(RADIANS(35.77951))*COS(RADIANS(F141))*SIN(RADIANS(G141-(-78.68168))/2)^2))</x:f>
        <x:v>1.6373569359044704</x:v>
      </x:c>
      <x:c r="Q141" s="1" t="str">
        <x:f>IF(P141&lt;=1,"0–1 mi",IF(P141&lt;=3,"&gt;1–3 mi",IF(P141&lt;=5,"&gt;3–5 mi","Outside 5 mi")))</x:f>
        <x:v>&gt;1–3 mi</x:v>
      </x:c>
      <x:c r="R141" s="7" t="n">
        <x:f>2*3958.7613*ASIN(SQRT(SIN(RADIANS(F141-35.7687)/2)^2+COS(RADIANS(35.7687))*COS(RADIANS(F141))*SIN(RADIANS(G141-(-78.6775))/2)^2))</x:f>
        <x:v>1.4211648900991705</x:v>
      </x:c>
      <x:c r="S141" s="1" t="str">
        <x:f>IF(R141&lt;=1,"0–1 mi",IF(R141&lt;=3,"&gt;1–3 mi",IF(R141&lt;=5,"&gt;3–5 mi","Outside 5 mi")))</x:f>
        <x:v>&gt;1–3 mi</x:v>
      </x:c>
      <x:c r="T141" s="7" t="n">
        <x:f>2*3958.7613*ASIN(SQRT(SIN(RADIANS(F141-35.79847)/2)^2+COS(RADIANS(35.79847))*COS(RADIANS(F141))*SIN(RADIANS(G141-(-78.70408))/2)^2))</x:f>
        <x:v>2.516002625317234</x:v>
      </x:c>
      <x:c r="U141" s="1" t="str">
        <x:f>IF(T141&lt;=1,"0–1 mi",IF(T141&lt;=3,"&gt;1–3 mi",IF(T141&lt;=5,"&gt;3–5 mi","Outside 5 mi")))</x:f>
        <x:v>&gt;1–3 mi</x:v>
      </x:c>
      <x:c r="V141" s="1" t="n">
        <x:f>IF(MIN(P141,R141,T141)&lt;=5,1,0)</x:f>
        <x:v>1</x:v>
      </x:c>
      <x:c r="W141" s="6" t="n">
        <x:f>IF(O141=1,(H141+I141)/2,"")</x:f>
        <x:v>2000</x:v>
      </x:c>
      <x:c r="X141" s="1" t="n">
        <x:f>O141*V141</x:f>
        <x:v>1</x:v>
      </x:c>
      <x:c r="Y141" s="1" t="n">
        <x:v>0</x:v>
      </x:c>
      <x:c r="Z141" s="1" t="n">
        <x:v>0</x:v>
      </x:c>
      <x:c r="AA141" s="1" t="n">
        <x:v>0</x:v>
      </x:c>
      <x:c r="AB141" s="1" t="n">
        <x:v>0</x:v>
      </x:c>
      <x:c r="AC141" s="1" t="n">
        <x:v>0</x:v>
      </x:c>
      <x:c r="AD141" s="1" t="str">
        <x:f>IF('Raw properties'!Y141="","",'Raw properties'!Y141)</x:f>
        <x:v>12 Month Lease</x:v>
      </x:c>
      <x:c r="AE141" s="1" t="str">
        <x:v>1970-01-01</x:v>
      </x:c>
      <x:c r="AF141" s="1" t="str">
        <x:v>Included in rent means</x:v>
      </x:c>
      <x:c r="AG141" s="5" t="str">
        <x:v>Source pricing flag retained; automated consistency checks passed. This is not independent landlord verification.</x:v>
      </x:c>
      <x:c r="AH141" s="1" t="str">
        <x:v>$2,000</x:v>
      </x:c>
      <x:c r="AI141" s="8" t="n">
        <x:f>MIN(ABS(P141-1),ABS(P141-3),ABS(P141-5))*5280</x:f>
        <x:v>3365.2446215756036</x:v>
      </x:c>
      <x:c r="AJ141" s="8" t="n">
        <x:f>MIN(ABS(R141-1),ABS(R141-3),ABS(R141-5))*5280</x:f>
        <x:v>2223.75061972362</x:v>
      </x:c>
      <x:c r="AK141" s="8" t="n">
        <x:f>MIN(ABS(T141-1),ABS(T141-3),ABS(T141-5))*5280</x:f>
        <x:v>2555.5061383250054</x:v>
      </x:c>
      <x:c r="AL141" s="1" t="n">
        <x:f>IF(MIN(AI141,AJ141,AK141)&lt;=100,1,0)</x:f>
        <x:v>0</x:v>
      </x:c>
    </x:row>
    <x:row r="142" ht="24" hidden="0" customHeight="1">
      <x:c r="A142" s="1" t="str">
        <x:f>IF('Raw properties'!A142="","",'Raw properties'!A142)</x:f>
        <x:v>lpl9fce</x:v>
      </x:c>
      <x:c r="B142" s="1" t="str">
        <x:f>IF('Raw properties'!D142="","",'Raw properties'!D142)</x:f>
        <x:v>2850 Sanderford Rd (Raleigh, NC)</x:v>
      </x:c>
      <x:c r="C142" s="1" t="str">
        <x:f>IF('Raw properties'!AG142="","",'Raw properties'!AG142)</x:f>
        <x:v>https://offcampus.dasa.ncsu.edu/housing/property/2850-sanderford-rd-raleigh-nc/lpl9fce</x:v>
      </x:c>
      <x:c r="D142" s="1" t="str">
        <x:v>Whole unit</x:v>
      </x:c>
      <x:c r="E142" s="1" t="str">
        <x:v>Per bedroom</x:v>
      </x:c>
      <x:c r="F142" s="7" t="n">
        <x:f>IF('Raw properties'!I142="","",'Raw properties'!I142)</x:f>
        <x:v>35.739414</x:v>
      </x:c>
      <x:c r="G142" s="7" t="n">
        <x:f>IF('Raw properties'!J142="","",'Raw properties'!J142)</x:f>
        <x:v>-78.61236</x:v>
      </x:c>
      <x:c r="H142" s="6" t="n">
        <x:f>IF('Raw properties'!M142="","",'Raw properties'!M142)</x:f>
        <x:v>650</x:v>
      </x:c>
      <x:c r="I142" s="6" t="n">
        <x:f>IF('Raw properties'!N142="","",'Raw properties'!N142)</x:f>
        <x:v>650</x:v>
      </x:c>
      <x:c r="J142" s="6" t="n">
        <x:f>IF((IF('Raw floorplans'!H510&gt;0,1,0))=0,"",MIN(IF('Raw floorplans'!H510&gt;0,'Raw floorplans'!H510,1E99)))</x:f>
        <x:v>650</x:v>
      </x:c>
      <x:c r="K142" s="6" t="n">
        <x:f>IF((IF('Raw floorplans'!I510&gt;0,1,0))=0,"",MAX(IF('Raw floorplans'!I510&gt;0,'Raw floorplans'!I510,0)))</x:f>
        <x:v>650</x:v>
      </x:c>
      <x:c r="L142" s="1" t="n">
        <x:v>0</x:v>
      </x:c>
      <x:c r="M142" s="1" t="n">
        <x:f>IF(AND(ISNUMBER(H142),ISNUMBER(I142),ISNUMBER(J142),ISNUMBER(K142),H142&gt;0,I142&gt;0),IF(OR(H142&lt;&gt;J142,I142&lt;&gt;K142),1,0),0)</x:f>
        <x:v>0</x:v>
      </x:c>
      <x:c r="N142" s="1" t="n">
        <x:f>IF(AND(ISNUMBER(H142),ISNUMBER(I142),H142&gt;0,I142&gt;=H142),1,0)</x:f>
        <x:v>1</x:v>
      </x:c>
      <x:c r="O142" s="1" t="n">
        <x:f>IF(AND(L142=0,M142=0,N142=1),1,0)</x:f>
        <x:v>1</x:v>
      </x:c>
      <x:c r="P142" s="7" t="n">
        <x:f>2*3958.7613*ASIN(SQRT(SIN(RADIANS(F142-35.77951)/2)^2+COS(RADIANS(35.77951))*COS(RADIANS(F142))*SIN(RADIANS(G142-(-78.68168))/2)^2))</x:f>
        <x:v>4.772916888366476</x:v>
      </x:c>
      <x:c r="Q142" s="1" t="str">
        <x:f>IF(P142&lt;=1,"0–1 mi",IF(P142&lt;=3,"&gt;1–3 mi",IF(P142&lt;=5,"&gt;3–5 mi","Outside 5 mi")))</x:f>
        <x:v>&gt;3–5 mi</x:v>
      </x:c>
      <x:c r="R142" s="7" t="n">
        <x:f>2*3958.7613*ASIN(SQRT(SIN(RADIANS(F142-35.7687)/2)^2+COS(RADIANS(35.7687))*COS(RADIANS(F142))*SIN(RADIANS(G142-(-78.6775))/2)^2))</x:f>
        <x:v>4.175547503872404</x:v>
      </x:c>
      <x:c r="S142" s="1" t="str">
        <x:f>IF(R142&lt;=1,"0–1 mi",IF(R142&lt;=3,"&gt;1–3 mi",IF(R142&lt;=5,"&gt;3–5 mi","Outside 5 mi")))</x:f>
        <x:v>&gt;3–5 mi</x:v>
      </x:c>
      <x:c r="T142" s="7" t="n">
        <x:f>2*3958.7613*ASIN(SQRT(SIN(RADIANS(F142-35.79847)/2)^2+COS(RADIANS(35.79847))*COS(RADIANS(F142))*SIN(RADIANS(G142-(-78.70408))/2)^2))</x:f>
        <x:v>6.564210403905614</x:v>
      </x:c>
      <x:c r="U142" s="1" t="str">
        <x:f>IF(T142&lt;=1,"0–1 mi",IF(T142&lt;=3,"&gt;1–3 mi",IF(T142&lt;=5,"&gt;3–5 mi","Outside 5 mi")))</x:f>
        <x:v>Outside 5 mi</x:v>
      </x:c>
      <x:c r="V142" s="1" t="n">
        <x:f>IF(MIN(P142,R142,T142)&lt;=5,1,0)</x:f>
        <x:v>1</x:v>
      </x:c>
      <x:c r="W142" s="6" t="n">
        <x:f>IF(O142=1,(H142+I142)/2,"")</x:f>
        <x:v>650</x:v>
      </x:c>
      <x:c r="X142" s="1" t="n">
        <x:f>O142*V142</x:f>
        <x:v>1</x:v>
      </x:c>
      <x:c r="Y142" s="1" t="n">
        <x:v>0</x:v>
      </x:c>
      <x:c r="Z142" s="1" t="n">
        <x:v>0</x:v>
      </x:c>
      <x:c r="AA142" s="1" t="n">
        <x:v>0</x:v>
      </x:c>
      <x:c r="AB142" s="1" t="n">
        <x:v>0</x:v>
      </x:c>
      <x:c r="AC142" s="1" t="n">
        <x:v>0</x:v>
      </x:c>
      <x:c r="AD142" s="1" t="str">
        <x:f>IF('Raw properties'!Y142="","",'Raw properties'!Y142)</x:f>
      </x:c>
      <x:c r="AE142" s="1" t="str">
        <x:v>2026-08-25</x:v>
      </x:c>
      <x:c r="AF142" s="1" t="str">
        <x:v>Included in rent means</x:v>
      </x:c>
      <x:c r="AG142" s="5" t="str">
        <x:v>September 13 source description identifies a room in a five-bedroom house with shared kitchen/bathroom. Reclassified as room/per-bedroom; September 9 price retained.</x:v>
      </x:c>
      <x:c r="AH142" s="1" t="str">
        <x:v>$650</x:v>
      </x:c>
      <x:c r="AI142" s="8" t="n">
        <x:f>MIN(ABS(P142-1),ABS(P142-3),ABS(P142-5))*5280</x:f>
        <x:v>1198.9988294250074</x:v>
      </x:c>
      <x:c r="AJ142" s="8" t="n">
        <x:f>MIN(ABS(R142-1),ABS(R142-3),ABS(R142-5))*5280</x:f>
        <x:v>4353.109179553706</x:v>
      </x:c>
      <x:c r="AK142" s="8" t="n">
        <x:f>MIN(ABS(T142-1),ABS(T142-3),ABS(T142-5))*5280</x:f>
        <x:v>8259.030932621641</x:v>
      </x:c>
      <x:c r="AL142" s="1" t="n">
        <x:f>IF(MIN(AI142,AJ142,AK142)&lt;=100,1,0)</x:f>
        <x:v>0</x:v>
      </x:c>
    </x:row>
    <x:row r="143" ht="15" hidden="0" customHeight="1">
      <x:c r="A143" s="1" t="str">
        <x:f>IF('Raw properties'!A143="","",'Raw properties'!A143)</x:f>
        <x:v>ocp706k96x</x:v>
      </x:c>
      <x:c r="B143" s="1" t="str">
        <x:f>IF('Raw properties'!D143="","",'Raw properties'!D143)</x:f>
        <x:v>Six Forks townhome</x:v>
      </x:c>
      <x:c r="C143" s="1" t="str">
        <x:f>IF('Raw properties'!AG143="","",'Raw properties'!AG143)</x:f>
        <x:v>https://offcampus.dasa.ncsu.edu/housing/property/six-forks-townhome/ocp706k96x</x:v>
      </x:c>
      <x:c r="D143" s="1" t="str">
        <x:v>Per bedroom</x:v>
      </x:c>
      <x:c r="E143" s="1" t="str">
        <x:v>Per bedroom</x:v>
      </x:c>
      <x:c r="F143" s="7" t="n">
        <x:f>IF('Raw properties'!I143="","",'Raw properties'!I143)</x:f>
        <x:v>35.872656</x:v>
      </x:c>
      <x:c r="G143" s="7" t="n">
        <x:f>IF('Raw properties'!J143="","",'Raw properties'!J143)</x:f>
        <x:v>-78.646275</x:v>
      </x:c>
      <x:c r="H143" s="6" t="n">
        <x:f>IF('Raw properties'!M143="","",'Raw properties'!M143)</x:f>
        <x:v>900</x:v>
      </x:c>
      <x:c r="I143" s="6" t="n">
        <x:f>IF('Raw properties'!N143="","",'Raw properties'!N143)</x:f>
        <x:v>900</x:v>
      </x:c>
      <x:c r="J143" s="6" t="n">
        <x:f>IF((IF('Raw floorplans'!H511&gt;0,1,0))=0,"",MIN(IF('Raw floorplans'!H511&gt;0,'Raw floorplans'!H511,1E99)))</x:f>
        <x:v>900</x:v>
      </x:c>
      <x:c r="K143" s="6" t="n">
        <x:f>IF((IF('Raw floorplans'!I511&gt;0,1,0))=0,"",MAX(IF('Raw floorplans'!I511&gt;0,'Raw floorplans'!I511,0)))</x:f>
        <x:v>900</x:v>
      </x:c>
      <x:c r="L143" s="1" t="n">
        <x:v>0</x:v>
      </x:c>
      <x:c r="M143" s="1" t="n">
        <x:f>IF(AND(ISNUMBER(H143),ISNUMBER(I143),ISNUMBER(J143),ISNUMBER(K143),H143&gt;0,I143&gt;0),IF(OR(H143&lt;&gt;J143,I143&lt;&gt;K143),1,0),0)</x:f>
        <x:v>0</x:v>
      </x:c>
      <x:c r="N143" s="1" t="n">
        <x:f>IF(AND(ISNUMBER(H143),ISNUMBER(I143),H143&gt;0,I143&gt;=H143),1,0)</x:f>
        <x:v>1</x:v>
      </x:c>
      <x:c r="O143" s="1" t="n">
        <x:f>IF(AND(L143=0,M143=0,N143=1),1,0)</x:f>
        <x:v>1</x:v>
      </x:c>
      <x:c r="P143" s="7" t="n">
        <x:f>2*3958.7613*ASIN(SQRT(SIN(RADIANS(F143-35.77951)/2)^2+COS(RADIANS(35.77951))*COS(RADIANS(F143))*SIN(RADIANS(G143-(-78.68168))/2)^2))</x:f>
        <x:v>6.734474107328595</x:v>
      </x:c>
      <x:c r="Q143" s="1" t="str">
        <x:f>IF(P143&lt;=1,"0–1 mi",IF(P143&lt;=3,"&gt;1–3 mi",IF(P143&lt;=5,"&gt;3–5 mi","Outside 5 mi")))</x:f>
        <x:v>Outside 5 mi</x:v>
      </x:c>
      <x:c r="R143" s="7" t="n">
        <x:f>2*3958.7613*ASIN(SQRT(SIN(RADIANS(F143-35.7687)/2)^2+COS(RADIANS(35.7687))*COS(RADIANS(F143))*SIN(RADIANS(G143-(-78.6775))/2)^2))</x:f>
        <x:v>7.392639013087846</x:v>
      </x:c>
      <x:c r="S143" s="1" t="str">
        <x:f>IF(R143&lt;=1,"0–1 mi",IF(R143&lt;=3,"&gt;1–3 mi",IF(R143&lt;=5,"&gt;3–5 mi","Outside 5 mi")))</x:f>
        <x:v>Outside 5 mi</x:v>
      </x:c>
      <x:c r="T143" s="7" t="n">
        <x:f>2*3958.7613*ASIN(SQRT(SIN(RADIANS(F143-35.79847)/2)^2+COS(RADIANS(35.79847))*COS(RADIANS(F143))*SIN(RADIANS(G143-(-78.70408))/2)^2))</x:f>
        <x:v>6.062789084804506</x:v>
      </x:c>
      <x:c r="U143" s="1" t="str">
        <x:f>IF(T143&lt;=1,"0–1 mi",IF(T143&lt;=3,"&gt;1–3 mi",IF(T143&lt;=5,"&gt;3–5 mi","Outside 5 mi")))</x:f>
        <x:v>Outside 5 mi</x:v>
      </x:c>
      <x:c r="V143" s="1" t="n">
        <x:f>IF(MIN(P143,R143,T143)&lt;=5,1,0)</x:f>
        <x:v>0</x:v>
      </x:c>
      <x:c r="W143" s="6" t="n">
        <x:f>IF(O143=1,(H143+I143)/2,"")</x:f>
        <x:v>900</x:v>
      </x:c>
      <x:c r="X143" s="1" t="n">
        <x:f>O143*V143</x:f>
        <x:v>0</x:v>
      </x:c>
      <x:c r="Y143" s="1" t="n">
        <x:v>0</x:v>
      </x:c>
      <x:c r="Z143" s="1" t="n">
        <x:v>0</x:v>
      </x:c>
      <x:c r="AA143" s="1" t="n">
        <x:v>0</x:v>
      </x:c>
      <x:c r="AB143" s="1" t="n">
        <x:v>0</x:v>
      </x:c>
      <x:c r="AC143" s="1" t="n">
        <x:v>0</x:v>
      </x:c>
      <x:c r="AD143" s="1" t="str">
        <x:f>IF('Raw properties'!Y143="","",'Raw properties'!Y143)</x:f>
        <x:v>12 Month Lease</x:v>
      </x:c>
      <x:c r="AE143" s="1" t="str">
        <x:v>2026-08-25</x:v>
      </x:c>
      <x:c r="AF143" s="1" t="str">
        <x:v>Included in rent means</x:v>
      </x:c>
      <x:c r="AG143" s="5" t="str">
        <x:v>Source pricing flag retained; automated consistency checks passed. This is not independent landlord verification.</x:v>
      </x:c>
      <x:c r="AH143" s="1" t="str">
        <x:v>$900</x:v>
      </x:c>
      <x:c r="AI143" s="8" t="n">
        <x:f>MIN(ABS(P143-1),ABS(P143-3),ABS(P143-5))*5280</x:f>
        <x:v>9158.023286694985</x:v>
      </x:c>
      <x:c r="AJ143" s="8" t="n">
        <x:f>MIN(ABS(R143-1),ABS(R143-3),ABS(R143-5))*5280</x:f>
        <x:v>12633.133989103828</x:v>
      </x:c>
      <x:c r="AK143" s="8" t="n">
        <x:f>MIN(ABS(T143-1),ABS(T143-3),ABS(T143-5))*5280</x:f>
        <x:v>5611.526367767792</x:v>
      </x:c>
      <x:c r="AL143" s="1" t="n">
        <x:f>IF(MIN(AI143,AJ143,AK143)&lt;=100,1,0)</x:f>
        <x:v>0</x:v>
      </x:c>
    </x:row>
    <x:row r="144" ht="36" hidden="0" customHeight="1">
      <x:c r="A144" s="1" t="str">
        <x:f>IF('Raw properties'!A144="","",'Raw properties'!A144)</x:f>
        <x:v>k8k3t7b</x:v>
      </x:c>
      <x:c r="B144" s="1" t="str">
        <x:f>IF('Raw properties'!D144="","",'Raw properties'!D144)</x:f>
        <x:v>Room in House on Old Farm Rd</x:v>
      </x:c>
      <x:c r="C144" s="1" t="str">
        <x:f>IF('Raw properties'!AG144="","",'Raw properties'!AG144)</x:f>
        <x:v>https://offcampus.dasa.ncsu.edu/housing/property/room-in-house-on-old-farm-rd/k8k3t7b</x:v>
      </x:c>
      <x:c r="D144" s="1" t="str">
        <x:v>Whole unit</x:v>
      </x:c>
      <x:c r="E144" s="1" t="str">
        <x:v>Per bedroom</x:v>
      </x:c>
      <x:c r="F144" s="7" t="n">
        <x:f>IF('Raw properties'!I144="","",'Raw properties'!I144)</x:f>
        <x:v>35.774776</x:v>
      </x:c>
      <x:c r="G144" s="7" t="n">
        <x:f>IF('Raw properties'!J144="","",'Raw properties'!J144)</x:f>
        <x:v>-78.735782</x:v>
      </x:c>
      <x:c r="H144" s="6" t="n">
        <x:f>IF('Raw properties'!M144="","",'Raw properties'!M144)</x:f>
        <x:v>650</x:v>
      </x:c>
      <x:c r="I144" s="6" t="n">
        <x:f>IF('Raw properties'!N144="","",'Raw properties'!N144)</x:f>
        <x:v>650</x:v>
      </x:c>
      <x:c r="J144" s="6" t="n">
        <x:f>IF((IF('Raw floorplans'!H512&gt;0,1,0))=0,"",MIN(IF('Raw floorplans'!H512&gt;0,'Raw floorplans'!H512,1E99)))</x:f>
        <x:v>630</x:v>
      </x:c>
      <x:c r="K144" s="6" t="n">
        <x:f>IF((IF('Raw floorplans'!I512&gt;0,1,0))=0,"",MAX(IF('Raw floorplans'!I512&gt;0,'Raw floorplans'!I512,0)))</x:f>
        <x:v>630</x:v>
      </x:c>
      <x:c r="L144" s="1" t="n">
        <x:v>0</x:v>
      </x:c>
      <x:c r="M144" s="1" t="n">
        <x:f>IF(AND(ISNUMBER(H144),ISNUMBER(I144),ISNUMBER(J144),ISNUMBER(K144),H144&gt;0,I144&gt;0),IF(OR(H144&lt;&gt;J144,I144&lt;&gt;K144),1,0),0)</x:f>
        <x:v>1</x:v>
      </x:c>
      <x:c r="N144" s="1" t="n">
        <x:f>IF(AND(ISNUMBER(H144),ISNUMBER(I144),H144&gt;0,I144&gt;=H144),1,0)</x:f>
        <x:v>1</x:v>
      </x:c>
      <x:c r="O144" s="1" t="n">
        <x:f>IF(AND(L144=0,M144=0,N144=1),1,0)</x:f>
        <x:v>0</x:v>
      </x:c>
      <x:c r="P144" s="7" t="n">
        <x:f>2*3958.7613*ASIN(SQRT(SIN(RADIANS(F144-35.77951)/2)^2+COS(RADIANS(35.77951))*COS(RADIANS(F144))*SIN(RADIANS(G144-(-78.68168))/2)^2))</x:f>
        <x:v>3.050291164298185</x:v>
      </x:c>
      <x:c r="Q144" s="1" t="str">
        <x:f>IF(P144&lt;=1,"0–1 mi",IF(P144&lt;=3,"&gt;1–3 mi",IF(P144&lt;=5,"&gt;3–5 mi","Outside 5 mi")))</x:f>
        <x:v>&gt;3–5 mi</x:v>
      </x:c>
      <x:c r="R144" s="7" t="n">
        <x:f>2*3958.7613*ASIN(SQRT(SIN(RADIANS(F144-35.7687)/2)^2+COS(RADIANS(35.7687))*COS(RADIANS(F144))*SIN(RADIANS(G144-(-78.6775))/2)^2))</x:f>
        <x:v>3.294097173497541</x:v>
      </x:c>
      <x:c r="S144" s="1" t="str">
        <x:f>IF(R144&lt;=1,"0–1 mi",IF(R144&lt;=3,"&gt;1–3 mi",IF(R144&lt;=5,"&gt;3–5 mi","Outside 5 mi")))</x:f>
        <x:v>&gt;3–5 mi</x:v>
      </x:c>
      <x:c r="T144" s="7" t="n">
        <x:f>2*3958.7613*ASIN(SQRT(SIN(RADIANS(F144-35.79847)/2)^2+COS(RADIANS(35.79847))*COS(RADIANS(F144))*SIN(RADIANS(G144-(-78.70408))/2)^2))</x:f>
        <x:v>2.4160506805699034</x:v>
      </x:c>
      <x:c r="U144" s="1" t="str">
        <x:f>IF(T144&lt;=1,"0–1 mi",IF(T144&lt;=3,"&gt;1–3 mi",IF(T144&lt;=5,"&gt;3–5 mi","Outside 5 mi")))</x:f>
        <x:v>&gt;1–3 mi</x:v>
      </x:c>
      <x:c r="V144" s="1" t="n">
        <x:f>IF(MIN(P144,R144,T144)&lt;=5,1,0)</x:f>
        <x:v>1</x:v>
      </x:c>
      <x:c r="W144" s="6" t="str">
        <x:f>IF(O144=1,(H144+I144)/2,"")</x:f>
      </x:c>
      <x:c r="X144" s="1" t="n">
        <x:f>O144*V144</x:f>
        <x:v>0</x:v>
      </x:c>
      <x:c r="Y144" s="1" t="n">
        <x:v>0</x:v>
      </x:c>
      <x:c r="Z144" s="1" t="n">
        <x:v>0</x:v>
      </x:c>
      <x:c r="AA144" s="1" t="n">
        <x:v>0</x:v>
      </x:c>
      <x:c r="AB144" s="1" t="n">
        <x:v>0</x:v>
      </x:c>
      <x:c r="AC144" s="1" t="n">
        <x:v>0</x:v>
      </x:c>
      <x:c r="AD144" s="1" t="str">
        <x:f>IF('Raw properties'!Y144="","",'Raw properties'!Y144)</x:f>
      </x:c>
      <x:c r="AE144" s="1" t="str">
        <x:v>2026-09-09</x:v>
      </x:c>
      <x:c r="AF144" s="1" t="str">
        <x:v>Excluded from rent means</x:v>
      </x:c>
      <x:c r="AG144" s="5" t="str">
        <x:v>Saved September 9 title explicitly offers a room. Reclassified from whole unit to room/per-bedroom; snapshot price unchanged. Search summary: $650–$650; saved floor-plan envelope: $630–$630. Difference may reflect fees, timing or scope; unresolved snapshot price excluded.</x:v>
      </x:c>
      <x:c r="AH144" s="1" t="str">
        <x:v>$650</x:v>
      </x:c>
      <x:c r="AI144" s="8" t="n">
        <x:f>MIN(ABS(P144-1),ABS(P144-3),ABS(P144-5))*5280</x:f>
        <x:v>265.5373474944164</x:v>
      </x:c>
      <x:c r="AJ144" s="8" t="n">
        <x:f>MIN(ABS(R144-1),ABS(R144-3),ABS(R144-5))*5280</x:f>
        <x:v>1552.8330760670167</x:v>
      </x:c>
      <x:c r="AK144" s="8" t="n">
        <x:f>MIN(ABS(T144-1),ABS(T144-3),ABS(T144-5))*5280</x:f>
        <x:v>3083.25240659091</x:v>
      </x:c>
      <x:c r="AL144" s="1" t="n">
        <x:f>IF(MIN(AI144,AJ144,AK144)&lt;=100,1,0)</x:f>
        <x:v>0</x:v>
      </x:c>
    </x:row>
    <x:row r="145" ht="15" hidden="0" customHeight="1">
      <x:c r="A145" s="1" t="str">
        <x:f>IF('Raw properties'!A145="","",'Raw properties'!A145)</x:f>
        <x:v>ocpssgbbl7</x:v>
      </x:c>
      <x:c r="B145" s="1" t="str">
        <x:f>IF('Raw properties'!D145="","",'Raw properties'!D145)</x:f>
        <x:v>Inona Place</x:v>
      </x:c>
      <x:c r="C145" s="1" t="str">
        <x:f>IF('Raw properties'!AG145="","",'Raw properties'!AG145)</x:f>
        <x:v>https://offcampus.dasa.ncsu.edu/housing/property/inona-place/ocpssgbbl7</x:v>
      </x:c>
      <x:c r="D145" s="1" t="str">
        <x:v>Whole unit</x:v>
      </x:c>
      <x:c r="E145" s="1" t="str">
        <x:v>Whole unit</x:v>
      </x:c>
      <x:c r="F145" s="7" t="n">
        <x:f>IF('Raw properties'!I145="","",'Raw properties'!I145)</x:f>
        <x:v>35.786004</x:v>
      </x:c>
      <x:c r="G145" s="7" t="n">
        <x:f>IF('Raw properties'!J145="","",'Raw properties'!J145)</x:f>
        <x:v>-78.739121</x:v>
      </x:c>
      <x:c r="H145" s="6" t="n">
        <x:f>IF('Raw properties'!M145="","",'Raw properties'!M145)</x:f>
        <x:v>1800</x:v>
      </x:c>
      <x:c r="I145" s="6" t="n">
        <x:f>IF('Raw properties'!N145="","",'Raw properties'!N145)</x:f>
        <x:v>1800</x:v>
      </x:c>
      <x:c r="J145" s="6" t="n">
        <x:f>IF((IF('Raw floorplans'!H513&gt;0,1,0))=0,"",MIN(IF('Raw floorplans'!H513&gt;0,'Raw floorplans'!H513,1E99)))</x:f>
        <x:v>1800</x:v>
      </x:c>
      <x:c r="K145" s="6" t="n">
        <x:f>IF((IF('Raw floorplans'!I513&gt;0,1,0))=0,"",MAX(IF('Raw floorplans'!I513&gt;0,'Raw floorplans'!I513,0)))</x:f>
        <x:v>1800</x:v>
      </x:c>
      <x:c r="L145" s="1" t="n">
        <x:v>0</x:v>
      </x:c>
      <x:c r="M145" s="1" t="n">
        <x:f>IF(AND(ISNUMBER(H145),ISNUMBER(I145),ISNUMBER(J145),ISNUMBER(K145),H145&gt;0,I145&gt;0),IF(OR(H145&lt;&gt;J145,I145&lt;&gt;K145),1,0),0)</x:f>
        <x:v>0</x:v>
      </x:c>
      <x:c r="N145" s="1" t="n">
        <x:f>IF(AND(ISNUMBER(H145),ISNUMBER(I145),H145&gt;0,I145&gt;=H145),1,0)</x:f>
        <x:v>1</x:v>
      </x:c>
      <x:c r="O145" s="1" t="n">
        <x:f>IF(AND(L145=0,M145=0,N145=1),1,0)</x:f>
        <x:v>1</x:v>
      </x:c>
      <x:c r="P145" s="7" t="n">
        <x:f>2*3958.7613*ASIN(SQRT(SIN(RADIANS(F145-35.77951)/2)^2+COS(RADIANS(35.77951))*COS(RADIANS(F145))*SIN(RADIANS(G145-(-78.68168))/2)^2))</x:f>
        <x:v>3.250759336353169</x:v>
      </x:c>
      <x:c r="Q145" s="1" t="str">
        <x:f>IF(P145&lt;=1,"0–1 mi",IF(P145&lt;=3,"&gt;1–3 mi",IF(P145&lt;=5,"&gt;3–5 mi","Outside 5 mi")))</x:f>
        <x:v>&gt;3–5 mi</x:v>
      </x:c>
      <x:c r="R145" s="7" t="n">
        <x:f>2*3958.7613*ASIN(SQRT(SIN(RADIANS(F145-35.7687)/2)^2+COS(RADIANS(35.7687))*COS(RADIANS(F145))*SIN(RADIANS(G145-(-78.6775))/2)^2))</x:f>
        <x:v>3.655237205822704</x:v>
      </x:c>
      <x:c r="S145" s="1" t="str">
        <x:f>IF(R145&lt;=1,"0–1 mi",IF(R145&lt;=3,"&gt;1–3 mi",IF(R145&lt;=5,"&gt;3–5 mi","Outside 5 mi")))</x:f>
        <x:v>&gt;3–5 mi</x:v>
      </x:c>
      <x:c r="T145" s="7" t="n">
        <x:f>2*3958.7613*ASIN(SQRT(SIN(RADIANS(F145-35.79847)/2)^2+COS(RADIANS(35.79847))*COS(RADIANS(F145))*SIN(RADIANS(G145-(-78.70408))/2)^2))</x:f>
        <x:v>2.144438775740283</x:v>
      </x:c>
      <x:c r="U145" s="1" t="str">
        <x:f>IF(T145&lt;=1,"0–1 mi",IF(T145&lt;=3,"&gt;1–3 mi",IF(T145&lt;=5,"&gt;3–5 mi","Outside 5 mi")))</x:f>
        <x:v>&gt;1–3 mi</x:v>
      </x:c>
      <x:c r="V145" s="1" t="n">
        <x:f>IF(MIN(P145,R145,T145)&lt;=5,1,0)</x:f>
        <x:v>1</x:v>
      </x:c>
      <x:c r="W145" s="6" t="n">
        <x:f>IF(O145=1,(H145+I145)/2,"")</x:f>
        <x:v>1800</x:v>
      </x:c>
      <x:c r="X145" s="1" t="n">
        <x:f>O145*V145</x:f>
        <x:v>1</x:v>
      </x:c>
      <x:c r="Y145" s="1" t="n">
        <x:v>0</x:v>
      </x:c>
      <x:c r="Z145" s="1" t="n">
        <x:v>0</x:v>
      </x:c>
      <x:c r="AA145" s="1" t="n">
        <x:v>0</x:v>
      </x:c>
      <x:c r="AB145" s="1" t="n">
        <x:v>0</x:v>
      </x:c>
      <x:c r="AC145" s="1" t="n">
        <x:v>0</x:v>
      </x:c>
      <x:c r="AD145" s="1" t="str">
        <x:f>IF('Raw properties'!Y145="","",'Raw properties'!Y145)</x:f>
        <x:v>10 Month Lease</x:v>
      </x:c>
      <x:c r="AE145" s="1" t="str">
        <x:v>1970-01-01</x:v>
      </x:c>
      <x:c r="AF145" s="1" t="str">
        <x:v>Included in rent means</x:v>
      </x:c>
      <x:c r="AG145" s="5" t="str">
        <x:v>Source pricing flag retained; automated consistency checks passed. This is not independent landlord verification.</x:v>
      </x:c>
      <x:c r="AH145" s="1" t="str">
        <x:v>$1,800</x:v>
      </x:c>
      <x:c r="AI145" s="8" t="n">
        <x:f>MIN(ABS(P145-1),ABS(P145-3),ABS(P145-5))*5280</x:f>
        <x:v>1324.0092959447313</x:v>
      </x:c>
      <x:c r="AJ145" s="8" t="n">
        <x:f>MIN(ABS(R145-1),ABS(R145-3),ABS(R145-5))*5280</x:f>
        <x:v>3459.652446743876</x:v>
      </x:c>
      <x:c r="AK145" s="8" t="n">
        <x:f>MIN(ABS(T145-1),ABS(T145-3),ABS(T145-5))*5280</x:f>
        <x:v>4517.363264091305</x:v>
      </x:c>
      <x:c r="AL145" s="1" t="n">
        <x:f>IF(MIN(AI145,AJ145,AK145)&lt;=100,1,0)</x:f>
        <x:v>0</x:v>
      </x:c>
    </x:row>
    <x:row r="146" ht="15" hidden="0" customHeight="1">
      <x:c r="A146" s="1" t="str">
        <x:f>IF('Raw properties'!A146="","",'Raw properties'!A146)</x:f>
        <x:v>3zb9brd</x:v>
      </x:c>
      <x:c r="B146" s="1" t="str">
        <x:f>IF('Raw properties'!D146="","",'Raw properties'!D146)</x:f>
        <x:v>Room in House on Slippery Elm Dr</x:v>
      </x:c>
      <x:c r="C146" s="1" t="str">
        <x:f>IF('Raw properties'!AG146="","",'Raw properties'!AG146)</x:f>
        <x:v>https://offcampus.dasa.ncsu.edu/housing/property/room-in-house-on-slippery-elm-dr/3zb9brd</x:v>
      </x:c>
      <x:c r="D146" s="1" t="str">
        <x:v>Whole unit</x:v>
      </x:c>
      <x:c r="E146" s="1" t="str">
        <x:v>Per bedroom</x:v>
      </x:c>
      <x:c r="F146" s="7" t="n">
        <x:f>IF('Raw properties'!I146="","",'Raw properties'!I146)</x:f>
        <x:v>35.739297</x:v>
      </x:c>
      <x:c r="G146" s="7" t="n">
        <x:f>IF('Raw properties'!J146="","",'Raw properties'!J146)</x:f>
        <x:v>-78.598298</x:v>
      </x:c>
      <x:c r="H146" s="6" t="n">
        <x:f>IF('Raw properties'!M146="","",'Raw properties'!M146)</x:f>
        <x:v>720</x:v>
      </x:c>
      <x:c r="I146" s="6" t="n">
        <x:f>IF('Raw properties'!N146="","",'Raw properties'!N146)</x:f>
        <x:v>720</x:v>
      </x:c>
      <x:c r="J146" s="6" t="n">
        <x:f>IF((IF('Raw floorplans'!H514&gt;0,1,0))=0,"",MIN(IF('Raw floorplans'!H514&gt;0,'Raw floorplans'!H514,1E99)))</x:f>
        <x:v>720</x:v>
      </x:c>
      <x:c r="K146" s="6" t="n">
        <x:f>IF((IF('Raw floorplans'!I514&gt;0,1,0))=0,"",MAX(IF('Raw floorplans'!I514&gt;0,'Raw floorplans'!I514,0)))</x:f>
        <x:v>720</x:v>
      </x:c>
      <x:c r="L146" s="1" t="n">
        <x:v>0</x:v>
      </x:c>
      <x:c r="M146" s="1" t="n">
        <x:f>IF(AND(ISNUMBER(H146),ISNUMBER(I146),ISNUMBER(J146),ISNUMBER(K146),H146&gt;0,I146&gt;0),IF(OR(H146&lt;&gt;J146,I146&lt;&gt;K146),1,0),0)</x:f>
        <x:v>0</x:v>
      </x:c>
      <x:c r="N146" s="1" t="n">
        <x:f>IF(AND(ISNUMBER(H146),ISNUMBER(I146),H146&gt;0,I146&gt;=H146),1,0)</x:f>
        <x:v>1</x:v>
      </x:c>
      <x:c r="O146" s="1" t="n">
        <x:f>IF(AND(L146=0,M146=0,N146=1),1,0)</x:f>
        <x:v>1</x:v>
      </x:c>
      <x:c r="P146" s="7" t="n">
        <x:f>2*3958.7613*ASIN(SQRT(SIN(RADIANS(F146-35.77951)/2)^2+COS(RADIANS(35.77951))*COS(RADIANS(F146))*SIN(RADIANS(G146-(-78.68168))/2)^2))</x:f>
        <x:v>5.438367945126099</x:v>
      </x:c>
      <x:c r="Q146" s="1" t="str">
        <x:f>IF(P146&lt;=1,"0–1 mi",IF(P146&lt;=3,"&gt;1–3 mi",IF(P146&lt;=5,"&gt;3–5 mi","Outside 5 mi")))</x:f>
        <x:v>Outside 5 mi</x:v>
      </x:c>
      <x:c r="R146" s="7" t="n">
        <x:f>2*3958.7613*ASIN(SQRT(SIN(RADIANS(F146-35.7687)/2)^2+COS(RADIANS(35.7687))*COS(RADIANS(F146))*SIN(RADIANS(G146-(-78.6775))/2)^2))</x:f>
        <x:v>4.883599101587053</x:v>
      </x:c>
      <x:c r="S146" s="1" t="str">
        <x:f>IF(R146&lt;=1,"0–1 mi",IF(R146&lt;=3,"&gt;1–3 mi",IF(R146&lt;=5,"&gt;3–5 mi","Outside 5 mi")))</x:f>
        <x:v>&gt;3–5 mi</x:v>
      </x:c>
      <x:c r="T146" s="7" t="n">
        <x:f>2*3958.7613*ASIN(SQRT(SIN(RADIANS(F146-35.79847)/2)^2+COS(RADIANS(35.79847))*COS(RADIANS(F146))*SIN(RADIANS(G146-(-78.70408))/2)^2))</x:f>
        <x:v>7.203018714807277</x:v>
      </x:c>
      <x:c r="U146" s="1" t="str">
        <x:f>IF(T146&lt;=1,"0–1 mi",IF(T146&lt;=3,"&gt;1–3 mi",IF(T146&lt;=5,"&gt;3–5 mi","Outside 5 mi")))</x:f>
        <x:v>Outside 5 mi</x:v>
      </x:c>
      <x:c r="V146" s="1" t="n">
        <x:f>IF(MIN(P146,R146,T146)&lt;=5,1,0)</x:f>
        <x:v>1</x:v>
      </x:c>
      <x:c r="W146" s="6" t="n">
        <x:f>IF(O146=1,(H146+I146)/2,"")</x:f>
        <x:v>720</x:v>
      </x:c>
      <x:c r="X146" s="1" t="n">
        <x:f>O146*V146</x:f>
        <x:v>1</x:v>
      </x:c>
      <x:c r="Y146" s="1" t="n">
        <x:v>0</x:v>
      </x:c>
      <x:c r="Z146" s="1" t="n">
        <x:v>0</x:v>
      </x:c>
      <x:c r="AA146" s="1" t="n">
        <x:v>0</x:v>
      </x:c>
      <x:c r="AB146" s="1" t="n">
        <x:v>0</x:v>
      </x:c>
      <x:c r="AC146" s="1" t="n">
        <x:v>0</x:v>
      </x:c>
      <x:c r="AD146" s="1" t="str">
        <x:f>IF('Raw properties'!Y146="","",'Raw properties'!Y146)</x:f>
      </x:c>
      <x:c r="AE146" s="1" t="str">
        <x:v>2026-09-09</x:v>
      </x:c>
      <x:c r="AF146" s="1" t="str">
        <x:v>Included in rent means</x:v>
      </x:c>
      <x:c r="AG146" s="5" t="str">
        <x:v>Saved September 9 title explicitly offers a room. Reclassified from whole unit to room/per-bedroom; snapshot price unchanged.</x:v>
      </x:c>
      <x:c r="AH146" s="1" t="str">
        <x:v>$720</x:v>
      </x:c>
      <x:c r="AI146" s="8" t="n">
        <x:f>MIN(ABS(P146-1),ABS(P146-3),ABS(P146-5))*5280</x:f>
        <x:v>2314.5827502658008</x:v>
      </x:c>
      <x:c r="AJ146" s="8" t="n">
        <x:f>MIN(ABS(R146-1),ABS(R146-3),ABS(R146-5))*5280</x:f>
        <x:v>614.5967436203613</x:v>
      </x:c>
      <x:c r="AK146" s="8" t="n">
        <x:f>MIN(ABS(T146-1),ABS(T146-3),ABS(T146-5))*5280</x:f>
        <x:v>11631.93881418242</x:v>
      </x:c>
      <x:c r="AL146" s="1" t="n">
        <x:f>IF(MIN(AI146,AJ146,AK146)&lt;=100,1,0)</x:f>
        <x:v>0</x:v>
      </x:c>
    </x:row>
    <x:row r="147" ht="15" hidden="0" customHeight="1">
      <x:c r="A147" s="1" t="str">
        <x:f>IF('Raw properties'!A147="","",'Raw properties'!A147)</x:f>
        <x:v>ocpd9wnxdk</x:v>
      </x:c>
      <x:c r="B147" s="1" t="str">
        <x:f>IF('Raw properties'!D147="","",'Raw properties'!D147)</x:f>
        <x:v>$3600 saving on 2*2 Sublet at Stanhope Apartment for NC STATE</x:v>
      </x:c>
      <x:c r="C147" s="1" t="str">
        <x:f>IF('Raw properties'!AG147="","",'Raw properties'!AG147)</x:f>
        <x:v>https://offcampus.dasa.ncsu.edu/housing/property/3600-saving-on-2-2-sublet-at-stanhope-apartment-for-nc-state/ocpd9wnxdk</x:v>
      </x:c>
      <x:c r="D147" s="1" t="str">
        <x:v>Per bedroom</x:v>
      </x:c>
      <x:c r="E147" s="1" t="str">
        <x:v>Per bedroom</x:v>
      </x:c>
      <x:c r="F147" s="7" t="n">
        <x:f>IF('Raw properties'!I147="","",'Raw properties'!I147)</x:f>
        <x:v>35.78914</x:v>
      </x:c>
      <x:c r="G147" s="7" t="n">
        <x:f>IF('Raw properties'!J147="","",'Raw properties'!J147)</x:f>
        <x:v>-78.677661</x:v>
      </x:c>
      <x:c r="H147" s="6" t="n">
        <x:f>IF('Raw properties'!M147="","",'Raw properties'!M147)</x:f>
        <x:v>550</x:v>
      </x:c>
      <x:c r="I147" s="6" t="n">
        <x:f>IF('Raw properties'!N147="","",'Raw properties'!N147)</x:f>
        <x:v>550</x:v>
      </x:c>
      <x:c r="J147" s="6" t="n">
        <x:f>IF((IF('Raw floorplans'!H515&gt;0,1,0))=0,"",MIN(IF('Raw floorplans'!H515&gt;0,'Raw floorplans'!H515,1E99)))</x:f>
        <x:v>550</x:v>
      </x:c>
      <x:c r="K147" s="6" t="n">
        <x:f>IF((IF('Raw floorplans'!I515&gt;0,1,0))=0,"",MAX(IF('Raw floorplans'!I515&gt;0,'Raw floorplans'!I515,0)))</x:f>
        <x:v>550</x:v>
      </x:c>
      <x:c r="L147" s="1" t="n">
        <x:v>0</x:v>
      </x:c>
      <x:c r="M147" s="1" t="n">
        <x:f>IF(AND(ISNUMBER(H147),ISNUMBER(I147),ISNUMBER(J147),ISNUMBER(K147),H147&gt;0,I147&gt;0),IF(OR(H147&lt;&gt;J147,I147&lt;&gt;K147),1,0),0)</x:f>
        <x:v>0</x:v>
      </x:c>
      <x:c r="N147" s="1" t="n">
        <x:f>IF(AND(ISNUMBER(H147),ISNUMBER(I147),H147&gt;0,I147&gt;=H147),1,0)</x:f>
        <x:v>1</x:v>
      </x:c>
      <x:c r="O147" s="1" t="n">
        <x:f>IF(AND(L147=0,M147=0,N147=1),1,0)</x:f>
        <x:v>1</x:v>
      </x:c>
      <x:c r="P147" s="7" t="n">
        <x:f>2*3958.7613*ASIN(SQRT(SIN(RADIANS(F147-35.77951)/2)^2+COS(RADIANS(35.77951))*COS(RADIANS(F147))*SIN(RADIANS(G147-(-78.68168))/2)^2))</x:f>
        <x:v>0.7024681108581472</x:v>
      </x:c>
      <x:c r="Q147" s="1" t="str">
        <x:f>IF(P147&lt;=1,"0–1 mi",IF(P147&lt;=3,"&gt;1–3 mi",IF(P147&lt;=5,"&gt;3–5 mi","Outside 5 mi")))</x:f>
        <x:v>0–1 mi</x:v>
      </x:c>
      <x:c r="R147" s="7" t="n">
        <x:f>2*3958.7613*ASIN(SQRT(SIN(RADIANS(F147-35.7687)/2)^2+COS(RADIANS(35.7687))*COS(RADIANS(F147))*SIN(RADIANS(G147-(-78.6775))/2)^2))</x:f>
        <x:v>1.4122983186389695</x:v>
      </x:c>
      <x:c r="S147" s="1" t="str">
        <x:f>IF(R147&lt;=1,"0–1 mi",IF(R147&lt;=3,"&gt;1–3 mi",IF(R147&lt;=5,"&gt;3–5 mi","Outside 5 mi")))</x:f>
        <x:v>&gt;1–3 mi</x:v>
      </x:c>
      <x:c r="T147" s="7" t="n">
        <x:f>2*3958.7613*ASIN(SQRT(SIN(RADIANS(F147-35.79847)/2)^2+COS(RADIANS(35.79847))*COS(RADIANS(F147))*SIN(RADIANS(G147-(-78.70408))/2)^2))</x:f>
        <x:v>1.6148627099774056</x:v>
      </x:c>
      <x:c r="U147" s="1" t="str">
        <x:f>IF(T147&lt;=1,"0–1 mi",IF(T147&lt;=3,"&gt;1–3 mi",IF(T147&lt;=5,"&gt;3–5 mi","Outside 5 mi")))</x:f>
        <x:v>&gt;1–3 mi</x:v>
      </x:c>
      <x:c r="V147" s="1" t="n">
        <x:f>IF(MIN(P147,R147,T147)&lt;=5,1,0)</x:f>
        <x:v>1</x:v>
      </x:c>
      <x:c r="W147" s="6" t="n">
        <x:f>IF(O147=1,(H147+I147)/2,"")</x:f>
        <x:v>550</x:v>
      </x:c>
      <x:c r="X147" s="1" t="n">
        <x:f>O147*V147</x:f>
        <x:v>1</x:v>
      </x:c>
      <x:c r="Y147" s="1" t="n">
        <x:v>0</x:v>
      </x:c>
      <x:c r="Z147" s="1" t="n">
        <x:v>0</x:v>
      </x:c>
      <x:c r="AA147" s="1" t="n">
        <x:v>0</x:v>
      </x:c>
      <x:c r="AB147" s="1" t="n">
        <x:v>0</x:v>
      </x:c>
      <x:c r="AC147" s="1" t="n">
        <x:v>0</x:v>
      </x:c>
      <x:c r="AD147" s="1" t="str">
        <x:f>IF('Raw properties'!Y147="","",'Raw properties'!Y147)</x:f>
        <x:v>12 Month Lease</x:v>
      </x:c>
      <x:c r="AE147" s="1" t="str">
        <x:v>1970-01-01</x:v>
      </x:c>
      <x:c r="AF147" s="1" t="str">
        <x:v>Included in rent means</x:v>
      </x:c>
      <x:c r="AG147" s="5" t="str">
        <x:v>Source pricing flag retained; automated consistency checks passed. This is not independent landlord verification.</x:v>
      </x:c>
      <x:c r="AH147" s="1" t="str">
        <x:v>$550</x:v>
      </x:c>
      <x:c r="AI147" s="8" t="n">
        <x:f>MIN(ABS(P147-1),ABS(P147-3),ABS(P147-5))*5280</x:f>
        <x:v>1570.9683746689827</x:v>
      </x:c>
      <x:c r="AJ147" s="8" t="n">
        <x:f>MIN(ABS(R147-1),ABS(R147-3),ABS(R147-5))*5280</x:f>
        <x:v>2176.935122413759</x:v>
      </x:c>
      <x:c r="AK147" s="8" t="n">
        <x:f>MIN(ABS(T147-1),ABS(T147-3),ABS(T147-5))*5280</x:f>
        <x:v>3246.4751086807014</x:v>
      </x:c>
      <x:c r="AL147" s="1" t="n">
        <x:f>IF(MIN(AI147,AJ147,AK147)&lt;=100,1,0)</x:f>
        <x:v>0</x:v>
      </x:c>
    </x:row>
    <x:row r="148" ht="36" hidden="0" customHeight="1">
      <x:c r="A148" s="1" t="str">
        <x:f>IF('Raw properties'!A148="","",'Raw properties'!A148)</x:f>
        <x:v>0nhgh82</x:v>
      </x:c>
      <x:c r="B148" s="1" t="str">
        <x:f>IF('Raw properties'!D148="","",'Raw properties'!D148)</x:f>
        <x:v>Room in Condo on Carlton Ave</x:v>
      </x:c>
      <x:c r="C148" s="1" t="str">
        <x:f>IF('Raw properties'!AG148="","",'Raw properties'!AG148)</x:f>
        <x:v>https://offcampus.dasa.ncsu.edu/housing/property/room-in-condo-on-carlton-ave/0nhgh82</x:v>
      </x:c>
      <x:c r="D148" s="1" t="str">
        <x:v>Whole unit</x:v>
      </x:c>
      <x:c r="E148" s="1" t="str">
        <x:v>Per bedroom</x:v>
      </x:c>
      <x:c r="F148" s="7" t="n">
        <x:f>IF('Raw properties'!I148="","",'Raw properties'!I148)</x:f>
        <x:v>35.783494</x:v>
      </x:c>
      <x:c r="G148" s="7" t="n">
        <x:f>IF('Raw properties'!J148="","",'Raw properties'!J148)</x:f>
        <x:v>-78.688449</x:v>
      </x:c>
      <x:c r="H148" s="6" t="n">
        <x:f>IF('Raw properties'!M148="","",'Raw properties'!M148)</x:f>
        <x:v>635</x:v>
      </x:c>
      <x:c r="I148" s="6" t="n">
        <x:f>IF('Raw properties'!N148="","",'Raw properties'!N148)</x:f>
        <x:v>635</x:v>
      </x:c>
      <x:c r="J148" s="6" t="n">
        <x:f>IF((IF('Raw floorplans'!H516&gt;0,1,0))=0,"",MIN(IF('Raw floorplans'!H516&gt;0,'Raw floorplans'!H516,1E99)))</x:f>
        <x:v>600</x:v>
      </x:c>
      <x:c r="K148" s="6" t="n">
        <x:f>IF((IF('Raw floorplans'!I516&gt;0,1,0))=0,"",MAX(IF('Raw floorplans'!I516&gt;0,'Raw floorplans'!I516,0)))</x:f>
        <x:v>600</x:v>
      </x:c>
      <x:c r="L148" s="1" t="n">
        <x:v>0</x:v>
      </x:c>
      <x:c r="M148" s="1" t="n">
        <x:f>IF(AND(ISNUMBER(H148),ISNUMBER(I148),ISNUMBER(J148),ISNUMBER(K148),H148&gt;0,I148&gt;0),IF(OR(H148&lt;&gt;J148,I148&lt;&gt;K148),1,0),0)</x:f>
        <x:v>1</x:v>
      </x:c>
      <x:c r="N148" s="1" t="n">
        <x:f>IF(AND(ISNUMBER(H148),ISNUMBER(I148),H148&gt;0,I148&gt;=H148),1,0)</x:f>
        <x:v>1</x:v>
      </x:c>
      <x:c r="O148" s="1" t="n">
        <x:f>IF(AND(L148=0,M148=0,N148=1),1,0)</x:f>
        <x:v>0</x:v>
      </x:c>
      <x:c r="P148" s="7" t="n">
        <x:f>2*3958.7613*ASIN(SQRT(SIN(RADIANS(F148-35.77951)/2)^2+COS(RADIANS(35.77951))*COS(RADIANS(F148))*SIN(RADIANS(G148-(-78.68168))/2)^2))</x:f>
        <x:v>0.4687538615834656</x:v>
      </x:c>
      <x:c r="Q148" s="1" t="str">
        <x:f>IF(P148&lt;=1,"0–1 mi",IF(P148&lt;=3,"&gt;1–3 mi",IF(P148&lt;=5,"&gt;3–5 mi","Outside 5 mi")))</x:f>
        <x:v>0–1 mi</x:v>
      </x:c>
      <x:c r="R148" s="7" t="n">
        <x:f>2*3958.7613*ASIN(SQRT(SIN(RADIANS(F148-35.7687)/2)^2+COS(RADIANS(35.7687))*COS(RADIANS(F148))*SIN(RADIANS(G148-(-78.6775))/2)^2))</x:f>
        <x:v>1.1922775325304023</x:v>
      </x:c>
      <x:c r="S148" s="1" t="str">
        <x:f>IF(R148&lt;=1,"0–1 mi",IF(R148&lt;=3,"&gt;1–3 mi",IF(R148&lt;=5,"&gt;3–5 mi","Outside 5 mi")))</x:f>
        <x:v>&gt;1–3 mi</x:v>
      </x:c>
      <x:c r="T148" s="7" t="n">
        <x:f>2*3958.7613*ASIN(SQRT(SIN(RADIANS(F148-35.79847)/2)^2+COS(RADIANS(35.79847))*COS(RADIANS(F148))*SIN(RADIANS(G148-(-78.70408))/2)^2))</x:f>
        <x:v>1.3557849269646474</x:v>
      </x:c>
      <x:c r="U148" s="1" t="str">
        <x:f>IF(T148&lt;=1,"0–1 mi",IF(T148&lt;=3,"&gt;1–3 mi",IF(T148&lt;=5,"&gt;3–5 mi","Outside 5 mi")))</x:f>
        <x:v>&gt;1–3 mi</x:v>
      </x:c>
      <x:c r="V148" s="1" t="n">
        <x:f>IF(MIN(P148,R148,T148)&lt;=5,1,0)</x:f>
        <x:v>1</x:v>
      </x:c>
      <x:c r="W148" s="6" t="str">
        <x:f>IF(O148=1,(H148+I148)/2,"")</x:f>
      </x:c>
      <x:c r="X148" s="1" t="n">
        <x:f>O148*V148</x:f>
        <x:v>0</x:v>
      </x:c>
      <x:c r="Y148" s="1" t="n">
        <x:v>0</x:v>
      </x:c>
      <x:c r="Z148" s="1" t="n">
        <x:v>0</x:v>
      </x:c>
      <x:c r="AA148" s="1" t="n">
        <x:v>0</x:v>
      </x:c>
      <x:c r="AB148" s="1" t="n">
        <x:v>0</x:v>
      </x:c>
      <x:c r="AC148" s="1" t="n">
        <x:v>0</x:v>
      </x:c>
      <x:c r="AD148" s="1" t="str">
        <x:f>IF('Raw properties'!Y148="","",'Raw properties'!Y148)</x:f>
      </x:c>
      <x:c r="AE148" s="1" t="str">
        <x:v>2026-09-09</x:v>
      </x:c>
      <x:c r="AF148" s="1" t="str">
        <x:v>Excluded from rent means</x:v>
      </x:c>
      <x:c r="AG148" s="5" t="str">
        <x:v>Saved September 9 title explicitly offers a room. Reclassified from whole unit to room/per-bedroom; snapshot price unchanged. Search summary: $635–$635; saved floor-plan envelope: $600–$600. Difference may reflect fees, timing or scope; unresolved snapshot price excluded.</x:v>
      </x:c>
      <x:c r="AH148" s="1" t="str">
        <x:v>$635</x:v>
      </x:c>
      <x:c r="AI148" s="8" t="n">
        <x:f>MIN(ABS(P148-1),ABS(P148-3),ABS(P148-5))*5280</x:f>
        <x:v>2804.979610839301</x:v>
      </x:c>
      <x:c r="AJ148" s="8" t="n">
        <x:f>MIN(ABS(R148-1),ABS(R148-3),ABS(R148-5))*5280</x:f>
        <x:v>1015.2253717605239</x:v>
      </x:c>
      <x:c r="AK148" s="8" t="n">
        <x:f>MIN(ABS(T148-1),ABS(T148-3),ABS(T148-5))*5280</x:f>
        <x:v>1878.544414373338</x:v>
      </x:c>
      <x:c r="AL148" s="1" t="n">
        <x:f>IF(MIN(AI148,AJ148,AK148)&lt;=100,1,0)</x:f>
        <x:v>0</x:v>
      </x:c>
    </x:row>
    <x:row r="149" ht="15" hidden="0" customHeight="1">
      <x:c r="A149" s="1" t="str">
        <x:f>IF('Raw properties'!A149="","",'Raw properties'!A149)</x:f>
        <x:v>ocp67ldb5s</x:v>
      </x:c>
      <x:c r="B149" s="1" t="str">
        <x:f>IF('Raw properties'!D149="","",'Raw properties'!D149)</x:f>
        <x:v>The Wilde</x:v>
      </x:c>
      <x:c r="C149" s="1" t="str">
        <x:f>IF('Raw properties'!AG149="","",'Raw properties'!AG149)</x:f>
        <x:v>https://offcampus.dasa.ncsu.edu/housing/property/the-wilde/ocp67ldb5s</x:v>
      </x:c>
      <x:c r="D149" s="1" t="str">
        <x:v>Per bedroom</x:v>
      </x:c>
      <x:c r="E149" s="1" t="str">
        <x:v>Per bedroom</x:v>
      </x:c>
      <x:c r="F149" s="7" t="n">
        <x:f>IF('Raw properties'!I149="","",'Raw properties'!I149)</x:f>
        <x:v>35.751416</x:v>
      </x:c>
      <x:c r="G149" s="7" t="n">
        <x:f>IF('Raw properties'!J149="","",'Raw properties'!J149)</x:f>
        <x:v>-78.692771</x:v>
      </x:c>
      <x:c r="H149" s="6" t="n">
        <x:f>IF('Raw properties'!M149="","",'Raw properties'!M149)</x:f>
        <x:v>860</x:v>
      </x:c>
      <x:c r="I149" s="6" t="n">
        <x:f>IF('Raw properties'!N149="","",'Raw properties'!N149)</x:f>
        <x:v>860</x:v>
      </x:c>
      <x:c r="J149" s="6" t="n">
        <x:f>IF((IF('Raw floorplans'!H517&gt;0,1,0))=0,"",MIN(IF('Raw floorplans'!H517&gt;0,'Raw floorplans'!H517,1E99)))</x:f>
        <x:v>860</x:v>
      </x:c>
      <x:c r="K149" s="6" t="n">
        <x:f>IF((IF('Raw floorplans'!I517&gt;0,1,0))=0,"",MAX(IF('Raw floorplans'!I517&gt;0,'Raw floorplans'!I517,0)))</x:f>
        <x:v>860</x:v>
      </x:c>
      <x:c r="L149" s="1" t="n">
        <x:v>0</x:v>
      </x:c>
      <x:c r="M149" s="1" t="n">
        <x:f>IF(AND(ISNUMBER(H149),ISNUMBER(I149),ISNUMBER(J149),ISNUMBER(K149),H149&gt;0,I149&gt;0),IF(OR(H149&lt;&gt;J149,I149&lt;&gt;K149),1,0),0)</x:f>
        <x:v>0</x:v>
      </x:c>
      <x:c r="N149" s="1" t="n">
        <x:f>IF(AND(ISNUMBER(H149),ISNUMBER(I149),H149&gt;0,I149&gt;=H149),1,0)</x:f>
        <x:v>1</x:v>
      </x:c>
      <x:c r="O149" s="1" t="n">
        <x:f>IF(AND(L149=0,M149=0,N149=1),1,0)</x:f>
        <x:v>1</x:v>
      </x:c>
      <x:c r="P149" s="7" t="n">
        <x:f>2*3958.7613*ASIN(SQRT(SIN(RADIANS(F149-35.77951)/2)^2+COS(RADIANS(35.77951))*COS(RADIANS(F149))*SIN(RADIANS(G149-(-78.68168))/2)^2))</x:f>
        <x:v>2.0382703279545127</x:v>
      </x:c>
      <x:c r="Q149" s="1" t="str">
        <x:f>IF(P149&lt;=1,"0–1 mi",IF(P149&lt;=3,"&gt;1–3 mi",IF(P149&lt;=5,"&gt;3–5 mi","Outside 5 mi")))</x:f>
        <x:v>&gt;1–3 mi</x:v>
      </x:c>
      <x:c r="R149" s="7" t="n">
        <x:f>2*3958.7613*ASIN(SQRT(SIN(RADIANS(F149-35.7687)/2)^2+COS(RADIANS(35.7687))*COS(RADIANS(F149))*SIN(RADIANS(G149-(-78.6775))/2)^2))</x:f>
        <x:v>1.4694300931643205</x:v>
      </x:c>
      <x:c r="S149" s="1" t="str">
        <x:f>IF(R149&lt;=1,"0–1 mi",IF(R149&lt;=3,"&gt;1–3 mi",IF(R149&lt;=5,"&gt;3–5 mi","Outside 5 mi")))</x:f>
        <x:v>&gt;1–3 mi</x:v>
      </x:c>
      <x:c r="T149" s="7" t="n">
        <x:f>2*3958.7613*ASIN(SQRT(SIN(RADIANS(F149-35.79847)/2)^2+COS(RADIANS(35.79847))*COS(RADIANS(F149))*SIN(RADIANS(G149-(-78.70408))/2)^2))</x:f>
        <x:v>3.312352800066244</x:v>
      </x:c>
      <x:c r="U149" s="1" t="str">
        <x:f>IF(T149&lt;=1,"0–1 mi",IF(T149&lt;=3,"&gt;1–3 mi",IF(T149&lt;=5,"&gt;3–5 mi","Outside 5 mi")))</x:f>
        <x:v>&gt;3–5 mi</x:v>
      </x:c>
      <x:c r="V149" s="1" t="n">
        <x:f>IF(MIN(P149,R149,T149)&lt;=5,1,0)</x:f>
        <x:v>1</x:v>
      </x:c>
      <x:c r="W149" s="6" t="n">
        <x:f>IF(O149=1,(H149+I149)/2,"")</x:f>
        <x:v>860</x:v>
      </x:c>
      <x:c r="X149" s="1" t="n">
        <x:f>O149*V149</x:f>
        <x:v>1</x:v>
      </x:c>
      <x:c r="Y149" s="1" t="n">
        <x:v>1</x:v>
      </x:c>
      <x:c r="Z149" s="1" t="n">
        <x:v>0</x:v>
      </x:c>
      <x:c r="AA149" s="1" t="n">
        <x:v>0</x:v>
      </x:c>
      <x:c r="AB149" s="1" t="n">
        <x:v>0</x:v>
      </x:c>
      <x:c r="AC149" s="1" t="n">
        <x:v>1</x:v>
      </x:c>
      <x:c r="AD149" s="1" t="str">
        <x:f>IF('Raw properties'!Y149="","",'Raw properties'!Y149)</x:f>
        <x:v>12 Month Lease</x:v>
      </x:c>
      <x:c r="AE149" s="1" t="str">
        <x:v>2027-01-01</x:v>
      </x:c>
      <x:c r="AF149" s="1" t="str">
        <x:v>Included in rent means</x:v>
      </x:c>
      <x:c r="AG149" s="5" t="str">
        <x:v>Source pricing flag retained; automated consistency checks passed. This is not independent landlord verification.</x:v>
      </x:c>
      <x:c r="AH149" s="1" t="str">
        <x:v>$860</x:v>
      </x:c>
      <x:c r="AI149" s="8" t="n">
        <x:f>MIN(ABS(P149-1),ABS(P149-3),ABS(P149-5))*5280</x:f>
        <x:v>5077.932668400173</x:v>
      </x:c>
      <x:c r="AJ149" s="8" t="n">
        <x:f>MIN(ABS(R149-1),ABS(R149-3),ABS(R149-5))*5280</x:f>
        <x:v>2478.5908919076123</x:v>
      </x:c>
      <x:c r="AK149" s="8" t="n">
        <x:f>MIN(ABS(T149-1),ABS(T149-3),ABS(T149-5))*5280</x:f>
        <x:v>1649.222784349769</x:v>
      </x:c>
      <x:c r="AL149" s="1" t="n">
        <x:f>IF(MIN(AI149,AJ149,AK149)&lt;=100,1,0)</x:f>
        <x:v>0</x:v>
      </x:c>
    </x:row>
    <x:row r="150" ht="36" hidden="0" customHeight="1">
      <x:c r="A150" s="1" t="str">
        <x:f>IF('Raw properties'!A150="","",'Raw properties'!A150)</x:f>
        <x:v>w6v7z0h</x:v>
      </x:c>
      <x:c r="B150" s="1" t="str">
        <x:f>IF('Raw properties'!D150="","",'Raw properties'!D150)</x:f>
        <x:v>Room in Condo on University Ct</x:v>
      </x:c>
      <x:c r="C150" s="1" t="str">
        <x:f>IF('Raw properties'!AG150="","",'Raw properties'!AG150)</x:f>
        <x:v>https://offcampus.dasa.ncsu.edu/housing/property/room-in-condo-on-university-ct/w6v7z0h</x:v>
      </x:c>
      <x:c r="D150" s="1" t="str">
        <x:v>Whole unit</x:v>
      </x:c>
      <x:c r="E150" s="1" t="str">
        <x:v>Per bedroom</x:v>
      </x:c>
      <x:c r="F150" s="7" t="n">
        <x:f>IF('Raw properties'!I150="","",'Raw properties'!I150)</x:f>
        <x:v>35.763461</x:v>
      </x:c>
      <x:c r="G150" s="7" t="n">
        <x:f>IF('Raw properties'!J150="","",'Raw properties'!J150)</x:f>
        <x:v>-78.703185</x:v>
      </x:c>
      <x:c r="H150" s="6" t="n">
        <x:f>IF('Raw properties'!M150="","",'Raw properties'!M150)</x:f>
        <x:v>650</x:v>
      </x:c>
      <x:c r="I150" s="6" t="n">
        <x:f>IF('Raw properties'!N150="","",'Raw properties'!N150)</x:f>
        <x:v>650</x:v>
      </x:c>
      <x:c r="J150" s="6" t="n">
        <x:f>IF((IF('Raw floorplans'!H518&gt;0,1,0))=0,"",MIN(IF('Raw floorplans'!H518&gt;0,'Raw floorplans'!H518,1E99)))</x:f>
        <x:v>575</x:v>
      </x:c>
      <x:c r="K150" s="6" t="n">
        <x:f>IF((IF('Raw floorplans'!I518&gt;0,1,0))=0,"",MAX(IF('Raw floorplans'!I518&gt;0,'Raw floorplans'!I518,0)))</x:f>
        <x:v>575</x:v>
      </x:c>
      <x:c r="L150" s="1" t="n">
        <x:v>0</x:v>
      </x:c>
      <x:c r="M150" s="1" t="n">
        <x:f>IF(AND(ISNUMBER(H150),ISNUMBER(I150),ISNUMBER(J150),ISNUMBER(K150),H150&gt;0,I150&gt;0),IF(OR(H150&lt;&gt;J150,I150&lt;&gt;K150),1,0),0)</x:f>
        <x:v>1</x:v>
      </x:c>
      <x:c r="N150" s="1" t="n">
        <x:f>IF(AND(ISNUMBER(H150),ISNUMBER(I150),H150&gt;0,I150&gt;=H150),1,0)</x:f>
        <x:v>1</x:v>
      </x:c>
      <x:c r="O150" s="1" t="n">
        <x:f>IF(AND(L150=0,M150=0,N150=1),1,0)</x:f>
        <x:v>0</x:v>
      </x:c>
      <x:c r="P150" s="7" t="n">
        <x:f>2*3958.7613*ASIN(SQRT(SIN(RADIANS(F150-35.77951)/2)^2+COS(RADIANS(35.77951))*COS(RADIANS(F150))*SIN(RADIANS(G150-(-78.68168))/2)^2))</x:f>
        <x:v>1.6379798053143957</x:v>
      </x:c>
      <x:c r="Q150" s="1" t="str">
        <x:f>IF(P150&lt;=1,"0–1 mi",IF(P150&lt;=3,"&gt;1–3 mi",IF(P150&lt;=5,"&gt;3–5 mi","Outside 5 mi")))</x:f>
        <x:v>&gt;1–3 mi</x:v>
      </x:c>
      <x:c r="R150" s="7" t="n">
        <x:f>2*3958.7613*ASIN(SQRT(SIN(RADIANS(F150-35.7687)/2)^2+COS(RADIANS(35.7687))*COS(RADIANS(F150))*SIN(RADIANS(G150-(-78.6775))/2)^2))</x:f>
        <x:v>1.4847806277783153</x:v>
      </x:c>
      <x:c r="S150" s="1" t="str">
        <x:f>IF(R150&lt;=1,"0–1 mi",IF(R150&lt;=3,"&gt;1–3 mi",IF(R150&lt;=5,"&gt;3–5 mi","Outside 5 mi")))</x:f>
        <x:v>&gt;1–3 mi</x:v>
      </x:c>
      <x:c r="T150" s="7" t="n">
        <x:f>2*3958.7613*ASIN(SQRT(SIN(RADIANS(F150-35.79847)/2)^2+COS(RADIANS(35.79847))*COS(RADIANS(F150))*SIN(RADIANS(G150-(-78.70408))/2)^2))</x:f>
        <x:v>2.4194116742123666</x:v>
      </x:c>
      <x:c r="U150" s="1" t="str">
        <x:f>IF(T150&lt;=1,"0–1 mi",IF(T150&lt;=3,"&gt;1–3 mi",IF(T150&lt;=5,"&gt;3–5 mi","Outside 5 mi")))</x:f>
        <x:v>&gt;1–3 mi</x:v>
      </x:c>
      <x:c r="V150" s="1" t="n">
        <x:f>IF(MIN(P150,R150,T150)&lt;=5,1,0)</x:f>
        <x:v>1</x:v>
      </x:c>
      <x:c r="W150" s="6" t="str">
        <x:f>IF(O150=1,(H150+I150)/2,"")</x:f>
      </x:c>
      <x:c r="X150" s="1" t="n">
        <x:f>O150*V150</x:f>
        <x:v>0</x:v>
      </x:c>
      <x:c r="Y150" s="1" t="n">
        <x:v>0</x:v>
      </x:c>
      <x:c r="Z150" s="1" t="n">
        <x:v>0</x:v>
      </x:c>
      <x:c r="AA150" s="1" t="n">
        <x:v>0</x:v>
      </x:c>
      <x:c r="AB150" s="1" t="n">
        <x:v>0</x:v>
      </x:c>
      <x:c r="AC150" s="1" t="n">
        <x:v>0</x:v>
      </x:c>
      <x:c r="AD150" s="1" t="str">
        <x:f>IF('Raw properties'!Y150="","",'Raw properties'!Y150)</x:f>
      </x:c>
      <x:c r="AE150" s="1" t="str">
        <x:v>2026-09-09</x:v>
      </x:c>
      <x:c r="AF150" s="1" t="str">
        <x:v>Excluded from rent means</x:v>
      </x:c>
      <x:c r="AG150" s="5" t="str">
        <x:v>Saved September 9 title explicitly offers a room. Reclassified from whole unit to room/per-bedroom; snapshot price unchanged. Search summary: $650–$650; saved floor-plan envelope: $575–$575. Difference may reflect fees, timing or scope; unresolved snapshot price excluded.</x:v>
      </x:c>
      <x:c r="AH150" s="1" t="str">
        <x:v>$650</x:v>
      </x:c>
      <x:c r="AI150" s="8" t="n">
        <x:f>MIN(ABS(P150-1),ABS(P150-3),ABS(P150-5))*5280</x:f>
        <x:v>3368.5333720600092</x:v>
      </x:c>
      <x:c r="AJ150" s="8" t="n">
        <x:f>MIN(ABS(R150-1),ABS(R150-3),ABS(R150-5))*5280</x:f>
        <x:v>2559.641714669505</x:v>
      </x:c>
      <x:c r="AK150" s="8" t="n">
        <x:f>MIN(ABS(T150-1),ABS(T150-3),ABS(T150-5))*5280</x:f>
        <x:v>3065.5063601587044</x:v>
      </x:c>
      <x:c r="AL150" s="1" t="n">
        <x:f>IF(MIN(AI150,AJ150,AK150)&lt;=100,1,0)</x:f>
        <x:v>0</x:v>
      </x:c>
    </x:row>
    <x:row r="151" ht="15" hidden="0" customHeight="1">
      <x:c r="A151" s="1" t="str">
        <x:f>IF('Raw properties'!A151="","",'Raw properties'!A151)</x:f>
        <x:v>ocp0psn632</x:v>
      </x:c>
      <x:c r="B151" s="1" t="str">
        <x:f>IF('Raw properties'!D151="","",'Raw properties'!D151)</x:f>
        <x:v>An apartments with 3 bed and 3 bath for NC State Students www.ncstudentsliving.com</x:v>
      </x:c>
      <x:c r="C151" s="1" t="str">
        <x:f>IF('Raw properties'!AG151="","",'Raw properties'!AG151)</x:f>
        <x:v>https://offcampus.dasa.ncsu.edu/housing/property/an-apartments-with-3-bed-and-3-bath-for-nc-state-students-www-ncstudentsliving-com/ocp0psn632</x:v>
      </x:c>
      <x:c r="D151" s="1" t="str">
        <x:v>Per bedroom</x:v>
      </x:c>
      <x:c r="E151" s="1" t="str">
        <x:v>Per bedroom</x:v>
      </x:c>
      <x:c r="F151" s="7" t="n">
        <x:f>IF('Raw properties'!I151="","",'Raw properties'!I151)</x:f>
        <x:v>35.748959</x:v>
      </x:c>
      <x:c r="G151" s="7" t="n">
        <x:f>IF('Raw properties'!J151="","",'Raw properties'!J151)</x:f>
        <x:v>-78.69618</x:v>
      </x:c>
      <x:c r="H151" s="6" t="n">
        <x:f>IF('Raw properties'!M151="","",'Raw properties'!M151)</x:f>
        <x:v>650</x:v>
      </x:c>
      <x:c r="I151" s="6" t="n">
        <x:f>IF('Raw properties'!N151="","",'Raw properties'!N151)</x:f>
        <x:v>650</x:v>
      </x:c>
      <x:c r="J151" s="6" t="n">
        <x:f>IF((IF('Raw floorplans'!H519&gt;0,1,0))=0,"",MIN(IF('Raw floorplans'!H519&gt;0,'Raw floorplans'!H519,1E99)))</x:f>
        <x:v>650</x:v>
      </x:c>
      <x:c r="K151" s="6" t="n">
        <x:f>IF((IF('Raw floorplans'!I519&gt;0,1,0))=0,"",MAX(IF('Raw floorplans'!I519&gt;0,'Raw floorplans'!I519,0)))</x:f>
        <x:v>650</x:v>
      </x:c>
      <x:c r="L151" s="1" t="n">
        <x:v>0</x:v>
      </x:c>
      <x:c r="M151" s="1" t="n">
        <x:f>IF(AND(ISNUMBER(H151),ISNUMBER(I151),ISNUMBER(J151),ISNUMBER(K151),H151&gt;0,I151&gt;0),IF(OR(H151&lt;&gt;J151,I151&lt;&gt;K151),1,0),0)</x:f>
        <x:v>0</x:v>
      </x:c>
      <x:c r="N151" s="1" t="n">
        <x:f>IF(AND(ISNUMBER(H151),ISNUMBER(I151),H151&gt;0,I151&gt;=H151),1,0)</x:f>
        <x:v>1</x:v>
      </x:c>
      <x:c r="O151" s="1" t="n">
        <x:f>IF(AND(L151=0,M151=0,N151=1),1,0)</x:f>
        <x:v>1</x:v>
      </x:c>
      <x:c r="P151" s="7" t="n">
        <x:f>2*3958.7613*ASIN(SQRT(SIN(RADIANS(F151-35.77951)/2)^2+COS(RADIANS(35.77951))*COS(RADIANS(F151))*SIN(RADIANS(G151-(-78.68168))/2)^2))</x:f>
        <x:v>2.262000465006574</x:v>
      </x:c>
      <x:c r="Q151" s="1" t="str">
        <x:f>IF(P151&lt;=1,"0–1 mi",IF(P151&lt;=3,"&gt;1–3 mi",IF(P151&lt;=5,"&gt;3–5 mi","Outside 5 mi")))</x:f>
        <x:v>&gt;1–3 mi</x:v>
      </x:c>
      <x:c r="R151" s="7" t="n">
        <x:f>2*3958.7613*ASIN(SQRT(SIN(RADIANS(F151-35.7687)/2)^2+COS(RADIANS(35.7687))*COS(RADIANS(F151))*SIN(RADIANS(G151-(-78.6775))/2)^2))</x:f>
        <x:v>1.7197014724701785</x:v>
      </x:c>
      <x:c r="S151" s="1" t="str">
        <x:f>IF(R151&lt;=1,"0–1 mi",IF(R151&lt;=3,"&gt;1–3 mi",IF(R151&lt;=5,"&gt;3–5 mi","Outside 5 mi")))</x:f>
        <x:v>&gt;1–3 mi</x:v>
      </x:c>
      <x:c r="T151" s="7" t="n">
        <x:f>2*3958.7613*ASIN(SQRT(SIN(RADIANS(F151-35.79847)/2)^2+COS(RADIANS(35.79847))*COS(RADIANS(F151))*SIN(RADIANS(G151-(-78.70408))/2)^2))</x:f>
        <x:v>3.4494304578829458</x:v>
      </x:c>
      <x:c r="U151" s="1" t="str">
        <x:f>IF(T151&lt;=1,"0–1 mi",IF(T151&lt;=3,"&gt;1–3 mi",IF(T151&lt;=5,"&gt;3–5 mi","Outside 5 mi")))</x:f>
        <x:v>&gt;3–5 mi</x:v>
      </x:c>
      <x:c r="V151" s="1" t="n">
        <x:f>IF(MIN(P151,R151,T151)&lt;=5,1,0)</x:f>
        <x:v>1</x:v>
      </x:c>
      <x:c r="W151" s="6" t="n">
        <x:f>IF(O151=1,(H151+I151)/2,"")</x:f>
        <x:v>650</x:v>
      </x:c>
      <x:c r="X151" s="1" t="n">
        <x:f>O151*V151</x:f>
        <x:v>1</x:v>
      </x:c>
      <x:c r="Y151" s="1" t="n">
        <x:v>0</x:v>
      </x:c>
      <x:c r="Z151" s="1" t="n">
        <x:v>0</x:v>
      </x:c>
      <x:c r="AA151" s="1" t="n">
        <x:v>0</x:v>
      </x:c>
      <x:c r="AB151" s="1" t="n">
        <x:v>0</x:v>
      </x:c>
      <x:c r="AC151" s="1" t="n">
        <x:v>0</x:v>
      </x:c>
      <x:c r="AD151" s="1" t="str">
        <x:f>IF('Raw properties'!Y151="","",'Raw properties'!Y151)</x:f>
        <x:v>12 Month Lease</x:v>
      </x:c>
      <x:c r="AE151" s="1" t="str">
        <x:v>2026-07-20</x:v>
      </x:c>
      <x:c r="AF151" s="1" t="str">
        <x:v>Included in rent means</x:v>
      </x:c>
      <x:c r="AG151" s="5" t="str">
        <x:v>Source pricing flag retained; automated consistency checks passed. This is not independent landlord verification.</x:v>
      </x:c>
      <x:c r="AH151" s="1" t="str">
        <x:v>$650</x:v>
      </x:c>
      <x:c r="AI151" s="8" t="n">
        <x:f>MIN(ABS(P151-1),ABS(P151-3),ABS(P151-5))*5280</x:f>
        <x:v>3896.6375447652886</x:v>
      </x:c>
      <x:c r="AJ151" s="8" t="n">
        <x:f>MIN(ABS(R151-1),ABS(R151-3),ABS(R151-5))*5280</x:f>
        <x:v>3800.0237746425423</x:v>
      </x:c>
      <x:c r="AK151" s="8" t="n">
        <x:f>MIN(ABS(T151-1),ABS(T151-3),ABS(T151-5))*5280</x:f>
        <x:v>2372.9928176219537</x:v>
      </x:c>
      <x:c r="AL151" s="1" t="n">
        <x:f>IF(MIN(AI151,AJ151,AK151)&lt;=100,1,0)</x:f>
        <x:v>0</x:v>
      </x:c>
    </x:row>
    <x:row r="152" ht="15" hidden="0" customHeight="1">
      <x:c r="A152" s="1" t="str">
        <x:f>IF('Raw properties'!A152="","",'Raw properties'!A152)</x:f>
        <x:v>l1e6hxd</x:v>
      </x:c>
      <x:c r="B152" s="1" t="str">
        <x:f>IF('Raw properties'!D152="","",'Raw properties'!D152)</x:f>
        <x:v>707 E Martin St (Raleigh, NC)</x:v>
      </x:c>
      <x:c r="C152" s="1" t="str">
        <x:f>IF('Raw properties'!AG152="","",'Raw properties'!AG152)</x:f>
        <x:v>https://offcampus.dasa.ncsu.edu/housing/property/707-e-martin-st-raleigh-nc/l1e6hxd</x:v>
      </x:c>
      <x:c r="D152" s="1" t="str">
        <x:v>Whole unit</x:v>
      </x:c>
      <x:c r="E152" s="1" t="str">
        <x:v>Whole unit</x:v>
      </x:c>
      <x:c r="F152" s="7" t="n">
        <x:f>IF('Raw properties'!I152="","",'Raw properties'!I152)</x:f>
        <x:v>35.776606</x:v>
      </x:c>
      <x:c r="G152" s="7" t="n">
        <x:f>IF('Raw properties'!J152="","",'Raw properties'!J152)</x:f>
        <x:v>-78.62745</x:v>
      </x:c>
      <x:c r="H152" s="6" t="n">
        <x:f>IF('Raw properties'!M152="","",'Raw properties'!M152)</x:f>
        <x:v>2650</x:v>
      </x:c>
      <x:c r="I152" s="6" t="n">
        <x:f>IF('Raw properties'!N152="","",'Raw properties'!N152)</x:f>
        <x:v>2650</x:v>
      </x:c>
      <x:c r="J152" s="6" t="n">
        <x:f>IF((IF('Raw floorplans'!H520&gt;0,1,0))=0,"",MIN(IF('Raw floorplans'!H520&gt;0,'Raw floorplans'!H520,1E99)))</x:f>
        <x:v>2650</x:v>
      </x:c>
      <x:c r="K152" s="6" t="n">
        <x:f>IF((IF('Raw floorplans'!I520&gt;0,1,0))=0,"",MAX(IF('Raw floorplans'!I520&gt;0,'Raw floorplans'!I520,0)))</x:f>
        <x:v>2650</x:v>
      </x:c>
      <x:c r="L152" s="1" t="n">
        <x:v>0</x:v>
      </x:c>
      <x:c r="M152" s="1" t="n">
        <x:f>IF(AND(ISNUMBER(H152),ISNUMBER(I152),ISNUMBER(J152),ISNUMBER(K152),H152&gt;0,I152&gt;0),IF(OR(H152&lt;&gt;J152,I152&lt;&gt;K152),1,0),0)</x:f>
        <x:v>0</x:v>
      </x:c>
      <x:c r="N152" s="1" t="n">
        <x:f>IF(AND(ISNUMBER(H152),ISNUMBER(I152),H152&gt;0,I152&gt;=H152),1,0)</x:f>
        <x:v>1</x:v>
      </x:c>
      <x:c r="O152" s="1" t="n">
        <x:f>IF(AND(L152=0,M152=0,N152=1),1,0)</x:f>
        <x:v>1</x:v>
      </x:c>
      <x:c r="P152" s="7" t="n">
        <x:f>2*3958.7613*ASIN(SQRT(SIN(RADIANS(F152-35.77951)/2)^2+COS(RADIANS(35.77951))*COS(RADIANS(F152))*SIN(RADIANS(G152-(-78.68168))/2)^2))</x:f>
        <x:v>3.0464581666046966</x:v>
      </x:c>
      <x:c r="Q152" s="1" t="str">
        <x:f>IF(P152&lt;=1,"0–1 mi",IF(P152&lt;=3,"&gt;1–3 mi",IF(P152&lt;=5,"&gt;3–5 mi","Outside 5 mi")))</x:f>
        <x:v>&gt;3–5 mi</x:v>
      </x:c>
      <x:c r="R152" s="7" t="n">
        <x:f>2*3958.7613*ASIN(SQRT(SIN(RADIANS(F152-35.7687)/2)^2+COS(RADIANS(35.7687))*COS(RADIANS(F152))*SIN(RADIANS(G152-(-78.6775))/2)^2))</x:f>
        <x:v>2.8584066656585936</x:v>
      </x:c>
      <x:c r="S152" s="1" t="str">
        <x:f>IF(R152&lt;=1,"0–1 mi",IF(R152&lt;=3,"&gt;1–3 mi",IF(R152&lt;=5,"&gt;3–5 mi","Outside 5 mi")))</x:f>
        <x:v>&gt;1–3 mi</x:v>
      </x:c>
      <x:c r="T152" s="7" t="n">
        <x:f>2*3958.7613*ASIN(SQRT(SIN(RADIANS(F152-35.79847)/2)^2+COS(RADIANS(35.79847))*COS(RADIANS(F152))*SIN(RADIANS(G152-(-78.70408))/2)^2))</x:f>
        <x:v>4.552881362554696</x:v>
      </x:c>
      <x:c r="U152" s="1" t="str">
        <x:f>IF(T152&lt;=1,"0–1 mi",IF(T152&lt;=3,"&gt;1–3 mi",IF(T152&lt;=5,"&gt;3–5 mi","Outside 5 mi")))</x:f>
        <x:v>&gt;3–5 mi</x:v>
      </x:c>
      <x:c r="V152" s="1" t="n">
        <x:f>IF(MIN(P152,R152,T152)&lt;=5,1,0)</x:f>
        <x:v>1</x:v>
      </x:c>
      <x:c r="W152" s="6" t="n">
        <x:f>IF(O152=1,(H152+I152)/2,"")</x:f>
        <x:v>2650</x:v>
      </x:c>
      <x:c r="X152" s="1" t="n">
        <x:f>O152*V152</x:f>
        <x:v>1</x:v>
      </x:c>
      <x:c r="Y152" s="1" t="n">
        <x:v>0</x:v>
      </x:c>
      <x:c r="Z152" s="1" t="n">
        <x:v>0</x:v>
      </x:c>
      <x:c r="AA152" s="1" t="n">
        <x:v>0</x:v>
      </x:c>
      <x:c r="AB152" s="1" t="n">
        <x:v>0</x:v>
      </x:c>
      <x:c r="AC152" s="1" t="n">
        <x:v>0</x:v>
      </x:c>
      <x:c r="AD152" s="1" t="str">
        <x:f>IF('Raw properties'!Y152="","",'Raw properties'!Y152)</x:f>
      </x:c>
      <x:c r="AE152" s="1" t="str">
        <x:v>2026-09-14</x:v>
      </x:c>
      <x:c r="AF152" s="1" t="str">
        <x:v>Included in rent means</x:v>
      </x:c>
      <x:c r="AG152" s="5" t="str">
        <x:v>Source pricing flag retained; automated consistency checks passed. This is not independent landlord verification.</x:v>
      </x:c>
      <x:c r="AH152" s="1" t="str">
        <x:v>$2,650</x:v>
      </x:c>
      <x:c r="AI152" s="8" t="n">
        <x:f>MIN(ABS(P152-1),ABS(P152-3),ABS(P152-5))*5280</x:f>
        <x:v>245.299119672798</x:v>
      </x:c>
      <x:c r="AJ152" s="8" t="n">
        <x:f>MIN(ABS(R152-1),ABS(R152-3),ABS(R152-5))*5280</x:f>
        <x:v>747.612805322626</x:v>
      </x:c>
      <x:c r="AK152" s="8" t="n">
        <x:f>MIN(ABS(T152-1),ABS(T152-3),ABS(T152-5))*5280</x:f>
        <x:v>2360.7864057112065</x:v>
      </x:c>
      <x:c r="AL152" s="1" t="n">
        <x:f>IF(MIN(AI152,AJ152,AK152)&lt;=100,1,0)</x:f>
        <x:v>0</x:v>
      </x:c>
    </x:row>
    <x:row r="153" ht="15" hidden="0" customHeight="1">
      <x:c r="A153" s="1" t="str">
        <x:f>IF('Raw properties'!A153="","",'Raw properties'!A153)</x:f>
        <x:v>ocpsqjgls7</x:v>
      </x:c>
      <x:c r="B153" s="1" t="str">
        <x:f>IF('Raw properties'!D153="","",'Raw properties'!D153)</x:f>
        <x:v>Cozy private apt</x:v>
      </x:c>
      <x:c r="C153" s="1" t="str">
        <x:f>IF('Raw properties'!AG153="","",'Raw properties'!AG153)</x:f>
        <x:v>https://offcampus.dasa.ncsu.edu/housing/property/cozy-private-apt/ocpsqjgls7</x:v>
      </x:c>
      <x:c r="D153" s="1" t="str">
        <x:v>Whole unit</x:v>
      </x:c>
      <x:c r="E153" s="1" t="str">
        <x:v>Whole unit</x:v>
      </x:c>
      <x:c r="F153" s="7" t="n">
        <x:f>IF('Raw properties'!I153="","",'Raw properties'!I153)</x:f>
        <x:v>35.793768</x:v>
      </x:c>
      <x:c r="G153" s="7" t="n">
        <x:f>IF('Raw properties'!J153="","",'Raw properties'!J153)</x:f>
        <x:v>-78.620987</x:v>
      </x:c>
      <x:c r="H153" s="6" t="n">
        <x:f>IF('Raw properties'!M153="","",'Raw properties'!M153)</x:f>
        <x:v>1595</x:v>
      </x:c>
      <x:c r="I153" s="6" t="n">
        <x:f>IF('Raw properties'!N153="","",'Raw properties'!N153)</x:f>
        <x:v>1595</x:v>
      </x:c>
      <x:c r="J153" s="6" t="n">
        <x:f>IF((IF('Raw floorplans'!H521&gt;0,1,0))=0,"",MIN(IF('Raw floorplans'!H521&gt;0,'Raw floorplans'!H521,1E99)))</x:f>
        <x:v>1595</x:v>
      </x:c>
      <x:c r="K153" s="6" t="n">
        <x:f>IF((IF('Raw floorplans'!I521&gt;0,1,0))=0,"",MAX(IF('Raw floorplans'!I521&gt;0,'Raw floorplans'!I521,0)))</x:f>
        <x:v>1595</x:v>
      </x:c>
      <x:c r="L153" s="1" t="n">
        <x:v>0</x:v>
      </x:c>
      <x:c r="M153" s="1" t="n">
        <x:f>IF(AND(ISNUMBER(H153),ISNUMBER(I153),ISNUMBER(J153),ISNUMBER(K153),H153&gt;0,I153&gt;0),IF(OR(H153&lt;&gt;J153,I153&lt;&gt;K153),1,0),0)</x:f>
        <x:v>0</x:v>
      </x:c>
      <x:c r="N153" s="1" t="n">
        <x:f>IF(AND(ISNUMBER(H153),ISNUMBER(I153),H153&gt;0,I153&gt;=H153),1,0)</x:f>
        <x:v>1</x:v>
      </x:c>
      <x:c r="O153" s="1" t="n">
        <x:f>IF(AND(L153=0,M153=0,N153=1),1,0)</x:f>
        <x:v>1</x:v>
      </x:c>
      <x:c r="P153" s="7" t="n">
        <x:f>2*3958.7613*ASIN(SQRT(SIN(RADIANS(F153-35.77951)/2)^2+COS(RADIANS(35.77951))*COS(RADIANS(F153))*SIN(RADIANS(G153-(-78.68168))/2)^2))</x:f>
        <x:v>3.541531015291799</x:v>
      </x:c>
      <x:c r="Q153" s="1" t="str">
        <x:f>IF(P153&lt;=1,"0–1 mi",IF(P153&lt;=3,"&gt;1–3 mi",IF(P153&lt;=5,"&gt;3–5 mi","Outside 5 mi")))</x:f>
        <x:v>&gt;3–5 mi</x:v>
      </x:c>
      <x:c r="R153" s="7" t="n">
        <x:f>2*3958.7613*ASIN(SQRT(SIN(RADIANS(F153-35.7687)/2)^2+COS(RADIANS(35.7687))*COS(RADIANS(F153))*SIN(RADIANS(G153-(-78.6775))/2)^2))</x:f>
        <x:v>3.610290617201135</x:v>
      </x:c>
      <x:c r="S153" s="1" t="str">
        <x:f>IF(R153&lt;=1,"0–1 mi",IF(R153&lt;=3,"&gt;1–3 mi",IF(R153&lt;=5,"&gt;3–5 mi","Outside 5 mi")))</x:f>
        <x:v>&gt;3–5 mi</x:v>
      </x:c>
      <x:c r="T153" s="7" t="n">
        <x:f>2*3958.7613*ASIN(SQRT(SIN(RADIANS(F153-35.79847)/2)^2+COS(RADIANS(35.79847))*COS(RADIANS(F153))*SIN(RADIANS(G153-(-78.70408))/2)^2))</x:f>
        <x:v>4.668009157832911</x:v>
      </x:c>
      <x:c r="U153" s="1" t="str">
        <x:f>IF(T153&lt;=1,"0–1 mi",IF(T153&lt;=3,"&gt;1–3 mi",IF(T153&lt;=5,"&gt;3–5 mi","Outside 5 mi")))</x:f>
        <x:v>&gt;3–5 mi</x:v>
      </x:c>
      <x:c r="V153" s="1" t="n">
        <x:f>IF(MIN(P153,R153,T153)&lt;=5,1,0)</x:f>
        <x:v>1</x:v>
      </x:c>
      <x:c r="W153" s="6" t="n">
        <x:f>IF(O153=1,(H153+I153)/2,"")</x:f>
        <x:v>1595</x:v>
      </x:c>
      <x:c r="X153" s="1" t="n">
        <x:f>O153*V153</x:f>
        <x:v>1</x:v>
      </x:c>
      <x:c r="Y153" s="1" t="n">
        <x:v>0</x:v>
      </x:c>
      <x:c r="Z153" s="1" t="n">
        <x:v>0</x:v>
      </x:c>
      <x:c r="AA153" s="1" t="n">
        <x:v>0</x:v>
      </x:c>
      <x:c r="AB153" s="1" t="n">
        <x:v>0</x:v>
      </x:c>
      <x:c r="AC153" s="1" t="n">
        <x:v>0</x:v>
      </x:c>
      <x:c r="AD153" s="1" t="str">
        <x:f>IF('Raw properties'!Y153="","",'Raw properties'!Y153)</x:f>
        <x:v>12 Month Lease</x:v>
      </x:c>
      <x:c r="AE153" s="1" t="str">
        <x:v>1970-01-01</x:v>
      </x:c>
      <x:c r="AF153" s="1" t="str">
        <x:v>Included in rent means</x:v>
      </x:c>
      <x:c r="AG153" s="5" t="str">
        <x:v>Source pricing flag retained; automated consistency checks passed. This is not independent landlord verification.</x:v>
      </x:c>
      <x:c r="AH153" s="1" t="str">
        <x:v>$1,595</x:v>
      </x:c>
      <x:c r="AI153" s="8" t="n">
        <x:f>MIN(ABS(P153-1),ABS(P153-3),ABS(P153-5))*5280</x:f>
        <x:v>2859.283760740698</x:v>
      </x:c>
      <x:c r="AJ153" s="8" t="n">
        <x:f>MIN(ABS(R153-1),ABS(R153-3),ABS(R153-5))*5280</x:f>
        <x:v>3222.3344588219934</x:v>
      </x:c>
      <x:c r="AK153" s="8" t="n">
        <x:f>MIN(ABS(T153-1),ABS(T153-3),ABS(T153-5))*5280</x:f>
        <x:v>1752.9116466422308</x:v>
      </x:c>
      <x:c r="AL153" s="1" t="n">
        <x:f>IF(MIN(AI153,AJ153,AK153)&lt;=100,1,0)</x:f>
        <x:v>0</x:v>
      </x:c>
    </x:row>
    <x:row r="154" ht="36" hidden="0" customHeight="1">
      <x:c r="A154" s="1" t="str">
        <x:f>IF('Raw properties'!A154="","",'Raw properties'!A154)</x:f>
        <x:v>y6ff3gt</x:v>
      </x:c>
      <x:c r="B154" s="1" t="str">
        <x:f>IF('Raw properties'!D154="","",'Raw properties'!D154)</x:f>
        <x:v>Room in Condo on Trailwood Heights Ln</x:v>
      </x:c>
      <x:c r="C154" s="1" t="str">
        <x:f>IF('Raw properties'!AG154="","",'Raw properties'!AG154)</x:f>
        <x:v>https://offcampus.dasa.ncsu.edu/housing/property/room-in-condo-on-trailwood-heights-ln/y6ff3gt</x:v>
      </x:c>
      <x:c r="D154" s="1" t="str">
        <x:v>Whole unit</x:v>
      </x:c>
      <x:c r="E154" s="1" t="str">
        <x:v>Per bedroom</x:v>
      </x:c>
      <x:c r="F154" s="7" t="n">
        <x:f>IF('Raw properties'!I154="","",'Raw properties'!I154)</x:f>
        <x:v>35.75105</x:v>
      </x:c>
      <x:c r="G154" s="7" t="n">
        <x:f>IF('Raw properties'!J154="","",'Raw properties'!J154)</x:f>
        <x:v>-78.68598</x:v>
      </x:c>
      <x:c r="H154" s="6" t="n">
        <x:f>IF('Raw properties'!M154="","",'Raw properties'!M154)</x:f>
        <x:v>875</x:v>
      </x:c>
      <x:c r="I154" s="6" t="n">
        <x:f>IF('Raw properties'!N154="","",'Raw properties'!N154)</x:f>
        <x:v>875</x:v>
      </x:c>
      <x:c r="J154" s="6" t="n">
        <x:f>IF((IF('Raw floorplans'!H522&gt;0,1,0))=0,"",MIN(IF('Raw floorplans'!H522&gt;0,'Raw floorplans'!H522,1E99)))</x:f>
        <x:v>850</x:v>
      </x:c>
      <x:c r="K154" s="6" t="n">
        <x:f>IF((IF('Raw floorplans'!I522&gt;0,1,0))=0,"",MAX(IF('Raw floorplans'!I522&gt;0,'Raw floorplans'!I522,0)))</x:f>
        <x:v>850</x:v>
      </x:c>
      <x:c r="L154" s="1" t="n">
        <x:v>0</x:v>
      </x:c>
      <x:c r="M154" s="1" t="n">
        <x:f>IF(AND(ISNUMBER(H154),ISNUMBER(I154),ISNUMBER(J154),ISNUMBER(K154),H154&gt;0,I154&gt;0),IF(OR(H154&lt;&gt;J154,I154&lt;&gt;K154),1,0),0)</x:f>
        <x:v>1</x:v>
      </x:c>
      <x:c r="N154" s="1" t="n">
        <x:f>IF(AND(ISNUMBER(H154),ISNUMBER(I154),H154&gt;0,I154&gt;=H154),1,0)</x:f>
        <x:v>1</x:v>
      </x:c>
      <x:c r="O154" s="1" t="n">
        <x:f>IF(AND(L154=0,M154=0,N154=1),1,0)</x:f>
        <x:v>0</x:v>
      </x:c>
      <x:c r="P154" s="7" t="n">
        <x:f>2*3958.7613*ASIN(SQRT(SIN(RADIANS(F154-35.77951)/2)^2+COS(RADIANS(35.77951))*COS(RADIANS(F154))*SIN(RADIANS(G154-(-78.68168))/2)^2))</x:f>
        <x:v>1.9811209946099158</x:v>
      </x:c>
      <x:c r="Q154" s="1" t="str">
        <x:f>IF(P154&lt;=1,"0–1 mi",IF(P154&lt;=3,"&gt;1–3 mi",IF(P154&lt;=5,"&gt;3–5 mi","Outside 5 mi")))</x:f>
        <x:v>&gt;1–3 mi</x:v>
      </x:c>
      <x:c r="R154" s="7" t="n">
        <x:f>2*3958.7613*ASIN(SQRT(SIN(RADIANS(F154-35.7687)/2)^2+COS(RADIANS(35.7687))*COS(RADIANS(F154))*SIN(RADIANS(G154-(-78.6775))/2)^2))</x:f>
        <x:v>1.3089049293085162</x:v>
      </x:c>
      <x:c r="S154" s="1" t="str">
        <x:f>IF(R154&lt;=1,"0–1 mi",IF(R154&lt;=3,"&gt;1–3 mi",IF(R154&lt;=5,"&gt;3–5 mi","Outside 5 mi")))</x:f>
        <x:v>&gt;1–3 mi</x:v>
      </x:c>
      <x:c r="T154" s="7" t="n">
        <x:f>2*3958.7613*ASIN(SQRT(SIN(RADIANS(F154-35.79847)/2)^2+COS(RADIANS(35.79847))*COS(RADIANS(F154))*SIN(RADIANS(G154-(-78.70408))/2)^2))</x:f>
        <x:v>3.4299181179358658</x:v>
      </x:c>
      <x:c r="U154" s="1" t="str">
        <x:f>IF(T154&lt;=1,"0–1 mi",IF(T154&lt;=3,"&gt;1–3 mi",IF(T154&lt;=5,"&gt;3–5 mi","Outside 5 mi")))</x:f>
        <x:v>&gt;3–5 mi</x:v>
      </x:c>
      <x:c r="V154" s="1" t="n">
        <x:f>IF(MIN(P154,R154,T154)&lt;=5,1,0)</x:f>
        <x:v>1</x:v>
      </x:c>
      <x:c r="W154" s="6" t="str">
        <x:f>IF(O154=1,(H154+I154)/2,"")</x:f>
      </x:c>
      <x:c r="X154" s="1" t="n">
        <x:f>O154*V154</x:f>
        <x:v>0</x:v>
      </x:c>
      <x:c r="Y154" s="1" t="n">
        <x:v>0</x:v>
      </x:c>
      <x:c r="Z154" s="1" t="n">
        <x:v>0</x:v>
      </x:c>
      <x:c r="AA154" s="1" t="n">
        <x:v>0</x:v>
      </x:c>
      <x:c r="AB154" s="1" t="n">
        <x:v>0</x:v>
      </x:c>
      <x:c r="AC154" s="1" t="n">
        <x:v>0</x:v>
      </x:c>
      <x:c r="AD154" s="1" t="str">
        <x:f>IF('Raw properties'!Y154="","",'Raw properties'!Y154)</x:f>
      </x:c>
      <x:c r="AE154" s="1" t="str">
        <x:v>2026-09-09</x:v>
      </x:c>
      <x:c r="AF154" s="1" t="str">
        <x:v>Excluded from rent means</x:v>
      </x:c>
      <x:c r="AG154" s="5" t="str">
        <x:v>Saved September 9 title explicitly offers a room. Reclassified from whole unit to room/per-bedroom; snapshot price unchanged. Search summary: $875–$875; saved floor-plan envelope: $850–$850. Difference may reflect fees, timing or scope; unresolved snapshot price excluded.</x:v>
      </x:c>
      <x:c r="AH154" s="1" t="str">
        <x:v>$875</x:v>
      </x:c>
      <x:c r="AI154" s="8" t="n">
        <x:f>MIN(ABS(P154-1),ABS(P154-3),ABS(P154-5))*5280</x:f>
        <x:v>5180.318851540355</x:v>
      </x:c>
      <x:c r="AJ154" s="8" t="n">
        <x:f>MIN(ABS(R154-1),ABS(R154-3),ABS(R154-5))*5280</x:f>
        <x:v>1631.0180267489657</x:v>
      </x:c>
      <x:c r="AK154" s="8" t="n">
        <x:f>MIN(ABS(T154-1),ABS(T154-3),ABS(T154-5))*5280</x:f>
        <x:v>2269.9676627013714</x:v>
      </x:c>
      <x:c r="AL154" s="1" t="n">
        <x:f>IF(MIN(AI154,AJ154,AK154)&lt;=100,1,0)</x:f>
        <x:v>0</x:v>
      </x:c>
    </x:row>
    <x:row r="155" ht="15" hidden="0" customHeight="1">
      <x:c r="A155" s="1" t="str">
        <x:f>IF('Raw properties'!A155="","",'Raw properties'!A155)</x:f>
        <x:v>ocpk5yz73b</x:v>
      </x:c>
      <x:c r="B155" s="1" t="str">
        <x:f>IF('Raw properties'!D155="","",'Raw properties'!D155)</x:f>
        <x:v>Stanhope Student Apartments</x:v>
      </x:c>
      <x:c r="C155" s="1" t="str">
        <x:f>IF('Raw properties'!AG155="","",'Raw properties'!AG155)</x:f>
        <x:v>https://offcampus.dasa.ncsu.edu/housing/property/stanhope-student-apartments/ocpk5yz73b</x:v>
      </x:c>
      <x:c r="D155" s="1" t="str">
        <x:v>Per bedroom</x:v>
      </x:c>
      <x:c r="E155" s="1" t="str">
        <x:v>Per bedroom</x:v>
      </x:c>
      <x:c r="F155" s="7" t="n">
        <x:f>IF('Raw properties'!I155="","",'Raw properties'!I155)</x:f>
        <x:v>35.78914</x:v>
      </x:c>
      <x:c r="G155" s="7" t="n">
        <x:f>IF('Raw properties'!J155="","",'Raw properties'!J155)</x:f>
        <x:v>-78.677661</x:v>
      </x:c>
      <x:c r="H155" s="6" t="n">
        <x:f>IF('Raw properties'!M155="","",'Raw properties'!M155)</x:f>
        <x:v>1300</x:v>
      </x:c>
      <x:c r="I155" s="6" t="n">
        <x:f>IF('Raw properties'!N155="","",'Raw properties'!N155)</x:f>
        <x:v>1300</x:v>
      </x:c>
      <x:c r="J155" s="6" t="n">
        <x:f>IF((IF('Raw floorplans'!H523&gt;0,1,0))=0,"",MIN(IF('Raw floorplans'!H523&gt;0,'Raw floorplans'!H523,1E99)))</x:f>
        <x:v>1300</x:v>
      </x:c>
      <x:c r="K155" s="6" t="n">
        <x:f>IF((IF('Raw floorplans'!I523&gt;0,1,0))=0,"",MAX(IF('Raw floorplans'!I523&gt;0,'Raw floorplans'!I523,0)))</x:f>
        <x:v>1300</x:v>
      </x:c>
      <x:c r="L155" s="1" t="n">
        <x:v>0</x:v>
      </x:c>
      <x:c r="M155" s="1" t="n">
        <x:f>IF(AND(ISNUMBER(H155),ISNUMBER(I155),ISNUMBER(J155),ISNUMBER(K155),H155&gt;0,I155&gt;0),IF(OR(H155&lt;&gt;J155,I155&lt;&gt;K155),1,0),0)</x:f>
        <x:v>0</x:v>
      </x:c>
      <x:c r="N155" s="1" t="n">
        <x:f>IF(AND(ISNUMBER(H155),ISNUMBER(I155),H155&gt;0,I155&gt;=H155),1,0)</x:f>
        <x:v>1</x:v>
      </x:c>
      <x:c r="O155" s="1" t="n">
        <x:f>IF(AND(L155=0,M155=0,N155=1),1,0)</x:f>
        <x:v>1</x:v>
      </x:c>
      <x:c r="P155" s="7" t="n">
        <x:f>2*3958.7613*ASIN(SQRT(SIN(RADIANS(F155-35.77951)/2)^2+COS(RADIANS(35.77951))*COS(RADIANS(F155))*SIN(RADIANS(G155-(-78.68168))/2)^2))</x:f>
        <x:v>0.7024681108581472</x:v>
      </x:c>
      <x:c r="Q155" s="1" t="str">
        <x:f>IF(P155&lt;=1,"0–1 mi",IF(P155&lt;=3,"&gt;1–3 mi",IF(P155&lt;=5,"&gt;3–5 mi","Outside 5 mi")))</x:f>
        <x:v>0–1 mi</x:v>
      </x:c>
      <x:c r="R155" s="7" t="n">
        <x:f>2*3958.7613*ASIN(SQRT(SIN(RADIANS(F155-35.7687)/2)^2+COS(RADIANS(35.7687))*COS(RADIANS(F155))*SIN(RADIANS(G155-(-78.6775))/2)^2))</x:f>
        <x:v>1.4122983186389695</x:v>
      </x:c>
      <x:c r="S155" s="1" t="str">
        <x:f>IF(R155&lt;=1,"0–1 mi",IF(R155&lt;=3,"&gt;1–3 mi",IF(R155&lt;=5,"&gt;3–5 mi","Outside 5 mi")))</x:f>
        <x:v>&gt;1–3 mi</x:v>
      </x:c>
      <x:c r="T155" s="7" t="n">
        <x:f>2*3958.7613*ASIN(SQRT(SIN(RADIANS(F155-35.79847)/2)^2+COS(RADIANS(35.79847))*COS(RADIANS(F155))*SIN(RADIANS(G155-(-78.70408))/2)^2))</x:f>
        <x:v>1.6148627099774056</x:v>
      </x:c>
      <x:c r="U155" s="1" t="str">
        <x:f>IF(T155&lt;=1,"0–1 mi",IF(T155&lt;=3,"&gt;1–3 mi",IF(T155&lt;=5,"&gt;3–5 mi","Outside 5 mi")))</x:f>
        <x:v>&gt;1–3 mi</x:v>
      </x:c>
      <x:c r="V155" s="1" t="n">
        <x:f>IF(MIN(P155,R155,T155)&lt;=5,1,0)</x:f>
        <x:v>1</x:v>
      </x:c>
      <x:c r="W155" s="6" t="n">
        <x:f>IF(O155=1,(H155+I155)/2,"")</x:f>
        <x:v>1300</x:v>
      </x:c>
      <x:c r="X155" s="1" t="n">
        <x:f>O155*V155</x:f>
        <x:v>1</x:v>
      </x:c>
      <x:c r="Y155" s="1" t="n">
        <x:v>0</x:v>
      </x:c>
      <x:c r="Z155" s="1" t="n">
        <x:v>0</x:v>
      </x:c>
      <x:c r="AA155" s="1" t="n">
        <x:v>0</x:v>
      </x:c>
      <x:c r="AB155" s="1" t="n">
        <x:v>0</x:v>
      </x:c>
      <x:c r="AC155" s="1" t="n">
        <x:v>0</x:v>
      </x:c>
      <x:c r="AD155" s="1" t="str">
        <x:f>IF('Raw properties'!Y155="","",'Raw properties'!Y155)</x:f>
        <x:v>6 Month Lease</x:v>
      </x:c>
      <x:c r="AE155" s="1" t="str">
        <x:v>2025-12-10</x:v>
      </x:c>
      <x:c r="AF155" s="1" t="str">
        <x:v>Included in rent means</x:v>
      </x:c>
      <x:c r="AG155" s="5" t="str">
        <x:v>Source pricing flag retained; automated consistency checks passed. This is not independent landlord verification.</x:v>
      </x:c>
      <x:c r="AH155" s="1" t="str">
        <x:v>$1,300</x:v>
      </x:c>
      <x:c r="AI155" s="8" t="n">
        <x:f>MIN(ABS(P155-1),ABS(P155-3),ABS(P155-5))*5280</x:f>
        <x:v>1570.9683746689827</x:v>
      </x:c>
      <x:c r="AJ155" s="8" t="n">
        <x:f>MIN(ABS(R155-1),ABS(R155-3),ABS(R155-5))*5280</x:f>
        <x:v>2176.935122413759</x:v>
      </x:c>
      <x:c r="AK155" s="8" t="n">
        <x:f>MIN(ABS(T155-1),ABS(T155-3),ABS(T155-5))*5280</x:f>
        <x:v>3246.4751086807014</x:v>
      </x:c>
      <x:c r="AL155" s="1" t="n">
        <x:f>IF(MIN(AI155,AJ155,AK155)&lt;=100,1,0)</x:f>
        <x:v>0</x:v>
      </x:c>
    </x:row>
    <x:row r="156" ht="36" hidden="0" customHeight="1">
      <x:c r="A156" s="1" t="str">
        <x:f>IF('Raw properties'!A156="","",'Raw properties'!A156)</x:f>
        <x:v>hp3tns3</x:v>
      </x:c>
      <x:c r="B156" s="1" t="str">
        <x:f>IF('Raw properties'!D156="","",'Raw properties'!D156)</x:f>
        <x:v>Room in House on Ravel St</x:v>
      </x:c>
      <x:c r="C156" s="1" t="str">
        <x:f>IF('Raw properties'!AG156="","",'Raw properties'!AG156)</x:f>
        <x:v>https://offcampus.dasa.ncsu.edu/housing/property/room-in-house-on-ravel-st/hp3tns3</x:v>
      </x:c>
      <x:c r="D156" s="1" t="str">
        <x:v>Whole unit</x:v>
      </x:c>
      <x:c r="E156" s="1" t="str">
        <x:v>Per bedroom</x:v>
      </x:c>
      <x:c r="F156" s="7" t="n">
        <x:f>IF('Raw properties'!I156="","",'Raw properties'!I156)</x:f>
        <x:v>35.772749</x:v>
      </x:c>
      <x:c r="G156" s="7" t="n">
        <x:f>IF('Raw properties'!J156="","",'Raw properties'!J156)</x:f>
        <x:v>-78.709713</x:v>
      </x:c>
      <x:c r="H156" s="6" t="n">
        <x:f>IF('Raw properties'!M156="","",'Raw properties'!M156)</x:f>
        <x:v>600</x:v>
      </x:c>
      <x:c r="I156" s="6" t="n">
        <x:f>IF('Raw properties'!N156="","",'Raw properties'!N156)</x:f>
        <x:v>600</x:v>
      </x:c>
      <x:c r="J156" s="6" t="n">
        <x:f>IF((IF('Raw floorplans'!H524&gt;0,1,0))=0,"",MIN(IF('Raw floorplans'!H524&gt;0,'Raw floorplans'!H524,1E99)))</x:f>
        <x:v>550</x:v>
      </x:c>
      <x:c r="K156" s="6" t="n">
        <x:f>IF((IF('Raw floorplans'!I524&gt;0,1,0))=0,"",MAX(IF('Raw floorplans'!I524&gt;0,'Raw floorplans'!I524,0)))</x:f>
        <x:v>550</x:v>
      </x:c>
      <x:c r="L156" s="1" t="n">
        <x:v>0</x:v>
      </x:c>
      <x:c r="M156" s="1" t="n">
        <x:f>IF(AND(ISNUMBER(H156),ISNUMBER(I156),ISNUMBER(J156),ISNUMBER(K156),H156&gt;0,I156&gt;0),IF(OR(H156&lt;&gt;J156,I156&lt;&gt;K156),1,0),0)</x:f>
        <x:v>1</x:v>
      </x:c>
      <x:c r="N156" s="1" t="n">
        <x:f>IF(AND(ISNUMBER(H156),ISNUMBER(I156),H156&gt;0,I156&gt;=H156),1,0)</x:f>
        <x:v>1</x:v>
      </x:c>
      <x:c r="O156" s="1" t="n">
        <x:f>IF(AND(L156=0,M156=0,N156=1),1,0)</x:f>
        <x:v>0</x:v>
      </x:c>
      <x:c r="P156" s="7" t="n">
        <x:f>2*3958.7613*ASIN(SQRT(SIN(RADIANS(F156-35.77951)/2)^2+COS(RADIANS(35.77951))*COS(RADIANS(F156))*SIN(RADIANS(G156-(-78.68168))/2)^2))</x:f>
        <x:v>1.6393824700520472</x:v>
      </x:c>
      <x:c r="Q156" s="1" t="str">
        <x:f>IF(P156&lt;=1,"0–1 mi",IF(P156&lt;=3,"&gt;1–3 mi",IF(P156&lt;=5,"&gt;3–5 mi","Outside 5 mi")))</x:f>
        <x:v>&gt;1–3 mi</x:v>
      </x:c>
      <x:c r="R156" s="7" t="n">
        <x:f>2*3958.7613*ASIN(SQRT(SIN(RADIANS(F156-35.7687)/2)^2+COS(RADIANS(35.7687))*COS(RADIANS(F156))*SIN(RADIANS(G156-(-78.6775))/2)^2))</x:f>
        <x:v>1.8273962243122592</x:v>
      </x:c>
      <x:c r="S156" s="1" t="str">
        <x:f>IF(R156&lt;=1,"0–1 mi",IF(R156&lt;=3,"&gt;1–3 mi",IF(R156&lt;=5,"&gt;3–5 mi","Outside 5 mi")))</x:f>
        <x:v>&gt;1–3 mi</x:v>
      </x:c>
      <x:c r="T156" s="7" t="n">
        <x:f>2*3958.7613*ASIN(SQRT(SIN(RADIANS(F156-35.79847)/2)^2+COS(RADIANS(35.79847))*COS(RADIANS(F156))*SIN(RADIANS(G156-(-78.70408))/2)^2))</x:f>
        <x:v>1.8049796177606001</x:v>
      </x:c>
      <x:c r="U156" s="1" t="str">
        <x:f>IF(T156&lt;=1,"0–1 mi",IF(T156&lt;=3,"&gt;1–3 mi",IF(T156&lt;=5,"&gt;3–5 mi","Outside 5 mi")))</x:f>
        <x:v>&gt;1–3 mi</x:v>
      </x:c>
      <x:c r="V156" s="1" t="n">
        <x:f>IF(MIN(P156,R156,T156)&lt;=5,1,0)</x:f>
        <x:v>1</x:v>
      </x:c>
      <x:c r="W156" s="6" t="str">
        <x:f>IF(O156=1,(H156+I156)/2,"")</x:f>
      </x:c>
      <x:c r="X156" s="1" t="n">
        <x:f>O156*V156</x:f>
        <x:v>0</x:v>
      </x:c>
      <x:c r="Y156" s="1" t="n">
        <x:v>0</x:v>
      </x:c>
      <x:c r="Z156" s="1" t="n">
        <x:v>0</x:v>
      </x:c>
      <x:c r="AA156" s="1" t="n">
        <x:v>0</x:v>
      </x:c>
      <x:c r="AB156" s="1" t="n">
        <x:v>0</x:v>
      </x:c>
      <x:c r="AC156" s="1" t="n">
        <x:v>0</x:v>
      </x:c>
      <x:c r="AD156" s="1" t="str">
        <x:f>IF('Raw properties'!Y156="","",'Raw properties'!Y156)</x:f>
      </x:c>
      <x:c r="AE156" s="1" t="str">
        <x:v>2026-09-09</x:v>
      </x:c>
      <x:c r="AF156" s="1" t="str">
        <x:v>Excluded from rent means</x:v>
      </x:c>
      <x:c r="AG156" s="5" t="str">
        <x:v>Saved September 9 title explicitly offers a room. Reclassified from whole unit to room/per-bedroom; snapshot price unchanged. Search summary: $600–$600; saved floor-plan envelope: $550–$550. Difference may reflect fees, timing or scope; unresolved snapshot price excluded.</x:v>
      </x:c>
      <x:c r="AH156" s="1" t="str">
        <x:v>$600</x:v>
      </x:c>
      <x:c r="AI156" s="8" t="n">
        <x:f>MIN(ABS(P156-1),ABS(P156-3),ABS(P156-5))*5280</x:f>
        <x:v>3375.9394418748093</x:v>
      </x:c>
      <x:c r="AJ156" s="8" t="n">
        <x:f>MIN(ABS(R156-1),ABS(R156-3),ABS(R156-5))*5280</x:f>
        <x:v>4368.652064368729</x:v>
      </x:c>
      <x:c r="AK156" s="8" t="n">
        <x:f>MIN(ABS(T156-1),ABS(T156-3),ABS(T156-5))*5280</x:f>
        <x:v>4250.292381775968</x:v>
      </x:c>
      <x:c r="AL156" s="1" t="n">
        <x:f>IF(MIN(AI156,AJ156,AK156)&lt;=100,1,0)</x:f>
        <x:v>0</x:v>
      </x:c>
    </x:row>
    <x:row r="157" ht="15" hidden="0" customHeight="1">
      <x:c r="A157" s="1" t="str">
        <x:f>IF('Raw properties'!A157="","",'Raw properties'!A157)</x:f>
        <x:v>ocp5lwrmvq</x:v>
      </x:c>
      <x:c r="B157" s="1" t="str">
        <x:f>IF('Raw properties'!D157="","",'Raw properties'!D157)</x:f>
        <x:v>Convenient Kaplan Dr property near NCSU buses, park, grocery, with parking space &amp; private bathroom</x:v>
      </x:c>
      <x:c r="C157" s="1" t="str">
        <x:f>IF('Raw properties'!AG157="","",'Raw properties'!AG157)</x:f>
        <x:v>https://offcampus.dasa.ncsu.edu/housing/property/convenient-kaplan-dr-property-near-ncsu-buses-park-grocery-with-parking-space-and-private-bathroom/ocp5lwrmvq</x:v>
      </x:c>
      <x:c r="D157" s="1" t="str">
        <x:v>Per bedroom</x:v>
      </x:c>
      <x:c r="E157" s="1" t="str">
        <x:v>Per bedroom</x:v>
      </x:c>
      <x:c r="F157" s="7" t="n">
        <x:f>IF('Raw properties'!I157="","",'Raw properties'!I157)</x:f>
        <x:v>35.774772</x:v>
      </x:c>
      <x:c r="G157" s="7" t="n">
        <x:f>IF('Raw properties'!J157="","",'Raw properties'!J157)</x:f>
        <x:v>-78.693057</x:v>
      </x:c>
      <x:c r="H157" s="6" t="n">
        <x:f>IF('Raw properties'!M157="","",'Raw properties'!M157)</x:f>
        <x:v>675</x:v>
      </x:c>
      <x:c r="I157" s="6" t="n">
        <x:f>IF('Raw properties'!N157="","",'Raw properties'!N157)</x:f>
        <x:v>675</x:v>
      </x:c>
      <x:c r="J157" s="6" t="n">
        <x:f>IF((IF('Raw floorplans'!H525&gt;0,1,0))=0,"",MIN(IF('Raw floorplans'!H525&gt;0,'Raw floorplans'!H525,1E99)))</x:f>
        <x:v>675</x:v>
      </x:c>
      <x:c r="K157" s="6" t="n">
        <x:f>IF((IF('Raw floorplans'!I525&gt;0,1,0))=0,"",MAX(IF('Raw floorplans'!I525&gt;0,'Raw floorplans'!I525,0)))</x:f>
        <x:v>675</x:v>
      </x:c>
      <x:c r="L157" s="1" t="n">
        <x:v>0</x:v>
      </x:c>
      <x:c r="M157" s="1" t="n">
        <x:f>IF(AND(ISNUMBER(H157),ISNUMBER(I157),ISNUMBER(J157),ISNUMBER(K157),H157&gt;0,I157&gt;0),IF(OR(H157&lt;&gt;J157,I157&lt;&gt;K157),1,0),0)</x:f>
        <x:v>0</x:v>
      </x:c>
      <x:c r="N157" s="1" t="n">
        <x:f>IF(AND(ISNUMBER(H157),ISNUMBER(I157),H157&gt;0,I157&gt;=H157),1,0)</x:f>
        <x:v>1</x:v>
      </x:c>
      <x:c r="O157" s="1" t="n">
        <x:f>IF(AND(L157=0,M157=0,N157=1),1,0)</x:f>
        <x:v>1</x:v>
      </x:c>
      <x:c r="P157" s="7" t="n">
        <x:f>2*3958.7613*ASIN(SQRT(SIN(RADIANS(F157-35.77951)/2)^2+COS(RADIANS(35.77951))*COS(RADIANS(F157))*SIN(RADIANS(G157-(-78.68168))/2)^2))</x:f>
        <x:v>0.7168551166720918</x:v>
      </x:c>
      <x:c r="Q157" s="1" t="str">
        <x:f>IF(P157&lt;=1,"0–1 mi",IF(P157&lt;=3,"&gt;1–3 mi",IF(P157&lt;=5,"&gt;3–5 mi","Outside 5 mi")))</x:f>
        <x:v>0–1 mi</x:v>
      </x:c>
      <x:c r="R157" s="7" t="n">
        <x:f>2*3958.7613*ASIN(SQRT(SIN(RADIANS(F157-35.7687)/2)^2+COS(RADIANS(35.7687))*COS(RADIANS(F157))*SIN(RADIANS(G157-(-78.6775))/2)^2))</x:f>
        <x:v>0.967774882242644</x:v>
      </x:c>
      <x:c r="S157" s="1" t="str">
        <x:f>IF(R157&lt;=1,"0–1 mi",IF(R157&lt;=3,"&gt;1–3 mi",IF(R157&lt;=5,"&gt;3–5 mi","Outside 5 mi")))</x:f>
        <x:v>0–1 mi</x:v>
      </x:c>
      <x:c r="T157" s="7" t="n">
        <x:f>2*3958.7613*ASIN(SQRT(SIN(RADIANS(F157-35.79847)/2)^2+COS(RADIANS(35.79847))*COS(RADIANS(F157))*SIN(RADIANS(G157-(-78.70408))/2)^2))</x:f>
        <x:v>1.7500588268309776</x:v>
      </x:c>
      <x:c r="U157" s="1" t="str">
        <x:f>IF(T157&lt;=1,"0–1 mi",IF(T157&lt;=3,"&gt;1–3 mi",IF(T157&lt;=5,"&gt;3–5 mi","Outside 5 mi")))</x:f>
        <x:v>&gt;1–3 mi</x:v>
      </x:c>
      <x:c r="V157" s="1" t="n">
        <x:f>IF(MIN(P157,R157,T157)&lt;=5,1,0)</x:f>
        <x:v>1</x:v>
      </x:c>
      <x:c r="W157" s="6" t="n">
        <x:f>IF(O157=1,(H157+I157)/2,"")</x:f>
        <x:v>675</x:v>
      </x:c>
      <x:c r="X157" s="1" t="n">
        <x:f>O157*V157</x:f>
        <x:v>1</x:v>
      </x:c>
      <x:c r="Y157" s="1" t="n">
        <x:v>0</x:v>
      </x:c>
      <x:c r="Z157" s="1" t="n">
        <x:v>0</x:v>
      </x:c>
      <x:c r="AA157" s="1" t="n">
        <x:v>0</x:v>
      </x:c>
      <x:c r="AB157" s="1" t="n">
        <x:v>0</x:v>
      </x:c>
      <x:c r="AC157" s="1" t="n">
        <x:v>1</x:v>
      </x:c>
      <x:c r="AD157" s="1" t="str">
        <x:f>IF('Raw properties'!Y157="","",'Raw properties'!Y157)</x:f>
        <x:v>12 Month Lease</x:v>
      </x:c>
      <x:c r="AE157" s="1" t="str">
        <x:v>2026-09-01</x:v>
      </x:c>
      <x:c r="AF157" s="1" t="str">
        <x:v>Included in rent means</x:v>
      </x:c>
      <x:c r="AG157" s="5" t="str">
        <x:v>Source pricing flag retained; automated consistency checks passed. This is not independent landlord verification.</x:v>
      </x:c>
      <x:c r="AH157" s="1" t="str">
        <x:v>$675</x:v>
      </x:c>
      <x:c r="AI157" s="8" t="n">
        <x:f>MIN(ABS(P157-1),ABS(P157-3),ABS(P157-5))*5280</x:f>
        <x:v>1495.0049839713554</x:v>
      </x:c>
      <x:c r="AJ157" s="8" t="n">
        <x:f>MIN(ABS(R157-1),ABS(R157-3),ABS(R157-5))*5280</x:f>
        <x:v>170.14862175883988</x:v>
      </x:c>
      <x:c r="AK157" s="8" t="n">
        <x:f>MIN(ABS(T157-1),ABS(T157-3),ABS(T157-5))*5280</x:f>
        <x:v>3960.3106056675615</x:v>
      </x:c>
      <x:c r="AL157" s="1" t="n">
        <x:f>IF(MIN(AI157,AJ157,AK157)&lt;=100,1,0)</x:f>
        <x:v>0</x:v>
      </x:c>
    </x:row>
    <x:row r="158" ht="15" hidden="0" customHeight="1">
      <x:c r="A158" s="1" t="str">
        <x:f>IF('Raw properties'!A158="","",'Raw properties'!A158)</x:f>
        <x:v>ocpf3gzfct</x:v>
      </x:c>
      <x:c r="B158" s="1" t="str">
        <x:f>IF('Raw properties'!D158="","",'Raw properties'!D158)</x:f>
        <x:v>Champion Court Condo</x:v>
      </x:c>
      <x:c r="C158" s="1" t="str">
        <x:f>IF('Raw properties'!AG158="","",'Raw properties'!AG158)</x:f>
        <x:v>https://offcampus.dasa.ncsu.edu/housing/property/champion-court-condo/ocpf3gzfct</x:v>
      </x:c>
      <x:c r="D158" s="1" t="str">
        <x:v>Whole unit</x:v>
      </x:c>
      <x:c r="E158" s="1" t="str">
        <x:v>Whole unit</x:v>
      </x:c>
      <x:c r="F158" s="7" t="n">
        <x:f>IF('Raw properties'!I158="","",'Raw properties'!I158)</x:f>
        <x:v>35.778144</x:v>
      </x:c>
      <x:c r="G158" s="7" t="n">
        <x:f>IF('Raw properties'!J158="","",'Raw properties'!J158)</x:f>
        <x:v>-78.679261</x:v>
      </x:c>
      <x:c r="H158" s="6" t="n">
        <x:f>IF('Raw properties'!M158="","",'Raw properties'!M158)</x:f>
        <x:v>1500</x:v>
      </x:c>
      <x:c r="I158" s="6" t="n">
        <x:f>IF('Raw properties'!N158="","",'Raw properties'!N158)</x:f>
        <x:v>1500</x:v>
      </x:c>
      <x:c r="J158" s="6" t="n">
        <x:f>IF((IF('Raw floorplans'!H526&gt;0,1,0))=0,"",MIN(IF('Raw floorplans'!H526&gt;0,'Raw floorplans'!H526,1E99)))</x:f>
        <x:v>1500</x:v>
      </x:c>
      <x:c r="K158" s="6" t="n">
        <x:f>IF((IF('Raw floorplans'!I526&gt;0,1,0))=0,"",MAX(IF('Raw floorplans'!I526&gt;0,'Raw floorplans'!I526,0)))</x:f>
        <x:v>1500</x:v>
      </x:c>
      <x:c r="L158" s="1" t="n">
        <x:v>0</x:v>
      </x:c>
      <x:c r="M158" s="1" t="n">
        <x:f>IF(AND(ISNUMBER(H158),ISNUMBER(I158),ISNUMBER(J158),ISNUMBER(K158),H158&gt;0,I158&gt;0),IF(OR(H158&lt;&gt;J158,I158&lt;&gt;K158),1,0),0)</x:f>
        <x:v>0</x:v>
      </x:c>
      <x:c r="N158" s="1" t="n">
        <x:f>IF(AND(ISNUMBER(H158),ISNUMBER(I158),H158&gt;0,I158&gt;=H158),1,0)</x:f>
        <x:v>1</x:v>
      </x:c>
      <x:c r="O158" s="1" t="n">
        <x:f>IF(AND(L158=0,M158=0,N158=1),1,0)</x:f>
        <x:v>1</x:v>
      </x:c>
      <x:c r="P158" s="7" t="n">
        <x:f>2*3958.7613*ASIN(SQRT(SIN(RADIANS(F158-35.77951)/2)^2+COS(RADIANS(35.77951))*COS(RADIANS(F158))*SIN(RADIANS(G158-(-78.68168))/2)^2))</x:f>
        <x:v>0.1652085324035812</x:v>
      </x:c>
      <x:c r="Q158" s="1" t="str">
        <x:f>IF(P158&lt;=1,"0–1 mi",IF(P158&lt;=3,"&gt;1–3 mi",IF(P158&lt;=5,"&gt;3–5 mi","Outside 5 mi")))</x:f>
        <x:v>0–1 mi</x:v>
      </x:c>
      <x:c r="R158" s="7" t="n">
        <x:f>2*3958.7613*ASIN(SQRT(SIN(RADIANS(F158-35.7687)/2)^2+COS(RADIANS(35.7687))*COS(RADIANS(F158))*SIN(RADIANS(G158-(-78.6775))/2)^2))</x:f>
        <x:v>0.6599434113087829</x:v>
      </x:c>
      <x:c r="S158" s="1" t="str">
        <x:f>IF(R158&lt;=1,"0–1 mi",IF(R158&lt;=3,"&gt;1–3 mi",IF(R158&lt;=5,"&gt;3–5 mi","Outside 5 mi")))</x:f>
        <x:v>0–1 mi</x:v>
      </x:c>
      <x:c r="T158" s="7" t="n">
        <x:f>2*3958.7613*ASIN(SQRT(SIN(RADIANS(F158-35.79847)/2)^2+COS(RADIANS(35.79847))*COS(RADIANS(F158))*SIN(RADIANS(G158-(-78.70408))/2)^2))</x:f>
        <x:v>1.9766926827902895</x:v>
      </x:c>
      <x:c r="U158" s="1" t="str">
        <x:f>IF(T158&lt;=1,"0–1 mi",IF(T158&lt;=3,"&gt;1–3 mi",IF(T158&lt;=5,"&gt;3–5 mi","Outside 5 mi")))</x:f>
        <x:v>&gt;1–3 mi</x:v>
      </x:c>
      <x:c r="V158" s="1" t="n">
        <x:f>IF(MIN(P158,R158,T158)&lt;=5,1,0)</x:f>
        <x:v>1</x:v>
      </x:c>
      <x:c r="W158" s="6" t="n">
        <x:f>IF(O158=1,(H158+I158)/2,"")</x:f>
        <x:v>1500</x:v>
      </x:c>
      <x:c r="X158" s="1" t="n">
        <x:f>O158*V158</x:f>
        <x:v>1</x:v>
      </x:c>
      <x:c r="Y158" s="1" t="n">
        <x:v>0</x:v>
      </x:c>
      <x:c r="Z158" s="1" t="n">
        <x:v>0</x:v>
      </x:c>
      <x:c r="AA158" s="1" t="n">
        <x:v>0</x:v>
      </x:c>
      <x:c r="AB158" s="1" t="n">
        <x:v>0</x:v>
      </x:c>
      <x:c r="AC158" s="1" t="n">
        <x:v>0</x:v>
      </x:c>
      <x:c r="AD158" s="1" t="str">
        <x:f>IF('Raw properties'!Y158="","",'Raw properties'!Y158)</x:f>
        <x:v>12 Month Lease</x:v>
      </x:c>
      <x:c r="AE158" s="1" t="str">
        <x:v>1970-01-01</x:v>
      </x:c>
      <x:c r="AF158" s="1" t="str">
        <x:v>Included in rent means</x:v>
      </x:c>
      <x:c r="AG158" s="5" t="str">
        <x:v>Source pricing flag retained; automated consistency checks passed. This is not independent landlord verification.</x:v>
      </x:c>
      <x:c r="AH158" s="1" t="str">
        <x:v>$1,500</x:v>
      </x:c>
      <x:c r="AI158" s="8" t="n">
        <x:f>MIN(ABS(P158-1),ABS(P158-3),ABS(P158-5))*5280</x:f>
        <x:v>4407.698948909091</x:v>
      </x:c>
      <x:c r="AJ158" s="8" t="n">
        <x:f>MIN(ABS(R158-1),ABS(R158-3),ABS(R158-5))*5280</x:f>
        <x:v>1795.4987882896264</x:v>
      </x:c>
      <x:c r="AK158" s="8" t="n">
        <x:f>MIN(ABS(T158-1),ABS(T158-3),ABS(T158-5))*5280</x:f>
        <x:v>5156.937365132729</x:v>
      </x:c>
      <x:c r="AL158" s="1" t="n">
        <x:f>IF(MIN(AI158,AJ158,AK158)&lt;=100,1,0)</x:f>
        <x:v>0</x:v>
      </x:c>
    </x:row>
    <x:row r="159" ht="15" hidden="0" customHeight="1">
      <x:c r="A159" s="1" t="str">
        <x:f>IF('Raw properties'!A159="","",'Raw properties'!A159)</x:f>
        <x:v>ocpvee4m9g</x:v>
      </x:c>
      <x:c r="B159" s="1" t="str">
        <x:f>IF('Raw properties'!D159="","",'Raw properties'!D159)</x:f>
        <x:v>Furnished 4 bed 3 baths Ranch House, walk to NCSU, free parking</x:v>
      </x:c>
      <x:c r="C159" s="1" t="str">
        <x:f>IF('Raw properties'!AG159="","",'Raw properties'!AG159)</x:f>
        <x:v>https://offcampus.dasa.ncsu.edu/housing/property/furnished-4-bed-3-baths-ranch-house-walk-to-ncsu-free-parking/ocpvee4m9g</x:v>
      </x:c>
      <x:c r="D159" s="1" t="str">
        <x:v>Whole unit</x:v>
      </x:c>
      <x:c r="E159" s="1" t="str">
        <x:v>Whole unit</x:v>
      </x:c>
      <x:c r="F159" s="7" t="n">
        <x:f>IF('Raw properties'!I159="","",'Raw properties'!I159)</x:f>
        <x:v>35.781248</x:v>
      </x:c>
      <x:c r="G159" s="7" t="n">
        <x:f>IF('Raw properties'!J159="","",'Raw properties'!J159)</x:f>
        <x:v>-78.68822</x:v>
      </x:c>
      <x:c r="H159" s="6" t="n">
        <x:f>IF('Raw properties'!M159="","",'Raw properties'!M159)</x:f>
        <x:v>2495</x:v>
      </x:c>
      <x:c r="I159" s="6" t="n">
        <x:f>IF('Raw properties'!N159="","",'Raw properties'!N159)</x:f>
        <x:v>2495</x:v>
      </x:c>
      <x:c r="J159" s="6" t="n">
        <x:f>IF((IF('Raw floorplans'!H527&gt;0,1,0))=0,"",MIN(IF('Raw floorplans'!H527&gt;0,'Raw floorplans'!H527,1E99)))</x:f>
        <x:v>2495</x:v>
      </x:c>
      <x:c r="K159" s="6" t="n">
        <x:f>IF((IF('Raw floorplans'!I527&gt;0,1,0))=0,"",MAX(IF('Raw floorplans'!I527&gt;0,'Raw floorplans'!I527,0)))</x:f>
        <x:v>2495</x:v>
      </x:c>
      <x:c r="L159" s="1" t="n">
        <x:v>0</x:v>
      </x:c>
      <x:c r="M159" s="1" t="n">
        <x:f>IF(AND(ISNUMBER(H159),ISNUMBER(I159),ISNUMBER(J159),ISNUMBER(K159),H159&gt;0,I159&gt;0),IF(OR(H159&lt;&gt;J159,I159&lt;&gt;K159),1,0),0)</x:f>
        <x:v>0</x:v>
      </x:c>
      <x:c r="N159" s="1" t="n">
        <x:f>IF(AND(ISNUMBER(H159),ISNUMBER(I159),H159&gt;0,I159&gt;=H159),1,0)</x:f>
        <x:v>1</x:v>
      </x:c>
      <x:c r="O159" s="1" t="n">
        <x:f>IF(AND(L159=0,M159=0,N159=1),1,0)</x:f>
        <x:v>1</x:v>
      </x:c>
      <x:c r="P159" s="7" t="n">
        <x:f>2*3958.7613*ASIN(SQRT(SIN(RADIANS(F159-35.77951)/2)^2+COS(RADIANS(35.77951))*COS(RADIANS(F159))*SIN(RADIANS(G159-(-78.68168))/2)^2))</x:f>
        <x:v>0.38575387308832954</x:v>
      </x:c>
      <x:c r="Q159" s="1" t="str">
        <x:f>IF(P159&lt;=1,"0–1 mi",IF(P159&lt;=3,"&gt;1–3 mi",IF(P159&lt;=5,"&gt;3–5 mi","Outside 5 mi")))</x:f>
        <x:v>0–1 mi</x:v>
      </x:c>
      <x:c r="R159" s="7" t="n">
        <x:f>2*3958.7613*ASIN(SQRT(SIN(RADIANS(F159-35.7687)/2)^2+COS(RADIANS(35.7687))*COS(RADIANS(F159))*SIN(RADIANS(G159-(-78.6775))/2)^2))</x:f>
        <x:v>1.0548826649785712</x:v>
      </x:c>
      <x:c r="S159" s="1" t="str">
        <x:f>IF(R159&lt;=1,"0–1 mi",IF(R159&lt;=3,"&gt;1–3 mi",IF(R159&lt;=5,"&gt;3–5 mi","Outside 5 mi")))</x:f>
        <x:v>&gt;1–3 mi</x:v>
      </x:c>
      <x:c r="T159" s="7" t="n">
        <x:f>2*3958.7613*ASIN(SQRT(SIN(RADIANS(F159-35.79847)/2)^2+COS(RADIANS(35.79847))*COS(RADIANS(F159))*SIN(RADIANS(G159-(-78.70408))/2)^2))</x:f>
        <x:v>1.4852810273288077</x:v>
      </x:c>
      <x:c r="U159" s="1" t="str">
        <x:f>IF(T159&lt;=1,"0–1 mi",IF(T159&lt;=3,"&gt;1–3 mi",IF(T159&lt;=5,"&gt;3–5 mi","Outside 5 mi")))</x:f>
        <x:v>&gt;1–3 mi</x:v>
      </x:c>
      <x:c r="V159" s="1" t="n">
        <x:f>IF(MIN(P159,R159,T159)&lt;=5,1,0)</x:f>
        <x:v>1</x:v>
      </x:c>
      <x:c r="W159" s="6" t="n">
        <x:f>IF(O159=1,(H159+I159)/2,"")</x:f>
        <x:v>2495</x:v>
      </x:c>
      <x:c r="X159" s="1" t="n">
        <x:f>O159*V159</x:f>
        <x:v>1</x:v>
      </x:c>
      <x:c r="Y159" s="1" t="n">
        <x:v>0</x:v>
      </x:c>
      <x:c r="Z159" s="1" t="n">
        <x:v>0</x:v>
      </x:c>
      <x:c r="AA159" s="1" t="n">
        <x:v>0</x:v>
      </x:c>
      <x:c r="AB159" s="1" t="n">
        <x:v>0</x:v>
      </x:c>
      <x:c r="AC159" s="1" t="n">
        <x:v>0</x:v>
      </x:c>
      <x:c r="AD159" s="1" t="str">
        <x:f>IF('Raw properties'!Y159="","",'Raw properties'!Y159)</x:f>
        <x:v>12 Month Lease</x:v>
      </x:c>
      <x:c r="AE159" s="1" t="str">
        <x:v>2026-06-01</x:v>
      </x:c>
      <x:c r="AF159" s="1" t="str">
        <x:v>Included in rent means</x:v>
      </x:c>
      <x:c r="AG159" s="5" t="str">
        <x:v>Source pricing flag retained; automated consistency checks passed. This is not independent landlord verification.</x:v>
      </x:c>
      <x:c r="AH159" s="1" t="str">
        <x:v>$2,495</x:v>
      </x:c>
      <x:c r="AI159" s="8" t="n">
        <x:f>MIN(ABS(P159-1),ABS(P159-3),ABS(P159-5))*5280</x:f>
        <x:v>3243.21955009362</x:v>
      </x:c>
      <x:c r="AJ159" s="8" t="n">
        <x:f>MIN(ABS(R159-1),ABS(R159-3),ABS(R159-5))*5280</x:f>
        <x:v>289.7804710868559</x:v>
      </x:c>
      <x:c r="AK159" s="8" t="n">
        <x:f>MIN(ABS(T159-1),ABS(T159-3),ABS(T159-5))*5280</x:f>
        <x:v>2562.2838242961047</x:v>
      </x:c>
      <x:c r="AL159" s="1" t="n">
        <x:f>IF(MIN(AI159,AJ159,AK159)&lt;=100,1,0)</x:f>
        <x:v>0</x:v>
      </x:c>
    </x:row>
    <x:row r="160" ht="15" hidden="0" customHeight="1">
      <x:c r="A160" s="1" t="str">
        <x:f>IF('Raw properties'!A160="","",'Raw properties'!A160)</x:f>
        <x:v>ocpkrnvkk8</x:v>
      </x:c>
      <x:c r="B160" s="1" t="str">
        <x:f>IF('Raw properties'!D160="","",'Raw properties'!D160)</x:f>
        <x:v>The Hub Raleigh</x:v>
      </x:c>
      <x:c r="C160" s="1" t="str">
        <x:f>IF('Raw properties'!AG160="","",'Raw properties'!AG160)</x:f>
        <x:v>https://offcampus.dasa.ncsu.edu/housing/property/the-hub-raleigh/ocpkrnvkk8</x:v>
      </x:c>
      <x:c r="D160" s="1" t="str">
        <x:v>Whole unit</x:v>
      </x:c>
      <x:c r="E160" s="1" t="str">
        <x:v>Whole unit</x:v>
      </x:c>
      <x:c r="F160" s="7" t="n">
        <x:f>IF('Raw properties'!I160="","",'Raw properties'!I160)</x:f>
        <x:v>35.785129</x:v>
      </x:c>
      <x:c r="G160" s="7" t="n">
        <x:f>IF('Raw properties'!J160="","",'Raw properties'!J160)</x:f>
        <x:v>-78.66049</x:v>
      </x:c>
      <x:c r="H160" s="6" t="n">
        <x:f>IF('Raw properties'!M160="","",'Raw properties'!M160)</x:f>
        <x:v>1500</x:v>
      </x:c>
      <x:c r="I160" s="6" t="n">
        <x:f>IF('Raw properties'!N160="","",'Raw properties'!N160)</x:f>
        <x:v>1500</x:v>
      </x:c>
      <x:c r="J160" s="6" t="n">
        <x:f>IF((IF('Raw floorplans'!H528&gt;0,1,0))=0,"",MIN(IF('Raw floorplans'!H528&gt;0,'Raw floorplans'!H528,1E99)))</x:f>
        <x:v>1500</x:v>
      </x:c>
      <x:c r="K160" s="6" t="n">
        <x:f>IF((IF('Raw floorplans'!I528&gt;0,1,0))=0,"",MAX(IF('Raw floorplans'!I528&gt;0,'Raw floorplans'!I528,0)))</x:f>
        <x:v>1500</x:v>
      </x:c>
      <x:c r="L160" s="1" t="n">
        <x:v>0</x:v>
      </x:c>
      <x:c r="M160" s="1" t="n">
        <x:f>IF(AND(ISNUMBER(H160),ISNUMBER(I160),ISNUMBER(J160),ISNUMBER(K160),H160&gt;0,I160&gt;0),IF(OR(H160&lt;&gt;J160,I160&lt;&gt;K160),1,0),0)</x:f>
        <x:v>0</x:v>
      </x:c>
      <x:c r="N160" s="1" t="n">
        <x:f>IF(AND(ISNUMBER(H160),ISNUMBER(I160),H160&gt;0,I160&gt;=H160),1,0)</x:f>
        <x:v>1</x:v>
      </x:c>
      <x:c r="O160" s="1" t="n">
        <x:f>IF(AND(L160=0,M160=0,N160=1),1,0)</x:f>
        <x:v>1</x:v>
      </x:c>
      <x:c r="P160" s="7" t="n">
        <x:f>2*3958.7613*ASIN(SQRT(SIN(RADIANS(F160-35.77951)/2)^2+COS(RADIANS(35.77951))*COS(RADIANS(F160))*SIN(RADIANS(G160-(-78.68168))/2)^2))</x:f>
        <x:v>1.249575868352818</x:v>
      </x:c>
      <x:c r="Q160" s="1" t="str">
        <x:f>IF(P160&lt;=1,"0–1 mi",IF(P160&lt;=3,"&gt;1–3 mi",IF(P160&lt;=5,"&gt;3–5 mi","Outside 5 mi")))</x:f>
        <x:v>&gt;1–3 mi</x:v>
      </x:c>
      <x:c r="R160" s="7" t="n">
        <x:f>2*3958.7613*ASIN(SQRT(SIN(RADIANS(F160-35.7687)/2)^2+COS(RADIANS(35.7687))*COS(RADIANS(F160))*SIN(RADIANS(G160-(-78.6775))/2)^2))</x:f>
        <x:v>1.482464724394003</x:v>
      </x:c>
      <x:c r="S160" s="1" t="str">
        <x:f>IF(R160&lt;=1,"0–1 mi",IF(R160&lt;=3,"&gt;1–3 mi",IF(R160&lt;=5,"&gt;3–5 mi","Outside 5 mi")))</x:f>
        <x:v>&gt;1–3 mi</x:v>
      </x:c>
      <x:c r="T160" s="7" t="n">
        <x:f>2*3958.7613*ASIN(SQRT(SIN(RADIANS(F160-35.79847)/2)^2+COS(RADIANS(35.79847))*COS(RADIANS(F160))*SIN(RADIANS(G160-(-78.70408))/2)^2))</x:f>
        <x:v>2.6111140959025367</x:v>
      </x:c>
      <x:c r="U160" s="1" t="str">
        <x:f>IF(T160&lt;=1,"0–1 mi",IF(T160&lt;=3,"&gt;1–3 mi",IF(T160&lt;=5,"&gt;3–5 mi","Outside 5 mi")))</x:f>
        <x:v>&gt;1–3 mi</x:v>
      </x:c>
      <x:c r="V160" s="1" t="n">
        <x:f>IF(MIN(P160,R160,T160)&lt;=5,1,0)</x:f>
        <x:v>1</x:v>
      </x:c>
      <x:c r="W160" s="6" t="n">
        <x:f>IF(O160=1,(H160+I160)/2,"")</x:f>
        <x:v>1500</x:v>
      </x:c>
      <x:c r="X160" s="1" t="n">
        <x:f>O160*V160</x:f>
        <x:v>1</x:v>
      </x:c>
      <x:c r="Y160" s="1" t="n">
        <x:v>0</x:v>
      </x:c>
      <x:c r="Z160" s="1" t="n">
        <x:v>0</x:v>
      </x:c>
      <x:c r="AA160" s="1" t="n">
        <x:v>0</x:v>
      </x:c>
      <x:c r="AB160" s="1" t="n">
        <x:v>0</x:v>
      </x:c>
      <x:c r="AC160" s="1" t="n">
        <x:v>0</x:v>
      </x:c>
      <x:c r="AD160" s="1" t="str">
        <x:f>IF('Raw properties'!Y160="","",'Raw properties'!Y160)</x:f>
        <x:v>12 Month Lease</x:v>
      </x:c>
      <x:c r="AE160" s="1" t="str">
        <x:v>1970-01-01</x:v>
      </x:c>
      <x:c r="AF160" s="1" t="str">
        <x:v>Included in rent means</x:v>
      </x:c>
      <x:c r="AG160" s="5" t="str">
        <x:v>Source pricing flag retained; automated consistency checks passed. This is not independent landlord verification.</x:v>
      </x:c>
      <x:c r="AH160" s="1" t="str">
        <x:v>$1,500</x:v>
      </x:c>
      <x:c r="AI160" s="8" t="n">
        <x:f>MIN(ABS(P160-1),ABS(P160-3),ABS(P160-5))*5280</x:f>
        <x:v>1317.760584902879</x:v>
      </x:c>
      <x:c r="AJ160" s="8" t="n">
        <x:f>MIN(ABS(R160-1),ABS(R160-3),ABS(R160-5))*5280</x:f>
        <x:v>2547.4137448003357</x:v>
      </x:c>
      <x:c r="AK160" s="8" t="n">
        <x:f>MIN(ABS(T160-1),ABS(T160-3),ABS(T160-5))*5280</x:f>
        <x:v>2053.317573634606</x:v>
      </x:c>
      <x:c r="AL160" s="1" t="n">
        <x:f>IF(MIN(AI160,AJ160,AK160)&lt;=100,1,0)</x:f>
        <x:v>0</x:v>
      </x:c>
    </x:row>
    <x:row r="161" ht="15" hidden="0" customHeight="1">
      <x:c r="A161" s="1" t="str">
        <x:f>IF('Raw properties'!A161="","",'Raw properties'!A161)</x:f>
        <x:v>ocpq292qyw</x:v>
      </x:c>
      <x:c r="B161" s="1" t="str">
        <x:f>IF('Raw properties'!D161="","",'Raw properties'!D161)</x:f>
        <x:v>1st Month FREE!</x:v>
      </x:c>
      <x:c r="C161" s="1" t="str">
        <x:f>IF('Raw properties'!AG161="","",'Raw properties'!AG161)</x:f>
        <x:v>https://offcampus.dasa.ncsu.edu/housing/property/1st-month-free/ocpq292qyw</x:v>
      </x:c>
      <x:c r="D161" s="1" t="str">
        <x:v>Per bedroom</x:v>
      </x:c>
      <x:c r="E161" s="1" t="str">
        <x:v>Per bedroom</x:v>
      </x:c>
      <x:c r="F161" s="7" t="n">
        <x:f>IF('Raw properties'!I161="","",'Raw properties'!I161)</x:f>
        <x:v>35.749033</x:v>
      </x:c>
      <x:c r="G161" s="7" t="n">
        <x:f>IF('Raw properties'!J161="","",'Raw properties'!J161)</x:f>
        <x:v>-78.693983</x:v>
      </x:c>
      <x:c r="H161" s="6" t="n">
        <x:f>IF('Raw properties'!M161="","",'Raw properties'!M161)</x:f>
        <x:v>625</x:v>
      </x:c>
      <x:c r="I161" s="6" t="n">
        <x:f>IF('Raw properties'!N161="","",'Raw properties'!N161)</x:f>
        <x:v>625</x:v>
      </x:c>
      <x:c r="J161" s="6" t="n">
        <x:f>IF((IF('Raw floorplans'!H529&gt;0,1,0))=0,"",MIN(IF('Raw floorplans'!H529&gt;0,'Raw floorplans'!H529,1E99)))</x:f>
        <x:v>625</x:v>
      </x:c>
      <x:c r="K161" s="6" t="n">
        <x:f>IF((IF('Raw floorplans'!I529&gt;0,1,0))=0,"",MAX(IF('Raw floorplans'!I529&gt;0,'Raw floorplans'!I529,0)))</x:f>
        <x:v>625</x:v>
      </x:c>
      <x:c r="L161" s="1" t="n">
        <x:v>0</x:v>
      </x:c>
      <x:c r="M161" s="1" t="n">
        <x:f>IF(AND(ISNUMBER(H161),ISNUMBER(I161),ISNUMBER(J161),ISNUMBER(K161),H161&gt;0,I161&gt;0),IF(OR(H161&lt;&gt;J161,I161&lt;&gt;K161),1,0),0)</x:f>
        <x:v>0</x:v>
      </x:c>
      <x:c r="N161" s="1" t="n">
        <x:f>IF(AND(ISNUMBER(H161),ISNUMBER(I161),H161&gt;0,I161&gt;=H161),1,0)</x:f>
        <x:v>1</x:v>
      </x:c>
      <x:c r="O161" s="1" t="n">
        <x:f>IF(AND(L161=0,M161=0,N161=1),1,0)</x:f>
        <x:v>1</x:v>
      </x:c>
      <x:c r="P161" s="7" t="n">
        <x:f>2*3958.7613*ASIN(SQRT(SIN(RADIANS(F161-35.77951)/2)^2+COS(RADIANS(35.77951))*COS(RADIANS(F161))*SIN(RADIANS(G161-(-78.68168))/2)^2))</x:f>
        <x:v>2.215850713288775</x:v>
      </x:c>
      <x:c r="Q161" s="1" t="str">
        <x:f>IF(P161&lt;=1,"0–1 mi",IF(P161&lt;=3,"&gt;1–3 mi",IF(P161&lt;=5,"&gt;3–5 mi","Outside 5 mi")))</x:f>
        <x:v>&gt;1–3 mi</x:v>
      </x:c>
      <x:c r="R161" s="7" t="n">
        <x:f>2*3958.7613*ASIN(SQRT(SIN(RADIANS(F161-35.7687)/2)^2+COS(RADIANS(35.7687))*COS(RADIANS(F161))*SIN(RADIANS(G161-(-78.6775))/2)^2))</x:f>
        <x:v>1.6433485796722105</x:v>
      </x:c>
      <x:c r="S161" s="1" t="str">
        <x:f>IF(R161&lt;=1,"0–1 mi",IF(R161&lt;=3,"&gt;1–3 mi",IF(R161&lt;=5,"&gt;3–5 mi","Outside 5 mi")))</x:f>
        <x:v>&gt;1–3 mi</x:v>
      </x:c>
      <x:c r="T161" s="7" t="n">
        <x:f>2*3958.7613*ASIN(SQRT(SIN(RADIANS(F161-35.79847)/2)^2+COS(RADIANS(35.79847))*COS(RADIANS(F161))*SIN(RADIANS(G161-(-78.70408))/2)^2))</x:f>
        <x:v>3.4623498111686772</x:v>
      </x:c>
      <x:c r="U161" s="1" t="str">
        <x:f>IF(T161&lt;=1,"0–1 mi",IF(T161&lt;=3,"&gt;1–3 mi",IF(T161&lt;=5,"&gt;3–5 mi","Outside 5 mi")))</x:f>
        <x:v>&gt;3–5 mi</x:v>
      </x:c>
      <x:c r="V161" s="1" t="n">
        <x:f>IF(MIN(P161,R161,T161)&lt;=5,1,0)</x:f>
        <x:v>1</x:v>
      </x:c>
      <x:c r="W161" s="6" t="n">
        <x:f>IF(O161=1,(H161+I161)/2,"")</x:f>
        <x:v>625</x:v>
      </x:c>
      <x:c r="X161" s="1" t="n">
        <x:f>O161*V161</x:f>
        <x:v>1</x:v>
      </x:c>
      <x:c r="Y161" s="1" t="n">
        <x:v>0</x:v>
      </x:c>
      <x:c r="Z161" s="1" t="n">
        <x:v>0</x:v>
      </x:c>
      <x:c r="AA161" s="1" t="n">
        <x:v>0</x:v>
      </x:c>
      <x:c r="AB161" s="1" t="n">
        <x:v>0</x:v>
      </x:c>
      <x:c r="AC161" s="1" t="n">
        <x:v>0</x:v>
      </x:c>
      <x:c r="AD161" s="1" t="str">
        <x:f>IF('Raw properties'!Y161="","",'Raw properties'!Y161)</x:f>
        <x:v>6 Month Lease</x:v>
      </x:c>
      <x:c r="AE161" s="1" t="str">
        <x:v>1970-01-01</x:v>
      </x:c>
      <x:c r="AF161" s="1" t="str">
        <x:v>Included in rent means</x:v>
      </x:c>
      <x:c r="AG161" s="5" t="str">
        <x:v>Source pricing flag retained; automated consistency checks passed. This is not independent landlord verification.</x:v>
      </x:c>
      <x:c r="AH161" s="1" t="str">
        <x:v>$625</x:v>
      </x:c>
      <x:c r="AI161" s="8" t="n">
        <x:f>MIN(ABS(P161-1),ABS(P161-3),ABS(P161-5))*5280</x:f>
        <x:v>4140.308233835269</x:v>
      </x:c>
      <x:c r="AJ161" s="8" t="n">
        <x:f>MIN(ABS(R161-1),ABS(R161-3),ABS(R161-5))*5280</x:f>
        <x:v>3396.8805006692714</x:v>
      </x:c>
      <x:c r="AK161" s="8" t="n">
        <x:f>MIN(ABS(T161-1),ABS(T161-3),ABS(T161-5))*5280</x:f>
        <x:v>2441.207002970616</x:v>
      </x:c>
      <x:c r="AL161" s="1" t="n">
        <x:f>IF(MIN(AI161,AJ161,AK161)&lt;=100,1,0)</x:f>
        <x:v>0</x:v>
      </x:c>
    </x:row>
    <x:row r="162" ht="15" hidden="0" customHeight="1">
      <x:c r="A162" s="1" t="str">
        <x:f>IF('Raw properties'!A162="","",'Raw properties'!A162)</x:f>
        <x:v>ocpqh8kxbz</x:v>
      </x:c>
      <x:c r="B162" s="1" t="str">
        <x:f>IF('Raw properties'!D162="","",'Raw properties'!D162)</x:f>
        <x:v>Falcon Ridge subdivision</x:v>
      </x:c>
      <x:c r="C162" s="1" t="str">
        <x:f>IF('Raw properties'!AG162="","",'Raw properties'!AG162)</x:f>
        <x:v>https://offcampus.dasa.ncsu.edu/housing/property/falcon-ridge-subdivision/ocpqh8kxbz</x:v>
      </x:c>
      <x:c r="D162" s="1" t="str">
        <x:v>Per bedroom</x:v>
      </x:c>
      <x:c r="E162" s="1" t="str">
        <x:v>Per bedroom</x:v>
      </x:c>
      <x:c r="F162" s="7" t="n">
        <x:f>IF('Raw properties'!I162="","",'Raw properties'!I162)</x:f>
        <x:v>35.775196</x:v>
      </x:c>
      <x:c r="G162" s="7" t="n">
        <x:f>IF('Raw properties'!J162="","",'Raw properties'!J162)</x:f>
        <x:v>-78.693388</x:v>
      </x:c>
      <x:c r="H162" s="6" t="n">
        <x:f>IF('Raw properties'!M162="","",'Raw properties'!M162)</x:f>
        <x:v>650</x:v>
      </x:c>
      <x:c r="I162" s="6" t="n">
        <x:f>IF('Raw properties'!N162="","",'Raw properties'!N162)</x:f>
        <x:v>650</x:v>
      </x:c>
      <x:c r="J162" s="6" t="n">
        <x:f>IF((IF('Raw floorplans'!H530&gt;0,1,0))=0,"",MIN(IF('Raw floorplans'!H530&gt;0,'Raw floorplans'!H530,1E99)))</x:f>
        <x:v>650</x:v>
      </x:c>
      <x:c r="K162" s="6" t="n">
        <x:f>IF((IF('Raw floorplans'!I530&gt;0,1,0))=0,"",MAX(IF('Raw floorplans'!I530&gt;0,'Raw floorplans'!I530,0)))</x:f>
        <x:v>650</x:v>
      </x:c>
      <x:c r="L162" s="1" t="n">
        <x:v>0</x:v>
      </x:c>
      <x:c r="M162" s="1" t="n">
        <x:f>IF(AND(ISNUMBER(H162),ISNUMBER(I162),ISNUMBER(J162),ISNUMBER(K162),H162&gt;0,I162&gt;0),IF(OR(H162&lt;&gt;J162,I162&lt;&gt;K162),1,0),0)</x:f>
        <x:v>0</x:v>
      </x:c>
      <x:c r="N162" s="1" t="n">
        <x:f>IF(AND(ISNUMBER(H162),ISNUMBER(I162),H162&gt;0,I162&gt;=H162),1,0)</x:f>
        <x:v>1</x:v>
      </x:c>
      <x:c r="O162" s="1" t="n">
        <x:f>IF(AND(L162=0,M162=0,N162=1),1,0)</x:f>
        <x:v>1</x:v>
      </x:c>
      <x:c r="P162" s="7" t="n">
        <x:f>2*3958.7613*ASIN(SQRT(SIN(RADIANS(F162-35.77951)/2)^2+COS(RADIANS(35.77951))*COS(RADIANS(F162))*SIN(RADIANS(G162-(-78.68168))/2)^2))</x:f>
        <x:v>0.7208095757678259</x:v>
      </x:c>
      <x:c r="Q162" s="1" t="str">
        <x:f>IF(P162&lt;=1,"0–1 mi",IF(P162&lt;=3,"&gt;1–3 mi",IF(P162&lt;=5,"&gt;3–5 mi","Outside 5 mi")))</x:f>
        <x:v>0–1 mi</x:v>
      </x:c>
      <x:c r="R162" s="7" t="n">
        <x:f>2*3958.7613*ASIN(SQRT(SIN(RADIANS(F162-35.7687)/2)^2+COS(RADIANS(35.7687))*COS(RADIANS(F162))*SIN(RADIANS(G162-(-78.6775))/2)^2))</x:f>
        <x:v>0.9973628498469788</x:v>
      </x:c>
      <x:c r="S162" s="1" t="str">
        <x:f>IF(R162&lt;=1,"0–1 mi",IF(R162&lt;=3,"&gt;1–3 mi",IF(R162&lt;=5,"&gt;3–5 mi","Outside 5 mi")))</x:f>
        <x:v>0–1 mi</x:v>
      </x:c>
      <x:c r="T162" s="7" t="n">
        <x:f>2*3958.7613*ASIN(SQRT(SIN(RADIANS(F162-35.79847)/2)^2+COS(RADIANS(35.79847))*COS(RADIANS(F162))*SIN(RADIANS(G162-(-78.70408))/2)^2))</x:f>
        <x:v>1.71611383757462</x:v>
      </x:c>
      <x:c r="U162" s="1" t="str">
        <x:f>IF(T162&lt;=1,"0–1 mi",IF(T162&lt;=3,"&gt;1–3 mi",IF(T162&lt;=5,"&gt;3–5 mi","Outside 5 mi")))</x:f>
        <x:v>&gt;1–3 mi</x:v>
      </x:c>
      <x:c r="V162" s="1" t="n">
        <x:f>IF(MIN(P162,R162,T162)&lt;=5,1,0)</x:f>
        <x:v>1</x:v>
      </x:c>
      <x:c r="W162" s="6" t="n">
        <x:f>IF(O162=1,(H162+I162)/2,"")</x:f>
        <x:v>650</x:v>
      </x:c>
      <x:c r="X162" s="1" t="n">
        <x:f>O162*V162</x:f>
        <x:v>1</x:v>
      </x:c>
      <x:c r="Y162" s="1" t="n">
        <x:v>0</x:v>
      </x:c>
      <x:c r="Z162" s="1" t="n">
        <x:v>0</x:v>
      </x:c>
      <x:c r="AA162" s="1" t="n">
        <x:v>0</x:v>
      </x:c>
      <x:c r="AB162" s="1" t="n">
        <x:v>0</x:v>
      </x:c>
      <x:c r="AC162" s="1" t="n">
        <x:v>1</x:v>
      </x:c>
      <x:c r="AD162" s="1" t="str">
        <x:f>IF('Raw properties'!Y162="","",'Raw properties'!Y162)</x:f>
        <x:v>11 Month Lease</x:v>
      </x:c>
      <x:c r="AE162" s="1" t="str">
        <x:v>2026-09-01</x:v>
      </x:c>
      <x:c r="AF162" s="1" t="str">
        <x:v>Included in rent means</x:v>
      </x:c>
      <x:c r="AG162" s="5" t="str">
        <x:v>Source pricing flag retained; automated consistency checks passed. This is not independent landlord verification.</x:v>
      </x:c>
      <x:c r="AH162" s="1" t="str">
        <x:v>$650</x:v>
      </x:c>
      <x:c r="AI162" s="8" t="n">
        <x:f>MIN(ABS(P162-1),ABS(P162-3),ABS(P162-5))*5280</x:f>
        <x:v>1474.1254399458792</x:v>
      </x:c>
      <x:c r="AJ162" s="8" t="n">
        <x:f>MIN(ABS(R162-1),ABS(R162-3),ABS(R162-5))*5280</x:f>
        <x:v>13.924152807952144</x:v>
      </x:c>
      <x:c r="AK162" s="8" t="n">
        <x:f>MIN(ABS(T162-1),ABS(T162-3),ABS(T162-5))*5280</x:f>
        <x:v>3781.081062393994</x:v>
      </x:c>
      <x:c r="AL162" s="1" t="n">
        <x:f>IF(MIN(AI162,AJ162,AK162)&lt;=100,1,0)</x:f>
        <x:v>1</x:v>
      </x:c>
    </x:row>
    <x:row r="163" ht="15" hidden="0" customHeight="1">
      <x:c r="A163" s="1" t="str">
        <x:f>IF('Raw properties'!A163="","",'Raw properties'!A163)</x:f>
        <x:v>ocpqfg7r3z</x:v>
      </x:c>
      <x:c r="B163" s="1" t="str">
        <x:f>IF('Raw properties'!D163="","",'Raw properties'!D163)</x:f>
        <x:v>University Commons PRELEASING FOR 2026-2027</x:v>
      </x:c>
      <x:c r="C163" s="1" t="str">
        <x:f>IF('Raw properties'!AG163="","",'Raw properties'!AG163)</x:f>
        <x:v>https://offcampus.dasa.ncsu.edu/housing/property/university-commons-preleasing-for-2026-2027/ocpqfg7r3z</x:v>
      </x:c>
      <x:c r="D163" s="1" t="str">
        <x:v>Whole unit</x:v>
      </x:c>
      <x:c r="E163" s="1" t="str">
        <x:v>Whole unit</x:v>
      </x:c>
      <x:c r="F163" s="7" t="n">
        <x:f>IF('Raw properties'!I163="","",'Raw properties'!I163)</x:f>
        <x:v>35.772759</x:v>
      </x:c>
      <x:c r="G163" s="7" t="n">
        <x:f>IF('Raw properties'!J163="","",'Raw properties'!J163)</x:f>
        <x:v>-78.69035</x:v>
      </x:c>
      <x:c r="H163" s="6" t="n">
        <x:f>IF('Raw properties'!M163="","",'Raw properties'!M163)</x:f>
        <x:v>2200</x:v>
      </x:c>
      <x:c r="I163" s="6" t="n">
        <x:f>IF('Raw properties'!N163="","",'Raw properties'!N163)</x:f>
        <x:v>2700</x:v>
      </x:c>
      <x:c r="J163" s="6" t="n">
        <x:f>IF((IF('Raw floorplans'!H531&gt;0,1,0))=0,"",MIN(IF('Raw floorplans'!H531&gt;0,'Raw floorplans'!H531,1E99)))</x:f>
        <x:v>2200</x:v>
      </x:c>
      <x:c r="K163" s="6" t="n">
        <x:f>IF((IF('Raw floorplans'!I531&gt;0,1,0))=0,"",MAX(IF('Raw floorplans'!I531&gt;0,'Raw floorplans'!I531,0)))</x:f>
        <x:v>2700</x:v>
      </x:c>
      <x:c r="L163" s="1" t="n">
        <x:v>0</x:v>
      </x:c>
      <x:c r="M163" s="1" t="n">
        <x:f>IF(AND(ISNUMBER(H163),ISNUMBER(I163),ISNUMBER(J163),ISNUMBER(K163),H163&gt;0,I163&gt;0),IF(OR(H163&lt;&gt;J163,I163&lt;&gt;K163),1,0),0)</x:f>
        <x:v>0</x:v>
      </x:c>
      <x:c r="N163" s="1" t="n">
        <x:f>IF(AND(ISNUMBER(H163),ISNUMBER(I163),H163&gt;0,I163&gt;=H163),1,0)</x:f>
        <x:v>1</x:v>
      </x:c>
      <x:c r="O163" s="1" t="n">
        <x:f>IF(AND(L163=0,M163=0,N163=1),1,0)</x:f>
        <x:v>1</x:v>
      </x:c>
      <x:c r="P163" s="7" t="n">
        <x:f>2*3958.7613*ASIN(SQRT(SIN(RADIANS(F163-35.77951)/2)^2+COS(RADIANS(35.77951))*COS(RADIANS(F163))*SIN(RADIANS(G163-(-78.68168))/2)^2))</x:f>
        <x:v>0.6736294824903986</x:v>
      </x:c>
      <x:c r="Q163" s="1" t="str">
        <x:f>IF(P163&lt;=1,"0–1 mi",IF(P163&lt;=3,"&gt;1–3 mi",IF(P163&lt;=5,"&gt;3–5 mi","Outside 5 mi")))</x:f>
        <x:v>0–1 mi</x:v>
      </x:c>
      <x:c r="R163" s="7" t="n">
        <x:f>2*3958.7613*ASIN(SQRT(SIN(RADIANS(F163-35.7687)/2)^2+COS(RADIANS(35.7687))*COS(RADIANS(F163))*SIN(RADIANS(G163-(-78.6775))/2)^2))</x:f>
        <x:v>0.7730350658445482</x:v>
      </x:c>
      <x:c r="S163" s="1" t="str">
        <x:f>IF(R163&lt;=1,"0–1 mi",IF(R163&lt;=3,"&gt;1–3 mi",IF(R163&lt;=5,"&gt;3–5 mi","Outside 5 mi")))</x:f>
        <x:v>0–1 mi</x:v>
      </x:c>
      <x:c r="T163" s="7" t="n">
        <x:f>2*3958.7613*ASIN(SQRT(SIN(RADIANS(F163-35.79847)/2)^2+COS(RADIANS(35.79847))*COS(RADIANS(F163))*SIN(RADIANS(G163-(-78.70408))/2)^2))</x:f>
        <x:v>1.9359833354120688</x:v>
      </x:c>
      <x:c r="U163" s="1" t="str">
        <x:f>IF(T163&lt;=1,"0–1 mi",IF(T163&lt;=3,"&gt;1–3 mi",IF(T163&lt;=5,"&gt;3–5 mi","Outside 5 mi")))</x:f>
        <x:v>&gt;1–3 mi</x:v>
      </x:c>
      <x:c r="V163" s="1" t="n">
        <x:f>IF(MIN(P163,R163,T163)&lt;=5,1,0)</x:f>
        <x:v>1</x:v>
      </x:c>
      <x:c r="W163" s="6" t="n">
        <x:f>IF(O163=1,(H163+I163)/2,"")</x:f>
        <x:v>2450</x:v>
      </x:c>
      <x:c r="X163" s="1" t="n">
        <x:f>O163*V163</x:f>
        <x:v>1</x:v>
      </x:c>
      <x:c r="Y163" s="1" t="n">
        <x:v>0</x:v>
      </x:c>
      <x:c r="Z163" s="1" t="n">
        <x:v>0</x:v>
      </x:c>
      <x:c r="AA163" s="1" t="n">
        <x:v>0</x:v>
      </x:c>
      <x:c r="AB163" s="1" t="n">
        <x:v>0</x:v>
      </x:c>
      <x:c r="AC163" s="1" t="n">
        <x:v>0</x:v>
      </x:c>
      <x:c r="AD163" s="1" t="str">
        <x:f>IF('Raw properties'!Y163="","",'Raw properties'!Y163)</x:f>
        <x:v>12 Month Lease</x:v>
      </x:c>
      <x:c r="AE163" s="1" t="str">
        <x:v>2026-07-20</x:v>
      </x:c>
      <x:c r="AF163" s="1" t="str">
        <x:v>Included in rent means</x:v>
      </x:c>
      <x:c r="AG163" s="5" t="str">
        <x:v>Source pricing flag retained; automated consistency checks passed. This is not independent landlord verification.</x:v>
      </x:c>
      <x:c r="AH163" s="1" t="str">
        <x:v>$2,200 - $2,700</x:v>
      </x:c>
      <x:c r="AI163" s="8" t="n">
        <x:f>MIN(ABS(P163-1),ABS(P163-3),ABS(P163-5))*5280</x:f>
        <x:v>1723.2363324506957</x:v>
      </x:c>
      <x:c r="AJ163" s="8" t="n">
        <x:f>MIN(ABS(R163-1),ABS(R163-3),ABS(R163-5))*5280</x:f>
        <x:v>1198.3748523407855</x:v>
      </x:c>
      <x:c r="AK163" s="8" t="n">
        <x:f>MIN(ABS(T163-1),ABS(T163-3),ABS(T163-5))*5280</x:f>
        <x:v>4941.992010975723</x:v>
      </x:c>
      <x:c r="AL163" s="1" t="n">
        <x:f>IF(MIN(AI163,AJ163,AK163)&lt;=100,1,0)</x:f>
        <x:v>0</x:v>
      </x:c>
    </x:row>
    <x:row r="164" ht="15" hidden="0" customHeight="1">
      <x:c r="A164" s="1" t="str">
        <x:f>IF('Raw properties'!A164="","",'Raw properties'!A164)</x:f>
        <x:v>ocpqsb7fkz</x:v>
      </x:c>
      <x:c r="B164" s="1" t="str">
        <x:f>IF('Raw properties'!D164="","",'Raw properties'!D164)</x:f>
        <x:v>TWO BEDROOM TOWNHOUSE IN EXCELLENT CONDITION</x:v>
      </x:c>
      <x:c r="C164" s="1" t="str">
        <x:f>IF('Raw properties'!AG164="","",'Raw properties'!AG164)</x:f>
        <x:v>https://offcampus.dasa.ncsu.edu/housing/property/two-bedroom-townhouse-in-excellent-condition/ocpqsb7fkz</x:v>
      </x:c>
      <x:c r="D164" s="1" t="str">
        <x:v>Whole unit</x:v>
      </x:c>
      <x:c r="E164" s="1" t="str">
        <x:v>Whole unit</x:v>
      </x:c>
      <x:c r="F164" s="7" t="n">
        <x:f>IF('Raw properties'!I164="","",'Raw properties'!I164)</x:f>
        <x:v>35.774959</x:v>
      </x:c>
      <x:c r="G164" s="7" t="n">
        <x:f>IF('Raw properties'!J164="","",'Raw properties'!J164)</x:f>
        <x:v>-78.693428</x:v>
      </x:c>
      <x:c r="H164" s="6" t="n">
        <x:f>IF('Raw properties'!M164="","",'Raw properties'!M164)</x:f>
        <x:v>1550</x:v>
      </x:c>
      <x:c r="I164" s="6" t="n">
        <x:f>IF('Raw properties'!N164="","",'Raw properties'!N164)</x:f>
        <x:v>1550</x:v>
      </x:c>
      <x:c r="J164" s="6" t="n">
        <x:f>IF((IF('Raw floorplans'!H532&gt;0,1,0))=0,"",MIN(IF('Raw floorplans'!H532&gt;0,'Raw floorplans'!H532,1E99)))</x:f>
        <x:v>1550</x:v>
      </x:c>
      <x:c r="K164" s="6" t="n">
        <x:f>IF((IF('Raw floorplans'!I532&gt;0,1,0))=0,"",MAX(IF('Raw floorplans'!I532&gt;0,'Raw floorplans'!I532,0)))</x:f>
        <x:v>1550</x:v>
      </x:c>
      <x:c r="L164" s="1" t="n">
        <x:v>0</x:v>
      </x:c>
      <x:c r="M164" s="1" t="n">
        <x:f>IF(AND(ISNUMBER(H164),ISNUMBER(I164),ISNUMBER(J164),ISNUMBER(K164),H164&gt;0,I164&gt;0),IF(OR(H164&lt;&gt;J164,I164&lt;&gt;K164),1,0),0)</x:f>
        <x:v>0</x:v>
      </x:c>
      <x:c r="N164" s="1" t="n">
        <x:f>IF(AND(ISNUMBER(H164),ISNUMBER(I164),H164&gt;0,I164&gt;=H164),1,0)</x:f>
        <x:v>1</x:v>
      </x:c>
      <x:c r="O164" s="1" t="n">
        <x:f>IF(AND(L164=0,M164=0,N164=1),1,0)</x:f>
        <x:v>1</x:v>
      </x:c>
      <x:c r="P164" s="7" t="n">
        <x:f>2*3958.7613*ASIN(SQRT(SIN(RADIANS(F164-35.77951)/2)^2+COS(RADIANS(35.77951))*COS(RADIANS(F164))*SIN(RADIANS(G164-(-78.68168))/2)^2))</x:f>
        <x:v>0.7297573871834194</x:v>
      </x:c>
      <x:c r="Q164" s="1" t="str">
        <x:f>IF(P164&lt;=1,"0–1 mi",IF(P164&lt;=3,"&gt;1–3 mi",IF(P164&lt;=5,"&gt;3–5 mi","Outside 5 mi")))</x:f>
        <x:v>0–1 mi</x:v>
      </x:c>
      <x:c r="R164" s="7" t="n">
        <x:f>2*3958.7613*ASIN(SQRT(SIN(RADIANS(F164-35.7687)/2)^2+COS(RADIANS(35.7687))*COS(RADIANS(F164))*SIN(RADIANS(G164-(-78.6775))/2)^2))</x:f>
        <x:v>0.9921205802985309</x:v>
      </x:c>
      <x:c r="S164" s="1" t="str">
        <x:f>IF(R164&lt;=1,"0–1 mi",IF(R164&lt;=3,"&gt;1–3 mi",IF(R164&lt;=5,"&gt;3–5 mi","Outside 5 mi")))</x:f>
        <x:v>0–1 mi</x:v>
      </x:c>
      <x:c r="T164" s="7" t="n">
        <x:f>2*3958.7613*ASIN(SQRT(SIN(RADIANS(F164-35.79847)/2)^2+COS(RADIANS(35.79847))*COS(RADIANS(F164))*SIN(RADIANS(G164-(-78.70408))/2)^2))</x:f>
        <x:v>1.7306932030981024</x:v>
      </x:c>
      <x:c r="U164" s="1" t="str">
        <x:f>IF(T164&lt;=1,"0–1 mi",IF(T164&lt;=3,"&gt;1–3 mi",IF(T164&lt;=5,"&gt;3–5 mi","Outside 5 mi")))</x:f>
        <x:v>&gt;1–3 mi</x:v>
      </x:c>
      <x:c r="V164" s="1" t="n">
        <x:f>IF(MIN(P164,R164,T164)&lt;=5,1,0)</x:f>
        <x:v>1</x:v>
      </x:c>
      <x:c r="W164" s="6" t="n">
        <x:f>IF(O164=1,(H164+I164)/2,"")</x:f>
        <x:v>1550</x:v>
      </x:c>
      <x:c r="X164" s="1" t="n">
        <x:f>O164*V164</x:f>
        <x:v>1</x:v>
      </x:c>
      <x:c r="Y164" s="1" t="n">
        <x:v>0</x:v>
      </x:c>
      <x:c r="Z164" s="1" t="n">
        <x:v>0</x:v>
      </x:c>
      <x:c r="AA164" s="1" t="n">
        <x:v>0</x:v>
      </x:c>
      <x:c r="AB164" s="1" t="n">
        <x:v>0</x:v>
      </x:c>
      <x:c r="AC164" s="1" t="n">
        <x:v>0</x:v>
      </x:c>
      <x:c r="AD164" s="1" t="str">
        <x:f>IF('Raw properties'!Y164="","",'Raw properties'!Y164)</x:f>
        <x:v>12 Month Lease</x:v>
      </x:c>
      <x:c r="AE164" s="1" t="str">
        <x:v>2026-08-02</x:v>
      </x:c>
      <x:c r="AF164" s="1" t="str">
        <x:v>Included in rent means</x:v>
      </x:c>
      <x:c r="AG164" s="5" t="str">
        <x:v>Source pricing flag retained; automated consistency checks passed. This is not independent landlord verification.</x:v>
      </x:c>
      <x:c r="AH164" s="1" t="str">
        <x:v>$1,550</x:v>
      </x:c>
      <x:c r="AI164" s="8" t="n">
        <x:f>MIN(ABS(P164-1),ABS(P164-3),ABS(P164-5))*5280</x:f>
        <x:v>1426.8809956715454</x:v>
      </x:c>
      <x:c r="AJ164" s="8" t="n">
        <x:f>MIN(ABS(R164-1),ABS(R164-3),ABS(R164-5))*5280</x:f>
        <x:v>41.60333602375687</x:v>
      </x:c>
      <x:c r="AK164" s="8" t="n">
        <x:f>MIN(ABS(T164-1),ABS(T164-3),ABS(T164-5))*5280</x:f>
        <x:v>3858.0601123579804</x:v>
      </x:c>
      <x:c r="AL164" s="1" t="n">
        <x:f>IF(MIN(AI164,AJ164,AK164)&lt;=100,1,0)</x:f>
        <x:v>1</x:v>
      </x:c>
    </x:row>
    <x:row r="165" ht="15" hidden="0" customHeight="1">
      <x:c r="A165" s="1" t="str">
        <x:f>IF('Raw properties'!A165="","",'Raw properties'!A165)</x:f>
        <x:v>ocp8d9cwv0</x:v>
      </x:c>
      <x:c r="B165" s="1" t="str">
        <x:f>IF('Raw properties'!D165="","",'Raw properties'!D165)</x:f>
        <x:v>Bright 2 BR, 2 BA unit in vibrant Person St district</x:v>
      </x:c>
      <x:c r="C165" s="1" t="str">
        <x:f>IF('Raw properties'!AG165="","",'Raw properties'!AG165)</x:f>
        <x:v>https://offcampus.dasa.ncsu.edu/housing/property/bright-2-br-2-ba-unit-in-vibrant-person-st-district/ocp8d9cwv0</x:v>
      </x:c>
      <x:c r="D165" s="1" t="str">
        <x:v>Whole unit</x:v>
      </x:c>
      <x:c r="E165" s="1" t="str">
        <x:v>Whole unit</x:v>
      </x:c>
      <x:c r="F165" s="7" t="n">
        <x:f>IF('Raw properties'!I165="","",'Raw properties'!I165)</x:f>
        <x:v>35.789176</x:v>
      </x:c>
      <x:c r="G165" s="7" t="n">
        <x:f>IF('Raw properties'!J165="","",'Raw properties'!J165)</x:f>
        <x:v>-78.634239</x:v>
      </x:c>
      <x:c r="H165" s="6" t="n">
        <x:f>IF('Raw properties'!M165="","",'Raw properties'!M165)</x:f>
        <x:v>1950</x:v>
      </x:c>
      <x:c r="I165" s="6" t="n">
        <x:f>IF('Raw properties'!N165="","",'Raw properties'!N165)</x:f>
        <x:v>1950</x:v>
      </x:c>
      <x:c r="J165" s="6" t="n">
        <x:f>IF((IF('Raw floorplans'!H533&gt;0,1,0))=0,"",MIN(IF('Raw floorplans'!H533&gt;0,'Raw floorplans'!H533,1E99)))</x:f>
        <x:v>1950</x:v>
      </x:c>
      <x:c r="K165" s="6" t="n">
        <x:f>IF((IF('Raw floorplans'!I533&gt;0,1,0))=0,"",MAX(IF('Raw floorplans'!I533&gt;0,'Raw floorplans'!I533,0)))</x:f>
        <x:v>1950</x:v>
      </x:c>
      <x:c r="L165" s="1" t="n">
        <x:v>0</x:v>
      </x:c>
      <x:c r="M165" s="1" t="n">
        <x:f>IF(AND(ISNUMBER(H165),ISNUMBER(I165),ISNUMBER(J165),ISNUMBER(K165),H165&gt;0,I165&gt;0),IF(OR(H165&lt;&gt;J165,I165&lt;&gt;K165),1,0),0)</x:f>
        <x:v>0</x:v>
      </x:c>
      <x:c r="N165" s="1" t="n">
        <x:f>IF(AND(ISNUMBER(H165),ISNUMBER(I165),H165&gt;0,I165&gt;=H165),1,0)</x:f>
        <x:v>1</x:v>
      </x:c>
      <x:c r="O165" s="1" t="n">
        <x:f>IF(AND(L165=0,M165=0,N165=1),1,0)</x:f>
        <x:v>1</x:v>
      </x:c>
      <x:c r="P165" s="7" t="n">
        <x:f>2*3958.7613*ASIN(SQRT(SIN(RADIANS(F165-35.77951)/2)^2+COS(RADIANS(35.77951))*COS(RADIANS(F165))*SIN(RADIANS(G165-(-78.68168))/2)^2))</x:f>
        <x:v>2.7416655227693583</x:v>
      </x:c>
      <x:c r="Q165" s="1" t="str">
        <x:f>IF(P165&lt;=1,"0–1 mi",IF(P165&lt;=3,"&gt;1–3 mi",IF(P165&lt;=5,"&gt;3–5 mi","Outside 5 mi")))</x:f>
        <x:v>&gt;1–3 mi</x:v>
      </x:c>
      <x:c r="R165" s="7" t="n">
        <x:f>2*3958.7613*ASIN(SQRT(SIN(RADIANS(F165-35.7687)/2)^2+COS(RADIANS(35.7687))*COS(RADIANS(F165))*SIN(RADIANS(G165-(-78.6775))/2)^2))</x:f>
        <x:v>2.8074783589268275</x:v>
      </x:c>
      <x:c r="S165" s="1" t="str">
        <x:f>IF(R165&lt;=1,"0–1 mi",IF(R165&lt;=3,"&gt;1–3 mi",IF(R165&lt;=5,"&gt;3–5 mi","Outside 5 mi")))</x:f>
        <x:v>&gt;1–3 mi</x:v>
      </x:c>
      <x:c r="T165" s="7" t="n">
        <x:f>2*3958.7613*ASIN(SQRT(SIN(RADIANS(F165-35.79847)/2)^2+COS(RADIANS(35.79847))*COS(RADIANS(F165))*SIN(RADIANS(G165-(-78.70408))/2)^2))</x:f>
        <x:v>3.966462269159968</x:v>
      </x:c>
      <x:c r="U165" s="1" t="str">
        <x:f>IF(T165&lt;=1,"0–1 mi",IF(T165&lt;=3,"&gt;1–3 mi",IF(T165&lt;=5,"&gt;3–5 mi","Outside 5 mi")))</x:f>
        <x:v>&gt;3–5 mi</x:v>
      </x:c>
      <x:c r="V165" s="1" t="n">
        <x:f>IF(MIN(P165,R165,T165)&lt;=5,1,0)</x:f>
        <x:v>1</x:v>
      </x:c>
      <x:c r="W165" s="6" t="n">
        <x:f>IF(O165=1,(H165+I165)/2,"")</x:f>
        <x:v>1950</x:v>
      </x:c>
      <x:c r="X165" s="1" t="n">
        <x:f>O165*V165</x:f>
        <x:v>1</x:v>
      </x:c>
      <x:c r="Y165" s="1" t="n">
        <x:v>0</x:v>
      </x:c>
      <x:c r="Z165" s="1" t="n">
        <x:v>0</x:v>
      </x:c>
      <x:c r="AA165" s="1" t="n">
        <x:v>0</x:v>
      </x:c>
      <x:c r="AB165" s="1" t="n">
        <x:v>0</x:v>
      </x:c>
      <x:c r="AC165" s="1" t="n">
        <x:v>0</x:v>
      </x:c>
      <x:c r="AD165" s="1" t="str">
        <x:f>IF('Raw properties'!Y165="","",'Raw properties'!Y165)</x:f>
        <x:v>12 Month Lease</x:v>
      </x:c>
      <x:c r="AE165" s="1" t="str">
        <x:v>1970-01-01</x:v>
      </x:c>
      <x:c r="AF165" s="1" t="str">
        <x:v>Included in rent means</x:v>
      </x:c>
      <x:c r="AG165" s="5" t="str">
        <x:v>Source pricing flag retained; automated consistency checks passed. This is not independent landlord verification.</x:v>
      </x:c>
      <x:c r="AH165" s="1" t="str">
        <x:v>$1,950</x:v>
      </x:c>
      <x:c r="AI165" s="8" t="n">
        <x:f>MIN(ABS(P165-1),ABS(P165-3),ABS(P165-5))*5280</x:f>
        <x:v>1364.0060397777884</x:v>
      </x:c>
      <x:c r="AJ165" s="8" t="n">
        <x:f>MIN(ABS(R165-1),ABS(R165-3),ABS(R165-5))*5280</x:f>
        <x:v>1016.5142648663507</x:v>
      </x:c>
      <x:c r="AK165" s="8" t="n">
        <x:f>MIN(ABS(T165-1),ABS(T165-3),ABS(T165-5))*5280</x:f>
        <x:v>5102.920781164631</x:v>
      </x:c>
      <x:c r="AL165" s="1" t="n">
        <x:f>IF(MIN(AI165,AJ165,AK165)&lt;=100,1,0)</x:f>
        <x:v>0</x:v>
      </x:c>
    </x:row>
    <x:row r="166" ht="15" hidden="0" customHeight="1">
      <x:c r="A166" s="1" t="str">
        <x:f>IF('Raw properties'!A166="","",'Raw properties'!A166)</x:f>
        <x:v>ocp9g1mkz6</x:v>
      </x:c>
      <x:c r="B166" s="1" t="str">
        <x:f>IF('Raw properties'!D166="","",'Raw properties'!D166)</x:f>
        <x:v>Stylish Studio Condo on NC State University Campus</x:v>
      </x:c>
      <x:c r="C166" s="1" t="str">
        <x:f>IF('Raw properties'!AG166="","",'Raw properties'!AG166)</x:f>
        <x:v>https://offcampus.dasa.ncsu.edu/housing/property/stylish-studio-condo-on-nc-state-university-campus/ocp9g1mkz6</x:v>
      </x:c>
      <x:c r="D166" s="1" t="str">
        <x:v>Whole unit</x:v>
      </x:c>
      <x:c r="E166" s="1" t="str">
        <x:v>Whole unit</x:v>
      </x:c>
      <x:c r="F166" s="7" t="n">
        <x:f>IF('Raw properties'!I166="","",'Raw properties'!I166)</x:f>
        <x:v>35.773862</x:v>
      </x:c>
      <x:c r="G166" s="7" t="n">
        <x:f>IF('Raw properties'!J166="","",'Raw properties'!J166)</x:f>
        <x:v>-78.682798</x:v>
      </x:c>
      <x:c r="H166" s="6" t="n">
        <x:f>IF('Raw properties'!M166="","",'Raw properties'!M166)</x:f>
        <x:v>1630</x:v>
      </x:c>
      <x:c r="I166" s="6" t="n">
        <x:f>IF('Raw properties'!N166="","",'Raw properties'!N166)</x:f>
        <x:v>1630</x:v>
      </x:c>
      <x:c r="J166" s="6" t="n">
        <x:f>IF((IF('Raw floorplans'!H534&gt;0,1,0))=0,"",MIN(IF('Raw floorplans'!H534&gt;0,'Raw floorplans'!H534,1E99)))</x:f>
        <x:v>1630</x:v>
      </x:c>
      <x:c r="K166" s="6" t="n">
        <x:f>IF((IF('Raw floorplans'!I534&gt;0,1,0))=0,"",MAX(IF('Raw floorplans'!I534&gt;0,'Raw floorplans'!I534,0)))</x:f>
        <x:v>1630</x:v>
      </x:c>
      <x:c r="L166" s="1" t="n">
        <x:v>0</x:v>
      </x:c>
      <x:c r="M166" s="1" t="n">
        <x:f>IF(AND(ISNUMBER(H166),ISNUMBER(I166),ISNUMBER(J166),ISNUMBER(K166),H166&gt;0,I166&gt;0),IF(OR(H166&lt;&gt;J166,I166&lt;&gt;K166),1,0),0)</x:f>
        <x:v>0</x:v>
      </x:c>
      <x:c r="N166" s="1" t="n">
        <x:f>IF(AND(ISNUMBER(H166),ISNUMBER(I166),H166&gt;0,I166&gt;=H166),1,0)</x:f>
        <x:v>1</x:v>
      </x:c>
      <x:c r="O166" s="1" t="n">
        <x:f>IF(AND(L166=0,M166=0,N166=1),1,0)</x:f>
        <x:v>1</x:v>
      </x:c>
      <x:c r="P166" s="7" t="n">
        <x:f>2*3958.7613*ASIN(SQRT(SIN(RADIANS(F166-35.77951)/2)^2+COS(RADIANS(35.77951))*COS(RADIANS(F166))*SIN(RADIANS(G166-(-78.68168))/2)^2))</x:f>
        <x:v>0.39523982604030394</x:v>
      </x:c>
      <x:c r="Q166" s="1" t="str">
        <x:f>IF(P166&lt;=1,"0–1 mi",IF(P166&lt;=3,"&gt;1–3 mi",IF(P166&lt;=5,"&gt;3–5 mi","Outside 5 mi")))</x:f>
        <x:v>0–1 mi</x:v>
      </x:c>
      <x:c r="R166" s="7" t="n">
        <x:f>2*3958.7613*ASIN(SQRT(SIN(RADIANS(F166-35.7687)/2)^2+COS(RADIANS(35.7687))*COS(RADIANS(F166))*SIN(RADIANS(G166-(-78.6775))/2)^2))</x:f>
        <x:v>0.4641305828199769</x:v>
      </x:c>
      <x:c r="S166" s="1" t="str">
        <x:f>IF(R166&lt;=1,"0–1 mi",IF(R166&lt;=3,"&gt;1–3 mi",IF(R166&lt;=5,"&gt;3–5 mi","Outside 5 mi")))</x:f>
        <x:v>0–1 mi</x:v>
      </x:c>
      <x:c r="T166" s="7" t="n">
        <x:f>2*3958.7613*ASIN(SQRT(SIN(RADIANS(F166-35.79847)/2)^2+COS(RADIANS(35.79847))*COS(RADIANS(F166))*SIN(RADIANS(G166-(-78.70408))/2)^2))</x:f>
        <x:v>2.076945886415182</x:v>
      </x:c>
      <x:c r="U166" s="1" t="str">
        <x:f>IF(T166&lt;=1,"0–1 mi",IF(T166&lt;=3,"&gt;1–3 mi",IF(T166&lt;=5,"&gt;3–5 mi","Outside 5 mi")))</x:f>
        <x:v>&gt;1–3 mi</x:v>
      </x:c>
      <x:c r="V166" s="1" t="n">
        <x:f>IF(MIN(P166,R166,T166)&lt;=5,1,0)</x:f>
        <x:v>1</x:v>
      </x:c>
      <x:c r="W166" s="6" t="n">
        <x:f>IF(O166=1,(H166+I166)/2,"")</x:f>
        <x:v>1630</x:v>
      </x:c>
      <x:c r="X166" s="1" t="n">
        <x:f>O166*V166</x:f>
        <x:v>1</x:v>
      </x:c>
      <x:c r="Y166" s="1" t="n">
        <x:v>0</x:v>
      </x:c>
      <x:c r="Z166" s="1" t="n">
        <x:v>0</x:v>
      </x:c>
      <x:c r="AA166" s="1" t="n">
        <x:v>0</x:v>
      </x:c>
      <x:c r="AB166" s="1" t="n">
        <x:v>0</x:v>
      </x:c>
      <x:c r="AC166" s="1" t="n">
        <x:v>0</x:v>
      </x:c>
      <x:c r="AD166" s="1" t="str">
        <x:f>IF('Raw properties'!Y166="","",'Raw properties'!Y166)</x:f>
        <x:v>12 Month Lease</x:v>
      </x:c>
      <x:c r="AE166" s="1" t="str">
        <x:v>1970-01-01</x:v>
      </x:c>
      <x:c r="AF166" s="1" t="str">
        <x:v>Included in rent means</x:v>
      </x:c>
      <x:c r="AG166" s="5" t="str">
        <x:v>Source pricing flag retained; automated consistency checks passed. This is not independent landlord verification.</x:v>
      </x:c>
      <x:c r="AH166" s="1" t="str">
        <x:v>$1,630</x:v>
      </x:c>
      <x:c r="AI166" s="8" t="n">
        <x:f>MIN(ABS(P166-1),ABS(P166-3),ABS(P166-5))*5280</x:f>
        <x:v>3193.133718507195</x:v>
      </x:c>
      <x:c r="AJ166" s="8" t="n">
        <x:f>MIN(ABS(R166-1),ABS(R166-3),ABS(R166-5))*5280</x:f>
        <x:v>2829.390522710522</x:v>
      </x:c>
      <x:c r="AK166" s="8" t="n">
        <x:f>MIN(ABS(T166-1),ABS(T166-3),ABS(T166-5))*5280</x:f>
        <x:v>4873.7257197278395</x:v>
      </x:c>
      <x:c r="AL166" s="1" t="n">
        <x:f>IF(MIN(AI166,AJ166,AK166)&lt;=100,1,0)</x:f>
        <x:v>0</x:v>
      </x:c>
    </x:row>
    <x:row r="167" ht="15" hidden="0" customHeight="1">
      <x:c r="A167" s="1" t="str">
        <x:f>IF('Raw properties'!A167="","",'Raw properties'!A167)</x:f>
        <x:v>ocpeg5yhcm</x:v>
      </x:c>
      <x:c r="B167" s="1" t="str">
        <x:f>IF('Raw properties'!D167="","",'Raw properties'!D167)</x:f>
        <x:v>Avery Close</x:v>
      </x:c>
      <x:c r="C167" s="1" t="str">
        <x:f>IF('Raw properties'!AG167="","",'Raw properties'!AG167)</x:f>
        <x:v>https://offcampus.dasa.ncsu.edu/housing/property/avery-close/ocpeg5yhcm</x:v>
      </x:c>
      <x:c r="D167" s="1" t="str">
        <x:v>Whole unit</x:v>
      </x:c>
      <x:c r="E167" s="1" t="str">
        <x:v>Whole unit</x:v>
      </x:c>
      <x:c r="F167" s="7" t="n">
        <x:f>IF('Raw properties'!I167="","",'Raw properties'!I167)</x:f>
        <x:v>35.774037</x:v>
      </x:c>
      <x:c r="G167" s="7" t="n">
        <x:f>IF('Raw properties'!J167="","",'Raw properties'!J167)</x:f>
        <x:v>-78.683011</x:v>
      </x:c>
      <x:c r="H167" s="6" t="n">
        <x:f>IF('Raw properties'!M167="","",'Raw properties'!M167)</x:f>
        <x:v>1295</x:v>
      </x:c>
      <x:c r="I167" s="6" t="n">
        <x:f>IF('Raw properties'!N167="","",'Raw properties'!N167)</x:f>
        <x:v>1650</x:v>
      </x:c>
      <x:c r="J167" s="6" t="n">
        <x:f>IF((IF('Raw floorplans'!H535&gt;0,1,0)+IF('Raw floorplans'!H536&gt;0,1,0))=0,"",MIN(IF('Raw floorplans'!H535&gt;0,'Raw floorplans'!H535,1E99),IF('Raw floorplans'!H536&gt;0,'Raw floorplans'!H536,1E99)))</x:f>
        <x:v>1295</x:v>
      </x:c>
      <x:c r="K167" s="6" t="n">
        <x:f>IF((IF('Raw floorplans'!I535&gt;0,1,0)+IF('Raw floorplans'!I536&gt;0,1,0))=0,"",MAX(IF('Raw floorplans'!I535&gt;0,'Raw floorplans'!I535,0),IF('Raw floorplans'!I536&gt;0,'Raw floorplans'!I536,0)))</x:f>
        <x:v>1650</x:v>
      </x:c>
      <x:c r="L167" s="1" t="n">
        <x:v>0</x:v>
      </x:c>
      <x:c r="M167" s="1" t="n">
        <x:f>IF(AND(ISNUMBER(H167),ISNUMBER(I167),ISNUMBER(J167),ISNUMBER(K167),H167&gt;0,I167&gt;0),IF(OR(H167&lt;&gt;J167,I167&lt;&gt;K167),1,0),0)</x:f>
        <x:v>0</x:v>
      </x:c>
      <x:c r="N167" s="1" t="n">
        <x:f>IF(AND(ISNUMBER(H167),ISNUMBER(I167),H167&gt;0,I167&gt;=H167),1,0)</x:f>
        <x:v>1</x:v>
      </x:c>
      <x:c r="O167" s="1" t="n">
        <x:f>IF(AND(L167=0,M167=0,N167=1),1,0)</x:f>
        <x:v>1</x:v>
      </x:c>
      <x:c r="P167" s="7" t="n">
        <x:f>2*3958.7613*ASIN(SQRT(SIN(RADIANS(F167-35.77951)/2)^2+COS(RADIANS(35.77951))*COS(RADIANS(F167))*SIN(RADIANS(G167-(-78.68168))/2)^2))</x:f>
        <x:v>0.3854384079264123</x:v>
      </x:c>
      <x:c r="Q167" s="1" t="str">
        <x:f>IF(P167&lt;=1,"0–1 mi",IF(P167&lt;=3,"&gt;1–3 mi",IF(P167&lt;=5,"&gt;3–5 mi","Outside 5 mi")))</x:f>
        <x:v>0–1 mi</x:v>
      </x:c>
      <x:c r="R167" s="7" t="n">
        <x:f>2*3958.7613*ASIN(SQRT(SIN(RADIANS(F167-35.7687)/2)^2+COS(RADIANS(35.7687))*COS(RADIANS(F167))*SIN(RADIANS(G167-(-78.6775))/2)^2))</x:f>
        <x:v>0.4810650599383989</x:v>
      </x:c>
      <x:c r="S167" s="1" t="str">
        <x:f>IF(R167&lt;=1,"0–1 mi",IF(R167&lt;=3,"&gt;1–3 mi",IF(R167&lt;=5,"&gt;3–5 mi","Outside 5 mi")))</x:f>
        <x:v>0–1 mi</x:v>
      </x:c>
      <x:c r="T167" s="7" t="n">
        <x:f>2*3958.7613*ASIN(SQRT(SIN(RADIANS(F167-35.79847)/2)^2+COS(RADIANS(35.79847))*COS(RADIANS(F167))*SIN(RADIANS(G167-(-78.70408))/2)^2))</x:f>
        <x:v>2.0601922551438885</x:v>
      </x:c>
      <x:c r="U167" s="1" t="str">
        <x:f>IF(T167&lt;=1,"0–1 mi",IF(T167&lt;=3,"&gt;1–3 mi",IF(T167&lt;=5,"&gt;3–5 mi","Outside 5 mi")))</x:f>
        <x:v>&gt;1–3 mi</x:v>
      </x:c>
      <x:c r="V167" s="1" t="n">
        <x:f>IF(MIN(P167,R167,T167)&lt;=5,1,0)</x:f>
        <x:v>1</x:v>
      </x:c>
      <x:c r="W167" s="6" t="n">
        <x:f>IF(O167=1,(H167+I167)/2,"")</x:f>
        <x:v>1472.5</x:v>
      </x:c>
      <x:c r="X167" s="1" t="n">
        <x:f>O167*V167</x:f>
        <x:v>1</x:v>
      </x:c>
      <x:c r="Y167" s="1" t="n">
        <x:v>0</x:v>
      </x:c>
      <x:c r="Z167" s="1" t="n">
        <x:v>0</x:v>
      </x:c>
      <x:c r="AA167" s="1" t="n">
        <x:v>0</x:v>
      </x:c>
      <x:c r="AB167" s="1" t="n">
        <x:v>0</x:v>
      </x:c>
      <x:c r="AC167" s="1" t="n">
        <x:v>0</x:v>
      </x:c>
      <x:c r="AD167" s="1" t="str">
        <x:f>IF('Raw properties'!Y167="","",'Raw properties'!Y167)</x:f>
        <x:v>12 Month Lease</x:v>
      </x:c>
      <x:c r="AE167" s="1" t="str">
        <x:v>1970-01-01</x:v>
      </x:c>
      <x:c r="AF167" s="1" t="str">
        <x:v>Included in rent means</x:v>
      </x:c>
      <x:c r="AG167" s="5" t="str">
        <x:v>Source pricing flag retained; automated consistency checks passed. This is not independent landlord verification.</x:v>
      </x:c>
      <x:c r="AH167" s="1" t="str">
        <x:v>$1,295 - $1,650</x:v>
      </x:c>
      <x:c r="AI167" s="8" t="n">
        <x:f>MIN(ABS(P167-1),ABS(P167-3),ABS(P167-5))*5280</x:f>
        <x:v>3244.8852061485427</x:v>
      </x:c>
      <x:c r="AJ167" s="8" t="n">
        <x:f>MIN(ABS(R167-1),ABS(R167-3),ABS(R167-5))*5280</x:f>
        <x:v>2739.976483525254</x:v>
      </x:c>
      <x:c r="AK167" s="8" t="n">
        <x:f>MIN(ABS(T167-1),ABS(T167-3),ABS(T167-5))*5280</x:f>
        <x:v>4962.184892840269</x:v>
      </x:c>
      <x:c r="AL167" s="1" t="n">
        <x:f>IF(MIN(AI167,AJ167,AK167)&lt;=100,1,0)</x:f>
        <x:v>0</x:v>
      </x:c>
    </x:row>
    <x:row r="168" ht="15" hidden="0" customHeight="1">
      <x:c r="A168" s="1" t="str">
        <x:f>IF('Raw properties'!A168="","",'Raw properties'!A168)</x:f>
        <x:v>ocpsnmx4w4</x:v>
      </x:c>
      <x:c r="B168" s="1" t="str">
        <x:f>IF('Raw properties'!D168="","",'Raw properties'!D168)</x:f>
        <x:v>"Avery Close " condos room available across from Centennial Campus NCSU NC State Raleigh</x:v>
      </x:c>
      <x:c r="C168" s="1" t="str">
        <x:f>IF('Raw properties'!AG168="","",'Raw properties'!AG168)</x:f>
        <x:v>https://offcampus.dasa.ncsu.edu/housing/property/avery-close-condos-room-available-across-from-centennial-campus-ncsu-nc-state-raleigh/ocpsnmx4w4</x:v>
      </x:c>
      <x:c r="D168" s="1" t="str">
        <x:v>Per bedroom</x:v>
      </x:c>
      <x:c r="E168" s="1" t="str">
        <x:v>Per bedroom</x:v>
      </x:c>
      <x:c r="F168" s="7" t="n">
        <x:f>IF('Raw properties'!I168="","",'Raw properties'!I168)</x:f>
        <x:v>35.774124</x:v>
      </x:c>
      <x:c r="G168" s="7" t="n">
        <x:f>IF('Raw properties'!J168="","",'Raw properties'!J168)</x:f>
        <x:v>-78.682645</x:v>
      </x:c>
      <x:c r="H168" s="6" t="n">
        <x:f>IF('Raw properties'!M168="","",'Raw properties'!M168)</x:f>
        <x:v>750</x:v>
      </x:c>
      <x:c r="I168" s="6" t="n">
        <x:f>IF('Raw properties'!N168="","",'Raw properties'!N168)</x:f>
        <x:v>750</x:v>
      </x:c>
      <x:c r="J168" s="6" t="n">
        <x:f>IF((IF('Raw floorplans'!H537&gt;0,1,0))=0,"",MIN(IF('Raw floorplans'!H537&gt;0,'Raw floorplans'!H537,1E99)))</x:f>
        <x:v>750</x:v>
      </x:c>
      <x:c r="K168" s="6" t="n">
        <x:f>IF((IF('Raw floorplans'!I537&gt;0,1,0))=0,"",MAX(IF('Raw floorplans'!I537&gt;0,'Raw floorplans'!I537,0)))</x:f>
        <x:v>750</x:v>
      </x:c>
      <x:c r="L168" s="1" t="n">
        <x:v>0</x:v>
      </x:c>
      <x:c r="M168" s="1" t="n">
        <x:f>IF(AND(ISNUMBER(H168),ISNUMBER(I168),ISNUMBER(J168),ISNUMBER(K168),H168&gt;0,I168&gt;0),IF(OR(H168&lt;&gt;J168,I168&lt;&gt;K168),1,0),0)</x:f>
        <x:v>0</x:v>
      </x:c>
      <x:c r="N168" s="1" t="n">
        <x:f>IF(AND(ISNUMBER(H168),ISNUMBER(I168),H168&gt;0,I168&gt;=H168),1,0)</x:f>
        <x:v>1</x:v>
      </x:c>
      <x:c r="O168" s="1" t="n">
        <x:f>IF(AND(L168=0,M168=0,N168=1),1,0)</x:f>
        <x:v>1</x:v>
      </x:c>
      <x:c r="P168" s="7" t="n">
        <x:f>2*3958.7613*ASIN(SQRT(SIN(RADIANS(F168-35.77951)/2)^2+COS(RADIANS(35.77951))*COS(RADIANS(F168))*SIN(RADIANS(G168-(-78.68168))/2)^2))</x:f>
        <x:v>0.3760481046810914</x:v>
      </x:c>
      <x:c r="Q168" s="1" t="str">
        <x:f>IF(P168&lt;=1,"0–1 mi",IF(P168&lt;=3,"&gt;1–3 mi",IF(P168&lt;=5,"&gt;3–5 mi","Outside 5 mi")))</x:f>
        <x:v>0–1 mi</x:v>
      </x:c>
      <x:c r="R168" s="7" t="n">
        <x:f>2*3958.7613*ASIN(SQRT(SIN(RADIANS(F168-35.7687)/2)^2+COS(RADIANS(35.7687))*COS(RADIANS(F168))*SIN(RADIANS(G168-(-78.6775))/2)^2))</x:f>
        <x:v>0.47290190867489307</x:v>
      </x:c>
      <x:c r="S168" s="1" t="str">
        <x:f>IF(R168&lt;=1,"0–1 mi",IF(R168&lt;=3,"&gt;1–3 mi",IF(R168&lt;=5,"&gt;3–5 mi","Outside 5 mi")))</x:f>
        <x:v>0–1 mi</x:v>
      </x:c>
      <x:c r="T168" s="7" t="n">
        <x:f>2*3958.7613*ASIN(SQRT(SIN(RADIANS(F168-35.79847)/2)^2+COS(RADIANS(35.79847))*COS(RADIANS(F168))*SIN(RADIANS(G168-(-78.70408))/2)^2))</x:f>
        <x:v>2.0671239555033702</x:v>
      </x:c>
      <x:c r="U168" s="1" t="str">
        <x:f>IF(T168&lt;=1,"0–1 mi",IF(T168&lt;=3,"&gt;1–3 mi",IF(T168&lt;=5,"&gt;3–5 mi","Outside 5 mi")))</x:f>
        <x:v>&gt;1–3 mi</x:v>
      </x:c>
      <x:c r="V168" s="1" t="n">
        <x:f>IF(MIN(P168,R168,T168)&lt;=5,1,0)</x:f>
        <x:v>1</x:v>
      </x:c>
      <x:c r="W168" s="6" t="n">
        <x:f>IF(O168=1,(H168+I168)/2,"")</x:f>
        <x:v>750</x:v>
      </x:c>
      <x:c r="X168" s="1" t="n">
        <x:f>O168*V168</x:f>
        <x:v>1</x:v>
      </x:c>
      <x:c r="Y168" s="1" t="n">
        <x:v>0</x:v>
      </x:c>
      <x:c r="Z168" s="1" t="n">
        <x:v>0</x:v>
      </x:c>
      <x:c r="AA168" s="1" t="n">
        <x:v>0</x:v>
      </x:c>
      <x:c r="AB168" s="1" t="n">
        <x:v>0</x:v>
      </x:c>
      <x:c r="AC168" s="1" t="n">
        <x:v>0</x:v>
      </x:c>
      <x:c r="AD168" s="1" t="str">
        <x:f>IF('Raw properties'!Y168="","",'Raw properties'!Y168)</x:f>
        <x:v>12 Month Lease</x:v>
      </x:c>
      <x:c r="AE168" s="1" t="str">
        <x:v>2026-08-01</x:v>
      </x:c>
      <x:c r="AF168" s="1" t="str">
        <x:v>Included in rent means</x:v>
      </x:c>
      <x:c r="AG168" s="5" t="str">
        <x:v>Source pricing flag retained; automated consistency checks passed. This is not independent landlord verification.</x:v>
      </x:c>
      <x:c r="AH168" s="1" t="str">
        <x:v>$750</x:v>
      </x:c>
      <x:c r="AI168" s="8" t="n">
        <x:f>MIN(ABS(P168-1),ABS(P168-3),ABS(P168-5))*5280</x:f>
        <x:v>3294.4660072838374</x:v>
      </x:c>
      <x:c r="AJ168" s="8" t="n">
        <x:f>MIN(ABS(R168-1),ABS(R168-3),ABS(R168-5))*5280</x:f>
        <x:v>2783.0779221965645</x:v>
      </x:c>
      <x:c r="AK168" s="8" t="n">
        <x:f>MIN(ABS(T168-1),ABS(T168-3),ABS(T168-5))*5280</x:f>
        <x:v>4925.585514942205</x:v>
      </x:c>
      <x:c r="AL168" s="1" t="n">
        <x:f>IF(MIN(AI168,AJ168,AK168)&lt;=100,1,0)</x:f>
        <x:v>0</x:v>
      </x:c>
    </x:row>
    <x:row r="169" ht="15" hidden="0" customHeight="1">
      <x:c r="A169" s="1" t="str">
        <x:f>IF('Raw properties'!A169="","",'Raw properties'!A169)</x:f>
        <x:v>ocp2k6k5g8</x:v>
      </x:c>
      <x:c r="B169" s="1" t="str">
        <x:f>IF('Raw properties'!D169="","",'Raw properties'!D169)</x:f>
        <x:v>Furnished Room for Rent (Between Central and Centennial Campus)</x:v>
      </x:c>
      <x:c r="C169" s="1" t="str">
        <x:f>IF('Raw properties'!AG169="","",'Raw properties'!AG169)</x:f>
        <x:v>https://offcampus.dasa.ncsu.edu/housing/property/furnished-room-for-rent-between-central-and-centennial-campus/ocp2k6k5g8</x:v>
      </x:c>
      <x:c r="D169" s="1" t="str">
        <x:v>Per bedroom</x:v>
      </x:c>
      <x:c r="E169" s="1" t="str">
        <x:v>Per bedroom</x:v>
      </x:c>
      <x:c r="F169" s="7" t="n">
        <x:f>IF('Raw properties'!I169="","",'Raw properties'!I169)</x:f>
        <x:v>35.777321</x:v>
      </x:c>
      <x:c r="G169" s="7" t="n">
        <x:f>IF('Raw properties'!J169="","",'Raw properties'!J169)</x:f>
        <x:v>-78.67903</x:v>
      </x:c>
      <x:c r="H169" s="6" t="n">
        <x:f>IF('Raw properties'!M169="","",'Raw properties'!M169)</x:f>
        <x:v>600</x:v>
      </x:c>
      <x:c r="I169" s="6" t="n">
        <x:f>IF('Raw properties'!N169="","",'Raw properties'!N169)</x:f>
        <x:v>600</x:v>
      </x:c>
      <x:c r="J169" s="6" t="n">
        <x:f>IF((IF('Raw floorplans'!H538&gt;0,1,0))=0,"",MIN(IF('Raw floorplans'!H538&gt;0,'Raw floorplans'!H538,1E99)))</x:f>
        <x:v>600</x:v>
      </x:c>
      <x:c r="K169" s="6" t="n">
        <x:f>IF((IF('Raw floorplans'!I538&gt;0,1,0))=0,"",MAX(IF('Raw floorplans'!I538&gt;0,'Raw floorplans'!I538,0)))</x:f>
        <x:v>600</x:v>
      </x:c>
      <x:c r="L169" s="1" t="n">
        <x:v>0</x:v>
      </x:c>
      <x:c r="M169" s="1" t="n">
        <x:f>IF(AND(ISNUMBER(H169),ISNUMBER(I169),ISNUMBER(J169),ISNUMBER(K169),H169&gt;0,I169&gt;0),IF(OR(H169&lt;&gt;J169,I169&lt;&gt;K169),1,0),0)</x:f>
        <x:v>0</x:v>
      </x:c>
      <x:c r="N169" s="1" t="n">
        <x:f>IF(AND(ISNUMBER(H169),ISNUMBER(I169),H169&gt;0,I169&gt;=H169),1,0)</x:f>
        <x:v>1</x:v>
      </x:c>
      <x:c r="O169" s="1" t="n">
        <x:f>IF(AND(L169=0,M169=0,N169=1),1,0)</x:f>
        <x:v>1</x:v>
      </x:c>
      <x:c r="P169" s="7" t="n">
        <x:f>2*3958.7613*ASIN(SQRT(SIN(RADIANS(F169-35.77951)/2)^2+COS(RADIANS(35.77951))*COS(RADIANS(F169))*SIN(RADIANS(G169-(-78.68168))/2)^2))</x:f>
        <x:v>0.21199189212036607</x:v>
      </x:c>
      <x:c r="Q169" s="1" t="str">
        <x:f>IF(P169&lt;=1,"0–1 mi",IF(P169&lt;=3,"&gt;1–3 mi",IF(P169&lt;=5,"&gt;3–5 mi","Outside 5 mi")))</x:f>
        <x:v>0–1 mi</x:v>
      </x:c>
      <x:c r="R169" s="7" t="n">
        <x:f>2*3958.7613*ASIN(SQRT(SIN(RADIANS(F169-35.7687)/2)^2+COS(RADIANS(35.7687))*COS(RADIANS(F169))*SIN(RADIANS(G169-(-78.6775))/2)^2))</x:f>
        <x:v>0.6017976844833126</x:v>
      </x:c>
      <x:c r="S169" s="1" t="str">
        <x:f>IF(R169&lt;=1,"0–1 mi",IF(R169&lt;=3,"&gt;1–3 mi",IF(R169&lt;=5,"&gt;3–5 mi","Outside 5 mi")))</x:f>
        <x:v>0–1 mi</x:v>
      </x:c>
      <x:c r="T169" s="7" t="n">
        <x:f>2*3958.7613*ASIN(SQRT(SIN(RADIANS(F169-35.79847)/2)^2+COS(RADIANS(35.79847))*COS(RADIANS(F169))*SIN(RADIANS(G169-(-78.70408))/2)^2))</x:f>
        <x:v>2.026443544765575</x:v>
      </x:c>
      <x:c r="U169" s="1" t="str">
        <x:f>IF(T169&lt;=1,"0–1 mi",IF(T169&lt;=3,"&gt;1–3 mi",IF(T169&lt;=5,"&gt;3–5 mi","Outside 5 mi")))</x:f>
        <x:v>&gt;1–3 mi</x:v>
      </x:c>
      <x:c r="V169" s="1" t="n">
        <x:f>IF(MIN(P169,R169,T169)&lt;=5,1,0)</x:f>
        <x:v>1</x:v>
      </x:c>
      <x:c r="W169" s="6" t="n">
        <x:f>IF(O169=1,(H169+I169)/2,"")</x:f>
        <x:v>600</x:v>
      </x:c>
      <x:c r="X169" s="1" t="n">
        <x:f>O169*V169</x:f>
        <x:v>1</x:v>
      </x:c>
      <x:c r="Y169" s="1" t="n">
        <x:v>1</x:v>
      </x:c>
      <x:c r="Z169" s="1" t="n">
        <x:v>0</x:v>
      </x:c>
      <x:c r="AA169" s="1" t="n">
        <x:v>0</x:v>
      </x:c>
      <x:c r="AB169" s="1" t="n">
        <x:v>0</x:v>
      </x:c>
      <x:c r="AC169" s="1" t="n">
        <x:v>0</x:v>
      </x:c>
      <x:c r="AD169" s="1" t="str">
        <x:f>IF('Raw properties'!Y169="","",'Raw properties'!Y169)</x:f>
        <x:v>9 Month Lease</x:v>
      </x:c>
      <x:c r="AE169" s="1" t="str">
        <x:v>2027-01-01</x:v>
      </x:c>
      <x:c r="AF169" s="1" t="str">
        <x:v>Included in rent means</x:v>
      </x:c>
      <x:c r="AG169" s="5" t="str">
        <x:v>Source pricing flag retained; automated consistency checks passed. This is not independent landlord verification.</x:v>
      </x:c>
      <x:c r="AH169" s="1" t="str">
        <x:v>$600</x:v>
      </x:c>
      <x:c r="AI169" s="8" t="n">
        <x:f>MIN(ABS(P169-1),ABS(P169-3),ABS(P169-5))*5280</x:f>
        <x:v>4160.682809604467</x:v>
      </x:c>
      <x:c r="AJ169" s="8" t="n">
        <x:f>MIN(ABS(R169-1),ABS(R169-3),ABS(R169-5))*5280</x:f>
        <x:v>2102.5082259281094</x:v>
      </x:c>
      <x:c r="AK169" s="8" t="n">
        <x:f>MIN(ABS(T169-1),ABS(T169-3),ABS(T169-5))*5280</x:f>
        <x:v>5140.378083637765</x:v>
      </x:c>
      <x:c r="AL169" s="1" t="n">
        <x:f>IF(MIN(AI169,AJ169,AK169)&lt;=100,1,0)</x:f>
        <x:v>0</x:v>
      </x:c>
    </x:row>
  </x:sheetData>
  <x:conditionalFormatting sqref="O2:O169">
    <x:cfRule type="cellIs" dxfId="0" priority="1" operator="equal">
      <x:formula>0</x:formula>
    </x:cfRule>
  </x:conditionalFormatting>
  <x:pageMargins left="0.7" right="0.7" top="0.75" bottom="0.75" header="0.3" footer="0.3"/>
  <x:legacyDrawing xmlns:r="http://schemas.openxmlformats.org/officeDocument/2006/relationships" r:id="Ra587ac8e835c40b5"/>
  <x:tableParts count="1">
    <x:tablePart xmlns:r="http://schemas.openxmlformats.org/officeDocument/2006/relationships" r:id="Rbae3816a5ca6485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4" t="str">
        <x:v>Geography</x:v>
      </x:c>
      <x:c r="B1" s="4" t="str">
        <x:v>Band / pool</x:v>
      </x:c>
      <x:c r="C1" s="4" t="str">
        <x:v>Category</x:v>
      </x:c>
      <x:c r="D1" s="4" t="str">
        <x:v>Total listings (all types)</x:v>
      </x:c>
      <x:c r="E1" s="4" t="str">
        <x:v>Prices used</x:v>
      </x:c>
      <x:c r="F1" s="4" t="str">
        <x:v>Low-price sum ($)</x:v>
      </x:c>
      <x:c r="G1" s="4" t="str">
        <x:v>High-price sum ($)</x:v>
      </x:c>
      <x:c r="H1" s="4" t="str">
        <x:v>Low mean ($/mo)</x:v>
      </x:c>
      <x:c r="I1" s="4" t="str">
        <x:v>High mean ($/mo)</x:v>
      </x:c>
      <x:c r="J1" s="4" t="str">
        <x:v>Mean midpoint ($/mo)</x:v>
      </x:c>
      <x:c r="K1" s="4" t="str">
        <x:v>Excluded IDs (all types)</x:v>
      </x:c>
    </x:row>
    <x:row r="2">
      <x:c r="A2" s="1" t="str">
        <x:v>Main Campus</x:v>
      </x:c>
      <x:c r="B2" s="1" t="str">
        <x:v>0–1 mi</x:v>
      </x:c>
      <x:c r="C2" s="1" t="str">
        <x:v>Per bedroom</x:v>
      </x:c>
      <x:c r="D2" s="1" t="n">
        <x:f>COUNTIFS(Listings!$P$2:$P$169,"&gt;=0",Listings!$P$2:$P$169,"&lt;=1")</x:f>
        <x:v>54</x:v>
      </x:c>
      <x:c r="E2" s="1" t="n">
        <x:f>COUNTIFS(Listings!$P$2:$P$169,"&gt;=0",Listings!$P$2:$P$169,"&lt;=1",Listings!$O$2:$O$169,1,Listings!$E$2:$E$169,C2)</x:f>
        <x:v>20</x:v>
      </x:c>
      <x:c r="F2" s="6" t="n">
        <x:f>SUMIFS(Listings!$H$2:$H$169,Listings!$P$2:$P$169,"&gt;=0",Listings!$P$2:$P$169,"&lt;=1",Listings!$O$2:$O$169,1,Listings!$E$2:$E$169,C2)</x:f>
        <x:v>16547</x:v>
      </x:c>
      <x:c r="G2" s="6" t="n">
        <x:f>SUMIFS(Listings!$I$2:$I$169,Listings!$P$2:$P$169,"&gt;=0",Listings!$P$2:$P$169,"&lt;=1",Listings!$O$2:$O$169,1,Listings!$E$2:$E$169,C2)</x:f>
        <x:v>18564</x:v>
      </x:c>
      <x:c r="H2" s="6" t="n">
        <x:f>IF(E2=0,"",F2/E2)</x:f>
        <x:v>827.35</x:v>
      </x:c>
      <x:c r="I2" s="6" t="n">
        <x:f>IF(E2=0,"",G2/E2)</x:f>
        <x:v>928.2</x:v>
      </x:c>
      <x:c r="J2" s="6" t="n">
        <x:f>IF(E2=0,"",(H2+I2)/2)</x:f>
        <x:v>877.7750000000001</x:v>
      </x:c>
      <x:c r="K2" s="1" t="n">
        <x:f>COUNTIFS(Listings!$P$2:$P$169,"&gt;=0",Listings!$P$2:$P$169,"&lt;=1",Listings!$O$2:$O$169,0)</x:f>
        <x:v>7</x:v>
      </x:c>
    </x:row>
    <x:row r="3">
      <x:c r="A3" s="1" t="str">
        <x:v>Main Campus</x:v>
      </x:c>
      <x:c r="B3" s="1" t="str">
        <x:v>0–1 mi</x:v>
      </x:c>
      <x:c r="C3" s="1" t="str">
        <x:v>Whole unit</x:v>
      </x:c>
      <x:c r="D3" s="1" t="n">
        <x:f>COUNTIFS(Listings!$P$2:$P$169,"&gt;=0",Listings!$P$2:$P$169,"&lt;=1")</x:f>
        <x:v>54</x:v>
      </x:c>
      <x:c r="E3" s="1" t="n">
        <x:f>COUNTIFS(Listings!$P$2:$P$169,"&gt;=0",Listings!$P$2:$P$169,"&lt;=1",Listings!$O$2:$O$169,1,Listings!$E$2:$E$169,C3)</x:f>
        <x:v>27</x:v>
      </x:c>
      <x:c r="F3" s="6" t="n">
        <x:f>SUMIFS(Listings!$H$2:$H$169,Listings!$P$2:$P$169,"&gt;=0",Listings!$P$2:$P$169,"&lt;=1",Listings!$O$2:$O$169,1,Listings!$E$2:$E$169,C3)</x:f>
        <x:v>56654</x:v>
      </x:c>
      <x:c r="G3" s="6" t="n">
        <x:f>SUMIFS(Listings!$I$2:$I$169,Listings!$P$2:$P$169,"&gt;=0",Listings!$P$2:$P$169,"&lt;=1",Listings!$O$2:$O$169,1,Listings!$E$2:$E$169,C3)</x:f>
        <x:v>60649</x:v>
      </x:c>
      <x:c r="H3" s="6" t="n">
        <x:f>IF(E3=0,"",F3/E3)</x:f>
        <x:v>2098.296296296296</x:v>
      </x:c>
      <x:c r="I3" s="6" t="n">
        <x:f>IF(E3=0,"",G3/E3)</x:f>
        <x:v>2246.259259259259</x:v>
      </x:c>
      <x:c r="J3" s="6" t="n">
        <x:f>IF(E3=0,"",(H3+I3)/2)</x:f>
        <x:v>2172.2777777777774</x:v>
      </x:c>
      <x:c r="K3" s="1" t="n">
        <x:f>COUNTIFS(Listings!$P$2:$P$169,"&gt;=0",Listings!$P$2:$P$169,"&lt;=1",Listings!$O$2:$O$169,0)</x:f>
        <x:v>7</x:v>
      </x:c>
    </x:row>
    <x:row r="4">
      <x:c r="A4" s="1" t="str">
        <x:v>Main Campus</x:v>
      </x:c>
      <x:c r="B4" s="1" t="str">
        <x:v>&gt;1–3 mi</x:v>
      </x:c>
      <x:c r="C4" s="1" t="str">
        <x:v>Per bedroom</x:v>
      </x:c>
      <x:c r="D4" s="1" t="n">
        <x:f>COUNTIFS(Listings!$P$2:$P$169,"&gt;1",Listings!$P$2:$P$169,"&lt;=3")</x:f>
        <x:v>73</x:v>
      </x:c>
      <x:c r="E4" s="1" t="n">
        <x:f>COUNTIFS(Listings!$P$2:$P$169,"&gt;1",Listings!$P$2:$P$169,"&lt;=3",Listings!$O$2:$O$169,1,Listings!$E$2:$E$169,C4)</x:f>
        <x:v>46</x:v>
      </x:c>
      <x:c r="F4" s="6" t="n">
        <x:f>SUMIFS(Listings!$H$2:$H$169,Listings!$P$2:$P$169,"&gt;1",Listings!$P$2:$P$169,"&lt;=3",Listings!$O$2:$O$169,1,Listings!$E$2:$E$169,C4)</x:f>
        <x:v>37425</x:v>
      </x:c>
      <x:c r="G4" s="6" t="n">
        <x:f>SUMIFS(Listings!$I$2:$I$169,Listings!$P$2:$P$169,"&gt;1",Listings!$P$2:$P$169,"&lt;=3",Listings!$O$2:$O$169,1,Listings!$E$2:$E$169,C4)</x:f>
        <x:v>42661</x:v>
      </x:c>
      <x:c r="H4" s="6" t="n">
        <x:f>IF(E4=0,"",F4/E4)</x:f>
        <x:v>813.5869565217391</x:v>
      </x:c>
      <x:c r="I4" s="6" t="n">
        <x:f>IF(E4=0,"",G4/E4)</x:f>
        <x:v>927.4130434782609</x:v>
      </x:c>
      <x:c r="J4" s="6" t="n">
        <x:f>IF(E4=0,"",(H4+I4)/2)</x:f>
        <x:v>870.5</x:v>
      </x:c>
      <x:c r="K4" s="1" t="n">
        <x:f>COUNTIFS(Listings!$P$2:$P$169,"&gt;1",Listings!$P$2:$P$169,"&lt;=3",Listings!$O$2:$O$169,0)</x:f>
        <x:v>13</x:v>
      </x:c>
    </x:row>
    <x:row r="5">
      <x:c r="A5" s="1" t="str">
        <x:v>Main Campus</x:v>
      </x:c>
      <x:c r="B5" s="1" t="str">
        <x:v>&gt;1–3 mi</x:v>
      </x:c>
      <x:c r="C5" s="1" t="str">
        <x:v>Whole unit</x:v>
      </x:c>
      <x:c r="D5" s="1" t="n">
        <x:f>COUNTIFS(Listings!$P$2:$P$169,"&gt;1",Listings!$P$2:$P$169,"&lt;=3")</x:f>
        <x:v>73</x:v>
      </x:c>
      <x:c r="E5" s="1" t="n">
        <x:f>COUNTIFS(Listings!$P$2:$P$169,"&gt;1",Listings!$P$2:$P$169,"&lt;=3",Listings!$O$2:$O$169,1,Listings!$E$2:$E$169,C5)</x:f>
        <x:v>14</x:v>
      </x:c>
      <x:c r="F5" s="6" t="n">
        <x:f>SUMIFS(Listings!$H$2:$H$169,Listings!$P$2:$P$169,"&gt;1",Listings!$P$2:$P$169,"&lt;=3",Listings!$O$2:$O$169,1,Listings!$E$2:$E$169,C5)</x:f>
        <x:v>32281</x:v>
      </x:c>
      <x:c r="G5" s="6" t="n">
        <x:f>SUMIFS(Listings!$I$2:$I$169,Listings!$P$2:$P$169,"&gt;1",Listings!$P$2:$P$169,"&lt;=3",Listings!$O$2:$O$169,1,Listings!$E$2:$E$169,C5)</x:f>
        <x:v>33274</x:v>
      </x:c>
      <x:c r="H5" s="6" t="n">
        <x:f>IF(E5=0,"",F5/E5)</x:f>
        <x:v>2305.785714285714</x:v>
      </x:c>
      <x:c r="I5" s="6" t="n">
        <x:f>IF(E5=0,"",G5/E5)</x:f>
        <x:v>2376.714285714286</x:v>
      </x:c>
      <x:c r="J5" s="6" t="n">
        <x:f>IF(E5=0,"",(H5+I5)/2)</x:f>
        <x:v>2341.25</x:v>
      </x:c>
      <x:c r="K5" s="1" t="n">
        <x:f>COUNTIFS(Listings!$P$2:$P$169,"&gt;1",Listings!$P$2:$P$169,"&lt;=3",Listings!$O$2:$O$169,0)</x:f>
        <x:v>13</x:v>
      </x:c>
    </x:row>
    <x:row r="6">
      <x:c r="A6" s="1" t="str">
        <x:v>Main Campus</x:v>
      </x:c>
      <x:c r="B6" s="1" t="str">
        <x:v>&gt;3–5 mi</x:v>
      </x:c>
      <x:c r="C6" s="1" t="str">
        <x:v>Per bedroom</x:v>
      </x:c>
      <x:c r="D6" s="1" t="n">
        <x:f>COUNTIFS(Listings!$P$2:$P$169,"&gt;3",Listings!$P$2:$P$169,"&lt;=5")</x:f>
        <x:v>26</x:v>
      </x:c>
      <x:c r="E6" s="1" t="n">
        <x:f>COUNTIFS(Listings!$P$2:$P$169,"&gt;3",Listings!$P$2:$P$169,"&lt;=5",Listings!$O$2:$O$169,1,Listings!$E$2:$E$169,C6)</x:f>
        <x:v>10</x:v>
      </x:c>
      <x:c r="F6" s="6" t="n">
        <x:f>SUMIFS(Listings!$H$2:$H$169,Listings!$P$2:$P$169,"&gt;3",Listings!$P$2:$P$169,"&lt;=5",Listings!$O$2:$O$169,1,Listings!$E$2:$E$169,C6)</x:f>
        <x:v>7848</x:v>
      </x:c>
      <x:c r="G6" s="6" t="n">
        <x:f>SUMIFS(Listings!$I$2:$I$169,Listings!$P$2:$P$169,"&gt;3",Listings!$P$2:$P$169,"&lt;=5",Listings!$O$2:$O$169,1,Listings!$E$2:$E$169,C6)</x:f>
        <x:v>7998</x:v>
      </x:c>
      <x:c r="H6" s="6" t="n">
        <x:f>IF(E6=0,"",F6/E6)</x:f>
        <x:v>784.8</x:v>
      </x:c>
      <x:c r="I6" s="6" t="n">
        <x:f>IF(E6=0,"",G6/E6)</x:f>
        <x:v>799.8</x:v>
      </x:c>
      <x:c r="J6" s="6" t="n">
        <x:f>IF(E6=0,"",(H6+I6)/2)</x:f>
        <x:v>792.3</x:v>
      </x:c>
      <x:c r="K6" s="1" t="n">
        <x:f>COUNTIFS(Listings!$P$2:$P$169,"&gt;3",Listings!$P$2:$P$169,"&lt;=5",Listings!$O$2:$O$169,0)</x:f>
        <x:v>5</x:v>
      </x:c>
    </x:row>
    <x:row r="7">
      <x:c r="A7" s="1" t="str">
        <x:v>Main Campus</x:v>
      </x:c>
      <x:c r="B7" s="1" t="str">
        <x:v>&gt;3–5 mi</x:v>
      </x:c>
      <x:c r="C7" s="1" t="str">
        <x:v>Whole unit</x:v>
      </x:c>
      <x:c r="D7" s="1" t="n">
        <x:f>COUNTIFS(Listings!$P$2:$P$169,"&gt;3",Listings!$P$2:$P$169,"&lt;=5")</x:f>
        <x:v>26</x:v>
      </x:c>
      <x:c r="E7" s="1" t="n">
        <x:f>COUNTIFS(Listings!$P$2:$P$169,"&gt;3",Listings!$P$2:$P$169,"&lt;=5",Listings!$O$2:$O$169,1,Listings!$E$2:$E$169,C7)</x:f>
        <x:v>11</x:v>
      </x:c>
      <x:c r="F7" s="6" t="n">
        <x:f>SUMIFS(Listings!$H$2:$H$169,Listings!$P$2:$P$169,"&gt;3",Listings!$P$2:$P$169,"&lt;=5",Listings!$O$2:$O$169,1,Listings!$E$2:$E$169,C7)</x:f>
        <x:v>23160</x:v>
      </x:c>
      <x:c r="G7" s="6" t="n">
        <x:f>SUMIFS(Listings!$I$2:$I$169,Listings!$P$2:$P$169,"&gt;3",Listings!$P$2:$P$169,"&lt;=5",Listings!$O$2:$O$169,1,Listings!$E$2:$E$169,C7)</x:f>
        <x:v>24580</x:v>
      </x:c>
      <x:c r="H7" s="6" t="n">
        <x:f>IF(E7=0,"",F7/E7)</x:f>
        <x:v>2105.4545454545455</x:v>
      </x:c>
      <x:c r="I7" s="6" t="n">
        <x:f>IF(E7=0,"",G7/E7)</x:f>
        <x:v>2234.5454545454545</x:v>
      </x:c>
      <x:c r="J7" s="6" t="n">
        <x:f>IF(E7=0,"",(H7+I7)/2)</x:f>
        <x:v>2170</x:v>
      </x:c>
      <x:c r="K7" s="1" t="n">
        <x:f>COUNTIFS(Listings!$P$2:$P$169,"&gt;3",Listings!$P$2:$P$169,"&lt;=5",Listings!$O$2:$O$169,0)</x:f>
        <x:v>5</x:v>
      </x:c>
    </x:row>
    <x:row r="8">
      <x:c r="A8" s="1" t="str">
        <x:v>Main Campus</x:v>
      </x:c>
      <x:c r="B8" s="1" t="str">
        <x:v>Pooled 0–5 mi</x:v>
      </x:c>
      <x:c r="C8" s="1" t="str">
        <x:v>Per bedroom</x:v>
      </x:c>
      <x:c r="D8" s="1" t="n">
        <x:f>COUNTIFS(Listings!$P$2:$P$169,"&gt;=0",Listings!$P$2:$P$169,"&lt;=5")</x:f>
        <x:v>153</x:v>
      </x:c>
      <x:c r="E8" s="1" t="n">
        <x:f>COUNTIFS(Listings!$P$2:$P$169,"&gt;=0",Listings!$P$2:$P$169,"&lt;=5",Listings!$O$2:$O$169,1,Listings!$E$2:$E$169,C8)</x:f>
        <x:v>76</x:v>
      </x:c>
      <x:c r="F8" s="6" t="n">
        <x:f>SUMIFS(Listings!$H$2:$H$169,Listings!$P$2:$P$169,"&gt;=0",Listings!$P$2:$P$169,"&lt;=5",Listings!$O$2:$O$169,1,Listings!$E$2:$E$169,C8)</x:f>
        <x:v>61820</x:v>
      </x:c>
      <x:c r="G8" s="6" t="n">
        <x:f>SUMIFS(Listings!$I$2:$I$169,Listings!$P$2:$P$169,"&gt;=0",Listings!$P$2:$P$169,"&lt;=5",Listings!$O$2:$O$169,1,Listings!$E$2:$E$169,C8)</x:f>
        <x:v>69223</x:v>
      </x:c>
      <x:c r="H8" s="6" t="n">
        <x:f>IF(E8=0,"",F8/E8)</x:f>
        <x:v>813.421052631579</x:v>
      </x:c>
      <x:c r="I8" s="6" t="n">
        <x:f>IF(E8=0,"",G8/E8)</x:f>
        <x:v>910.828947368421</x:v>
      </x:c>
      <x:c r="J8" s="6" t="n">
        <x:f>IF(E8=0,"",(H8+I8)/2)</x:f>
        <x:v>862.125</x:v>
      </x:c>
      <x:c r="K8" s="1" t="n">
        <x:f>COUNTIFS(Listings!$P$2:$P$169,"&gt;=0",Listings!$P$2:$P$169,"&lt;=5",Listings!$O$2:$O$169,0)</x:f>
        <x:v>25</x:v>
      </x:c>
    </x:row>
    <x:row r="9">
      <x:c r="A9" s="1" t="str">
        <x:v>Main Campus</x:v>
      </x:c>
      <x:c r="B9" s="1" t="str">
        <x:v>Pooled 0–5 mi</x:v>
      </x:c>
      <x:c r="C9" s="1" t="str">
        <x:v>Whole unit</x:v>
      </x:c>
      <x:c r="D9" s="1" t="n">
        <x:f>COUNTIFS(Listings!$P$2:$P$169,"&gt;=0",Listings!$P$2:$P$169,"&lt;=5")</x:f>
        <x:v>153</x:v>
      </x:c>
      <x:c r="E9" s="1" t="n">
        <x:f>COUNTIFS(Listings!$P$2:$P$169,"&gt;=0",Listings!$P$2:$P$169,"&lt;=5",Listings!$O$2:$O$169,1,Listings!$E$2:$E$169,C9)</x:f>
        <x:v>52</x:v>
      </x:c>
      <x:c r="F9" s="6" t="n">
        <x:f>SUMIFS(Listings!$H$2:$H$169,Listings!$P$2:$P$169,"&gt;=0",Listings!$P$2:$P$169,"&lt;=5",Listings!$O$2:$O$169,1,Listings!$E$2:$E$169,C9)</x:f>
        <x:v>112095</x:v>
      </x:c>
      <x:c r="G9" s="6" t="n">
        <x:f>SUMIFS(Listings!$I$2:$I$169,Listings!$P$2:$P$169,"&gt;=0",Listings!$P$2:$P$169,"&lt;=5",Listings!$O$2:$O$169,1,Listings!$E$2:$E$169,C9)</x:f>
        <x:v>118503</x:v>
      </x:c>
      <x:c r="H9" s="6" t="n">
        <x:f>IF(E9=0,"",F9/E9)</x:f>
        <x:v>2155.673076923077</x:v>
      </x:c>
      <x:c r="I9" s="6" t="n">
        <x:f>IF(E9=0,"",G9/E9)</x:f>
        <x:v>2278.903846153846</x:v>
      </x:c>
      <x:c r="J9" s="6" t="n">
        <x:f>IF(E9=0,"",(H9+I9)/2)</x:f>
        <x:v>2217.288461538462</x:v>
      </x:c>
      <x:c r="K9" s="1" t="n">
        <x:f>COUNTIFS(Listings!$P$2:$P$169,"&gt;=0",Listings!$P$2:$P$169,"&lt;=5",Listings!$O$2:$O$169,0)</x:f>
        <x:v>25</x:v>
      </x:c>
    </x:row>
    <x:row r="10">
      <x:c r="A10" s="1" t="str">
        <x:v>Centennial Campus</x:v>
      </x:c>
      <x:c r="B10" s="1" t="str">
        <x:v>0–1 mi</x:v>
      </x:c>
      <x:c r="C10" s="1" t="str">
        <x:v>Per bedroom</x:v>
      </x:c>
      <x:c r="D10" s="1" t="n">
        <x:f>COUNTIFS(Listings!$R$2:$R$169,"&gt;=0",Listings!$R$2:$R$169,"&lt;=1")</x:f>
        <x:v>29</x:v>
      </x:c>
      <x:c r="E10" s="1" t="n">
        <x:f>COUNTIFS(Listings!$R$2:$R$169,"&gt;=0",Listings!$R$2:$R$169,"&lt;=1",Listings!$O$2:$O$169,1,Listings!$E$2:$E$169,C10)</x:f>
        <x:v>10</x:v>
      </x:c>
      <x:c r="F10" s="6" t="n">
        <x:f>SUMIFS(Listings!$H$2:$H$169,Listings!$R$2:$R$169,"&gt;=0",Listings!$R$2:$R$169,"&lt;=1",Listings!$O$2:$O$169,1,Listings!$E$2:$E$169,C10)</x:f>
        <x:v>8109</x:v>
      </x:c>
      <x:c r="G10" s="6" t="n">
        <x:f>SUMIFS(Listings!$I$2:$I$169,Listings!$R$2:$R$169,"&gt;=0",Listings!$R$2:$R$169,"&lt;=1",Listings!$O$2:$O$169,1,Listings!$E$2:$E$169,C10)</x:f>
        <x:v>8575</x:v>
      </x:c>
      <x:c r="H10" s="6" t="n">
        <x:f>IF(E10=0,"",F10/E10)</x:f>
        <x:v>810.9</x:v>
      </x:c>
      <x:c r="I10" s="6" t="n">
        <x:f>IF(E10=0,"",G10/E10)</x:f>
        <x:v>857.5</x:v>
      </x:c>
      <x:c r="J10" s="6" t="n">
        <x:f>IF(E10=0,"",(H10+I10)/2)</x:f>
        <x:v>834.2</x:v>
      </x:c>
      <x:c r="K10" s="1" t="n">
        <x:f>COUNTIFS(Listings!$R$2:$R$169,"&gt;=0",Listings!$R$2:$R$169,"&lt;=1",Listings!$O$2:$O$169,0)</x:f>
        <x:v>1</x:v>
      </x:c>
    </x:row>
    <x:row r="11">
      <x:c r="A11" s="1" t="str">
        <x:v>Centennial Campus</x:v>
      </x:c>
      <x:c r="B11" s="1" t="str">
        <x:v>0–1 mi</x:v>
      </x:c>
      <x:c r="C11" s="1" t="str">
        <x:v>Whole unit</x:v>
      </x:c>
      <x:c r="D11" s="1" t="n">
        <x:f>COUNTIFS(Listings!$R$2:$R$169,"&gt;=0",Listings!$R$2:$R$169,"&lt;=1")</x:f>
        <x:v>29</x:v>
      </x:c>
      <x:c r="E11" s="1" t="n">
        <x:f>COUNTIFS(Listings!$R$2:$R$169,"&gt;=0",Listings!$R$2:$R$169,"&lt;=1",Listings!$O$2:$O$169,1,Listings!$E$2:$E$169,C11)</x:f>
        <x:v>18</x:v>
      </x:c>
      <x:c r="F11" s="6" t="n">
        <x:f>SUMIFS(Listings!$H$2:$H$169,Listings!$R$2:$R$169,"&gt;=0",Listings!$R$2:$R$169,"&lt;=1",Listings!$O$2:$O$169,1,Listings!$E$2:$E$169,C11)</x:f>
        <x:v>35060</x:v>
      </x:c>
      <x:c r="G11" s="6" t="n">
        <x:f>SUMIFS(Listings!$I$2:$I$169,Listings!$R$2:$R$169,"&gt;=0",Listings!$R$2:$R$169,"&lt;=1",Listings!$O$2:$O$169,1,Listings!$E$2:$E$169,C11)</x:f>
        <x:v>38135</x:v>
      </x:c>
      <x:c r="H11" s="6" t="n">
        <x:f>IF(E11=0,"",F11/E11)</x:f>
        <x:v>1947.7777777777778</x:v>
      </x:c>
      <x:c r="I11" s="6" t="n">
        <x:f>IF(E11=0,"",G11/E11)</x:f>
        <x:v>2118.6111111111113</x:v>
      </x:c>
      <x:c r="J11" s="6" t="n">
        <x:f>IF(E11=0,"",(H11+I11)/2)</x:f>
        <x:v>2033.1944444444446</x:v>
      </x:c>
      <x:c r="K11" s="1" t="n">
        <x:f>COUNTIFS(Listings!$R$2:$R$169,"&gt;=0",Listings!$R$2:$R$169,"&lt;=1",Listings!$O$2:$O$169,0)</x:f>
        <x:v>1</x:v>
      </x:c>
    </x:row>
    <x:row r="12">
      <x:c r="A12" s="1" t="str">
        <x:v>Centennial Campus</x:v>
      </x:c>
      <x:c r="B12" s="1" t="str">
        <x:v>&gt;1–3 mi</x:v>
      </x:c>
      <x:c r="C12" s="1" t="str">
        <x:v>Per bedroom</x:v>
      </x:c>
      <x:c r="D12" s="1" t="n">
        <x:f>COUNTIFS(Listings!$R$2:$R$169,"&gt;1",Listings!$R$2:$R$169,"&lt;=3")</x:f>
        <x:v>96</x:v>
      </x:c>
      <x:c r="E12" s="1" t="n">
        <x:f>COUNTIFS(Listings!$R$2:$R$169,"&gt;1",Listings!$R$2:$R$169,"&lt;=3",Listings!$O$2:$O$169,1,Listings!$E$2:$E$169,C12)</x:f>
        <x:v>53</x:v>
      </x:c>
      <x:c r="F12" s="6" t="n">
        <x:f>SUMIFS(Listings!$H$2:$H$169,Listings!$R$2:$R$169,"&gt;1",Listings!$R$2:$R$169,"&lt;=3",Listings!$O$2:$O$169,1,Listings!$E$2:$E$169,C12)</x:f>
        <x:v>43065</x:v>
      </x:c>
      <x:c r="G12" s="6" t="n">
        <x:f>SUMIFS(Listings!$I$2:$I$169,Listings!$R$2:$R$169,"&gt;1",Listings!$R$2:$R$169,"&lt;=3",Listings!$O$2:$O$169,1,Listings!$E$2:$E$169,C12)</x:f>
        <x:v>48906</x:v>
      </x:c>
      <x:c r="H12" s="6" t="n">
        <x:f>IF(E12=0,"",F12/E12)</x:f>
        <x:v>812.5471698113207</x:v>
      </x:c>
      <x:c r="I12" s="6" t="n">
        <x:f>IF(E12=0,"",G12/E12)</x:f>
        <x:v>922.7547169811321</x:v>
      </x:c>
      <x:c r="J12" s="6" t="n">
        <x:f>IF(E12=0,"",(H12+I12)/2)</x:f>
        <x:v>867.6509433962265</x:v>
      </x:c>
      <x:c r="K12" s="1" t="n">
        <x:f>COUNTIFS(Listings!$R$2:$R$169,"&gt;1",Listings!$R$2:$R$169,"&lt;=3",Listings!$O$2:$O$169,0)</x:f>
        <x:v>19</x:v>
      </x:c>
    </x:row>
    <x:row r="13">
      <x:c r="A13" s="1" t="str">
        <x:v>Centennial Campus</x:v>
      </x:c>
      <x:c r="B13" s="1" t="str">
        <x:v>&gt;1–3 mi</x:v>
      </x:c>
      <x:c r="C13" s="1" t="str">
        <x:v>Whole unit</x:v>
      </x:c>
      <x:c r="D13" s="1" t="n">
        <x:f>COUNTIFS(Listings!$R$2:$R$169,"&gt;1",Listings!$R$2:$R$169,"&lt;=3")</x:f>
        <x:v>96</x:v>
      </x:c>
      <x:c r="E13" s="1" t="n">
        <x:f>COUNTIFS(Listings!$R$2:$R$169,"&gt;1",Listings!$R$2:$R$169,"&lt;=3",Listings!$O$2:$O$169,1,Listings!$E$2:$E$169,C13)</x:f>
        <x:v>24</x:v>
      </x:c>
      <x:c r="F13" s="6" t="n">
        <x:f>SUMIFS(Listings!$H$2:$H$169,Listings!$R$2:$R$169,"&gt;1",Listings!$R$2:$R$169,"&lt;=3",Listings!$O$2:$O$169,1,Listings!$E$2:$E$169,C13)</x:f>
        <x:v>57775</x:v>
      </x:c>
      <x:c r="G13" s="6" t="n">
        <x:f>SUMIFS(Listings!$I$2:$I$169,Listings!$R$2:$R$169,"&gt;1",Listings!$R$2:$R$169,"&lt;=3",Listings!$O$2:$O$169,1,Listings!$E$2:$E$169,C13)</x:f>
        <x:v>59393</x:v>
      </x:c>
      <x:c r="H13" s="6" t="n">
        <x:f>IF(E13=0,"",F13/E13)</x:f>
        <x:v>2407.2916666666665</x:v>
      </x:c>
      <x:c r="I13" s="6" t="n">
        <x:f>IF(E13=0,"",G13/E13)</x:f>
        <x:v>2474.7083333333335</x:v>
      </x:c>
      <x:c r="J13" s="6" t="n">
        <x:f>IF(E13=0,"",(H13+I13)/2)</x:f>
        <x:v>2441</x:v>
      </x:c>
      <x:c r="K13" s="1" t="n">
        <x:f>COUNTIFS(Listings!$R$2:$R$169,"&gt;1",Listings!$R$2:$R$169,"&lt;=3",Listings!$O$2:$O$169,0)</x:f>
        <x:v>19</x:v>
      </x:c>
    </x:row>
    <x:row r="14">
      <x:c r="A14" s="1" t="str">
        <x:v>Centennial Campus</x:v>
      </x:c>
      <x:c r="B14" s="1" t="str">
        <x:v>&gt;3–5 mi</x:v>
      </x:c>
      <x:c r="C14" s="1" t="str">
        <x:v>Per bedroom</x:v>
      </x:c>
      <x:c r="D14" s="1" t="n">
        <x:f>COUNTIFS(Listings!$R$2:$R$169,"&gt;3",Listings!$R$2:$R$169,"&lt;=5")</x:f>
        <x:v>26</x:v>
      </x:c>
      <x:c r="E14" s="1" t="n">
        <x:f>COUNTIFS(Listings!$R$2:$R$169,"&gt;3",Listings!$R$2:$R$169,"&lt;=5",Listings!$O$2:$O$169,1,Listings!$E$2:$E$169,C14)</x:f>
        <x:v>13</x:v>
      </x:c>
      <x:c r="F14" s="6" t="n">
        <x:f>SUMIFS(Listings!$H$2:$H$169,Listings!$R$2:$R$169,"&gt;3",Listings!$R$2:$R$169,"&lt;=5",Listings!$O$2:$O$169,1,Listings!$E$2:$E$169,C14)</x:f>
        <x:v>10666</x:v>
      </x:c>
      <x:c r="G14" s="6" t="n">
        <x:f>SUMIFS(Listings!$I$2:$I$169,Listings!$R$2:$R$169,"&gt;3",Listings!$R$2:$R$169,"&lt;=5",Listings!$O$2:$O$169,1,Listings!$E$2:$E$169,C14)</x:f>
        <x:v>11762</x:v>
      </x:c>
      <x:c r="H14" s="6" t="n">
        <x:f>IF(E14=0,"",F14/E14)</x:f>
        <x:v>820.4615384615385</x:v>
      </x:c>
      <x:c r="I14" s="6" t="n">
        <x:f>IF(E14=0,"",G14/E14)</x:f>
        <x:v>904.7692307692307</x:v>
      </x:c>
      <x:c r="J14" s="6" t="n">
        <x:f>IF(E14=0,"",(H14+I14)/2)</x:f>
        <x:v>862.6153846153845</x:v>
      </x:c>
      <x:c r="K14" s="1" t="n">
        <x:f>COUNTIFS(Listings!$R$2:$R$169,"&gt;3",Listings!$R$2:$R$169,"&lt;=5",Listings!$O$2:$O$169,0)</x:f>
        <x:v>5</x:v>
      </x:c>
    </x:row>
    <x:row r="15">
      <x:c r="A15" s="1" t="str">
        <x:v>Centennial Campus</x:v>
      </x:c>
      <x:c r="B15" s="1" t="str">
        <x:v>&gt;3–5 mi</x:v>
      </x:c>
      <x:c r="C15" s="1" t="str">
        <x:v>Whole unit</x:v>
      </x:c>
      <x:c r="D15" s="1" t="n">
        <x:f>COUNTIFS(Listings!$R$2:$R$169,"&gt;3",Listings!$R$2:$R$169,"&lt;=5")</x:f>
        <x:v>26</x:v>
      </x:c>
      <x:c r="E15" s="1" t="n">
        <x:f>COUNTIFS(Listings!$R$2:$R$169,"&gt;3",Listings!$R$2:$R$169,"&lt;=5",Listings!$O$2:$O$169,1,Listings!$E$2:$E$169,C15)</x:f>
        <x:v>8</x:v>
      </x:c>
      <x:c r="F15" s="6" t="n">
        <x:f>SUMIFS(Listings!$H$2:$H$169,Listings!$R$2:$R$169,"&gt;3",Listings!$R$2:$R$169,"&lt;=5",Listings!$O$2:$O$169,1,Listings!$E$2:$E$169,C15)</x:f>
        <x:v>14730</x:v>
      </x:c>
      <x:c r="G15" s="6" t="n">
        <x:f>SUMIFS(Listings!$I$2:$I$169,Listings!$R$2:$R$169,"&gt;3",Listings!$R$2:$R$169,"&lt;=5",Listings!$O$2:$O$169,1,Listings!$E$2:$E$169,C15)</x:f>
        <x:v>16445</x:v>
      </x:c>
      <x:c r="H15" s="6" t="n">
        <x:f>IF(E15=0,"",F15/E15)</x:f>
        <x:v>1841.25</x:v>
      </x:c>
      <x:c r="I15" s="6" t="n">
        <x:f>IF(E15=0,"",G15/E15)</x:f>
        <x:v>2055.625</x:v>
      </x:c>
      <x:c r="J15" s="6" t="n">
        <x:f>IF(E15=0,"",(H15+I15)/2)</x:f>
        <x:v>1948.4375</x:v>
      </x:c>
      <x:c r="K15" s="1" t="n">
        <x:f>COUNTIFS(Listings!$R$2:$R$169,"&gt;3",Listings!$R$2:$R$169,"&lt;=5",Listings!$O$2:$O$169,0)</x:f>
        <x:v>5</x:v>
      </x:c>
    </x:row>
    <x:row r="16">
      <x:c r="A16" s="1" t="str">
        <x:v>Centennial Campus</x:v>
      </x:c>
      <x:c r="B16" s="1" t="str">
        <x:v>Pooled 0–5 mi</x:v>
      </x:c>
      <x:c r="C16" s="1" t="str">
        <x:v>Per bedroom</x:v>
      </x:c>
      <x:c r="D16" s="1" t="n">
        <x:f>COUNTIFS(Listings!$R$2:$R$169,"&gt;=0",Listings!$R$2:$R$169,"&lt;=5")</x:f>
        <x:v>151</x:v>
      </x:c>
      <x:c r="E16" s="1" t="n">
        <x:f>COUNTIFS(Listings!$R$2:$R$169,"&gt;=0",Listings!$R$2:$R$169,"&lt;=5",Listings!$O$2:$O$169,1,Listings!$E$2:$E$169,C16)</x:f>
        <x:v>76</x:v>
      </x:c>
      <x:c r="F16" s="6" t="n">
        <x:f>SUMIFS(Listings!$H$2:$H$169,Listings!$R$2:$R$169,"&gt;=0",Listings!$R$2:$R$169,"&lt;=5",Listings!$O$2:$O$169,1,Listings!$E$2:$E$169,C16)</x:f>
        <x:v>61840</x:v>
      </x:c>
      <x:c r="G16" s="6" t="n">
        <x:f>SUMIFS(Listings!$I$2:$I$169,Listings!$R$2:$R$169,"&gt;=0",Listings!$R$2:$R$169,"&lt;=5",Listings!$O$2:$O$169,1,Listings!$E$2:$E$169,C16)</x:f>
        <x:v>69243</x:v>
      </x:c>
      <x:c r="H16" s="6" t="n">
        <x:f>IF(E16=0,"",F16/E16)</x:f>
        <x:v>813.6842105263158</x:v>
      </x:c>
      <x:c r="I16" s="6" t="n">
        <x:f>IF(E16=0,"",G16/E16)</x:f>
        <x:v>911.0921052631579</x:v>
      </x:c>
      <x:c r="J16" s="6" t="n">
        <x:f>IF(E16=0,"",(H16+I16)/2)</x:f>
        <x:v>862.3881578947369</x:v>
      </x:c>
      <x:c r="K16" s="1" t="n">
        <x:f>COUNTIFS(Listings!$R$2:$R$169,"&gt;=0",Listings!$R$2:$R$169,"&lt;=5",Listings!$O$2:$O$169,0)</x:f>
        <x:v>25</x:v>
      </x:c>
    </x:row>
    <x:row r="17">
      <x:c r="A17" s="1" t="str">
        <x:v>Centennial Campus</x:v>
      </x:c>
      <x:c r="B17" s="1" t="str">
        <x:v>Pooled 0–5 mi</x:v>
      </x:c>
      <x:c r="C17" s="1" t="str">
        <x:v>Whole unit</x:v>
      </x:c>
      <x:c r="D17" s="1" t="n">
        <x:f>COUNTIFS(Listings!$R$2:$R$169,"&gt;=0",Listings!$R$2:$R$169,"&lt;=5")</x:f>
        <x:v>151</x:v>
      </x:c>
      <x:c r="E17" s="1" t="n">
        <x:f>COUNTIFS(Listings!$R$2:$R$169,"&gt;=0",Listings!$R$2:$R$169,"&lt;=5",Listings!$O$2:$O$169,1,Listings!$E$2:$E$169,C17)</x:f>
        <x:v>50</x:v>
      </x:c>
      <x:c r="F17" s="6" t="n">
        <x:f>SUMIFS(Listings!$H$2:$H$169,Listings!$R$2:$R$169,"&gt;=0",Listings!$R$2:$R$169,"&lt;=5",Listings!$O$2:$O$169,1,Listings!$E$2:$E$169,C17)</x:f>
        <x:v>107565</x:v>
      </x:c>
      <x:c r="G17" s="6" t="n">
        <x:f>SUMIFS(Listings!$I$2:$I$169,Listings!$R$2:$R$169,"&gt;=0",Listings!$R$2:$R$169,"&lt;=5",Listings!$O$2:$O$169,1,Listings!$E$2:$E$169,C17)</x:f>
        <x:v>113973</x:v>
      </x:c>
      <x:c r="H17" s="6" t="n">
        <x:f>IF(E17=0,"",F17/E17)</x:f>
        <x:v>2151.3</x:v>
      </x:c>
      <x:c r="I17" s="6" t="n">
        <x:f>IF(E17=0,"",G17/E17)</x:f>
        <x:v>2279.46</x:v>
      </x:c>
      <x:c r="J17" s="6" t="n">
        <x:f>IF(E17=0,"",(H17+I17)/2)</x:f>
        <x:v>2215.38</x:v>
      </x:c>
      <x:c r="K17" s="1" t="n">
        <x:f>COUNTIFS(Listings!$R$2:$R$169,"&gt;=0",Listings!$R$2:$R$169,"&lt;=5",Listings!$O$2:$O$169,0)</x:f>
        <x:v>25</x:v>
      </x:c>
    </x:row>
    <x:row r="18">
      <x:c r="A18" s="1" t="str">
        <x:v>Centennial Biomedical Campus</x:v>
      </x:c>
      <x:c r="B18" s="1" t="str">
        <x:v>0–1 mi</x:v>
      </x:c>
      <x:c r="C18" s="1" t="str">
        <x:v>Per bedroom</x:v>
      </x:c>
      <x:c r="D18" s="1" t="n">
        <x:f>COUNTIFS(Listings!$T$2:$T$169,"&gt;=0",Listings!$T$2:$T$169,"&lt;=1")</x:f>
        <x:v>10</x:v>
      </x:c>
      <x:c r="E18" s="1" t="n">
        <x:f>COUNTIFS(Listings!$T$2:$T$169,"&gt;=0",Listings!$T$2:$T$169,"&lt;=1",Listings!$O$2:$O$169,1,Listings!$E$2:$E$169,C18)</x:f>
        <x:v>4</x:v>
      </x:c>
      <x:c r="F18" s="6" t="n">
        <x:f>SUMIFS(Listings!$H$2:$H$169,Listings!$T$2:$T$169,"&gt;=0",Listings!$T$2:$T$169,"&lt;=1",Listings!$O$2:$O$169,1,Listings!$E$2:$E$169,C18)</x:f>
        <x:v>3618</x:v>
      </x:c>
      <x:c r="G18" s="6" t="n">
        <x:f>SUMIFS(Listings!$I$2:$I$169,Listings!$T$2:$T$169,"&gt;=0",Listings!$T$2:$T$169,"&lt;=1",Listings!$O$2:$O$169,1,Listings!$E$2:$E$169,C18)</x:f>
        <x:v>4799</x:v>
      </x:c>
      <x:c r="H18" s="6" t="n">
        <x:f>IF(E18=0,"",F18/E18)</x:f>
        <x:v>904.5</x:v>
      </x:c>
      <x:c r="I18" s="6" t="n">
        <x:f>IF(E18=0,"",G18/E18)</x:f>
        <x:v>1199.75</x:v>
      </x:c>
      <x:c r="J18" s="6" t="n">
        <x:f>IF(E18=0,"",(H18+I18)/2)</x:f>
        <x:v>1052.125</x:v>
      </x:c>
      <x:c r="K18" s="1" t="n">
        <x:f>COUNTIFS(Listings!$T$2:$T$169,"&gt;=0",Listings!$T$2:$T$169,"&lt;=1",Listings!$O$2:$O$169,0)</x:f>
        <x:v>1</x:v>
      </x:c>
    </x:row>
    <x:row r="19">
      <x:c r="A19" s="1" t="str">
        <x:v>Centennial Biomedical Campus</x:v>
      </x:c>
      <x:c r="B19" s="1" t="str">
        <x:v>0–1 mi</x:v>
      </x:c>
      <x:c r="C19" s="1" t="str">
        <x:v>Whole unit</x:v>
      </x:c>
      <x:c r="D19" s="1" t="n">
        <x:f>COUNTIFS(Listings!$T$2:$T$169,"&gt;=0",Listings!$T$2:$T$169,"&lt;=1")</x:f>
        <x:v>10</x:v>
      </x:c>
      <x:c r="E19" s="1" t="n">
        <x:f>COUNTIFS(Listings!$T$2:$T$169,"&gt;=0",Listings!$T$2:$T$169,"&lt;=1",Listings!$O$2:$O$169,1,Listings!$E$2:$E$169,C19)</x:f>
        <x:v>5</x:v>
      </x:c>
      <x:c r="F19" s="6" t="n">
        <x:f>SUMIFS(Listings!$H$2:$H$169,Listings!$T$2:$T$169,"&gt;=0",Listings!$T$2:$T$169,"&lt;=1",Listings!$O$2:$O$169,1,Listings!$E$2:$E$169,C19)</x:f>
        <x:v>14805</x:v>
      </x:c>
      <x:c r="G19" s="6" t="n">
        <x:f>SUMIFS(Listings!$I$2:$I$169,Listings!$T$2:$T$169,"&gt;=0",Listings!$T$2:$T$169,"&lt;=1",Listings!$O$2:$O$169,1,Listings!$E$2:$E$169,C19)</x:f>
        <x:v>15050</x:v>
      </x:c>
      <x:c r="H19" s="6" t="n">
        <x:f>IF(E19=0,"",F19/E19)</x:f>
        <x:v>2961</x:v>
      </x:c>
      <x:c r="I19" s="6" t="n">
        <x:f>IF(E19=0,"",G19/E19)</x:f>
        <x:v>3010</x:v>
      </x:c>
      <x:c r="J19" s="6" t="n">
        <x:f>IF(E19=0,"",(H19+I19)/2)</x:f>
        <x:v>2985.5</x:v>
      </x:c>
      <x:c r="K19" s="1" t="n">
        <x:f>COUNTIFS(Listings!$T$2:$T$169,"&gt;=0",Listings!$T$2:$T$169,"&lt;=1",Listings!$O$2:$O$169,0)</x:f>
        <x:v>1</x:v>
      </x:c>
    </x:row>
    <x:row r="20">
      <x:c r="A20" s="1" t="str">
        <x:v>Centennial Biomedical Campus</x:v>
      </x:c>
      <x:c r="B20" s="1" t="str">
        <x:v>&gt;1–3 mi</x:v>
      </x:c>
      <x:c r="C20" s="1" t="str">
        <x:v>Per bedroom</x:v>
      </x:c>
      <x:c r="D20" s="1" t="n">
        <x:f>COUNTIFS(Listings!$T$2:$T$169,"&gt;1",Listings!$T$2:$T$169,"&lt;=3")</x:f>
        <x:v>92</x:v>
      </x:c>
      <x:c r="E20" s="1" t="n">
        <x:f>COUNTIFS(Listings!$T$2:$T$169,"&gt;1",Listings!$T$2:$T$169,"&lt;=3",Listings!$O$2:$O$169,1,Listings!$E$2:$E$169,C20)</x:f>
        <x:v>40</x:v>
      </x:c>
      <x:c r="F20" s="6" t="n">
        <x:f>SUMIFS(Listings!$H$2:$H$169,Listings!$T$2:$T$169,"&gt;1",Listings!$T$2:$T$169,"&lt;=3",Listings!$O$2:$O$169,1,Listings!$E$2:$E$169,C20)</x:f>
        <x:v>34669</x:v>
      </x:c>
      <x:c r="G20" s="6" t="n">
        <x:f>SUMIFS(Listings!$I$2:$I$169,Listings!$T$2:$T$169,"&gt;1",Listings!$T$2:$T$169,"&lt;=3",Listings!$O$2:$O$169,1,Listings!$E$2:$E$169,C20)</x:f>
        <x:v>38537</x:v>
      </x:c>
      <x:c r="H20" s="6" t="n">
        <x:f>IF(E20=0,"",F20/E20)</x:f>
        <x:v>866.725</x:v>
      </x:c>
      <x:c r="I20" s="6" t="n">
        <x:f>IF(E20=0,"",G20/E20)</x:f>
        <x:v>963.425</x:v>
      </x:c>
      <x:c r="J20" s="6" t="n">
        <x:f>IF(E20=0,"",(H20+I20)/2)</x:f>
        <x:v>915.075</x:v>
      </x:c>
      <x:c r="K20" s="1" t="n">
        <x:f>COUNTIFS(Listings!$T$2:$T$169,"&gt;1",Listings!$T$2:$T$169,"&lt;=3",Listings!$O$2:$O$169,0)</x:f>
        <x:v>17</x:v>
      </x:c>
    </x:row>
    <x:row r="21">
      <x:c r="A21" s="1" t="str">
        <x:v>Centennial Biomedical Campus</x:v>
      </x:c>
      <x:c r="B21" s="1" t="str">
        <x:v>&gt;1–3 mi</x:v>
      </x:c>
      <x:c r="C21" s="1" t="str">
        <x:v>Whole unit</x:v>
      </x:c>
      <x:c r="D21" s="1" t="n">
        <x:f>COUNTIFS(Listings!$T$2:$T$169,"&gt;1",Listings!$T$2:$T$169,"&lt;=3")</x:f>
        <x:v>92</x:v>
      </x:c>
      <x:c r="E21" s="1" t="n">
        <x:f>COUNTIFS(Listings!$T$2:$T$169,"&gt;1",Listings!$T$2:$T$169,"&lt;=3",Listings!$O$2:$O$169,1,Listings!$E$2:$E$169,C21)</x:f>
        <x:v>35</x:v>
      </x:c>
      <x:c r="F21" s="6" t="n">
        <x:f>SUMIFS(Listings!$H$2:$H$169,Listings!$T$2:$T$169,"&gt;1",Listings!$T$2:$T$169,"&lt;=3",Listings!$O$2:$O$169,1,Listings!$E$2:$E$169,C21)</x:f>
        <x:v>70620</x:v>
      </x:c>
      <x:c r="G21" s="6" t="n">
        <x:f>SUMIFS(Listings!$I$2:$I$169,Listings!$T$2:$T$169,"&gt;1",Listings!$T$2:$T$169,"&lt;=3",Listings!$O$2:$O$169,1,Listings!$E$2:$E$169,C21)</x:f>
        <x:v>76283</x:v>
      </x:c>
      <x:c r="H21" s="6" t="n">
        <x:f>IF(E21=0,"",F21/E21)</x:f>
        <x:v>2017.7142857142858</x:v>
      </x:c>
      <x:c r="I21" s="6" t="n">
        <x:f>IF(E21=0,"",G21/E21)</x:f>
        <x:v>2179.5142857142855</x:v>
      </x:c>
      <x:c r="J21" s="6" t="n">
        <x:f>IF(E21=0,"",(H21+I21)/2)</x:f>
        <x:v>2098.614285714286</x:v>
      </x:c>
      <x:c r="K21" s="1" t="n">
        <x:f>COUNTIFS(Listings!$T$2:$T$169,"&gt;1",Listings!$T$2:$T$169,"&lt;=3",Listings!$O$2:$O$169,0)</x:f>
        <x:v>17</x:v>
      </x:c>
    </x:row>
    <x:row r="22">
      <x:c r="A22" s="1" t="str">
        <x:v>Centennial Biomedical Campus</x:v>
      </x:c>
      <x:c r="B22" s="1" t="str">
        <x:v>&gt;3–5 mi</x:v>
      </x:c>
      <x:c r="C22" s="1" t="str">
        <x:v>Per bedroom</x:v>
      </x:c>
      <x:c r="D22" s="1" t="n">
        <x:f>COUNTIFS(Listings!$T$2:$T$169,"&gt;3",Listings!$T$2:$T$169,"&lt;=5")</x:f>
        <x:v>44</x:v>
      </x:c>
      <x:c r="E22" s="1" t="n">
        <x:f>COUNTIFS(Listings!$T$2:$T$169,"&gt;3",Listings!$T$2:$T$169,"&lt;=5",Listings!$O$2:$O$169,1,Listings!$E$2:$E$169,C22)</x:f>
        <x:v>28</x:v>
      </x:c>
      <x:c r="F22" s="6" t="n">
        <x:f>SUMIFS(Listings!$H$2:$H$169,Listings!$T$2:$T$169,"&gt;3",Listings!$T$2:$T$169,"&lt;=5",Listings!$O$2:$O$169,1,Listings!$E$2:$E$169,C22)</x:f>
        <x:v>20935</x:v>
      </x:c>
      <x:c r="G22" s="6" t="n">
        <x:f>SUMIFS(Listings!$I$2:$I$169,Listings!$T$2:$T$169,"&gt;3",Listings!$T$2:$T$169,"&lt;=5",Listings!$O$2:$O$169,1,Listings!$E$2:$E$169,C22)</x:f>
        <x:v>23289</x:v>
      </x:c>
      <x:c r="H22" s="6" t="n">
        <x:f>IF(E22=0,"",F22/E22)</x:f>
        <x:v>747.6785714285714</x:v>
      </x:c>
      <x:c r="I22" s="6" t="n">
        <x:f>IF(E22=0,"",G22/E22)</x:f>
        <x:v>831.75</x:v>
      </x:c>
      <x:c r="J22" s="6" t="n">
        <x:f>IF(E22=0,"",(H22+I22)/2)</x:f>
        <x:v>789.7142857142858</x:v>
      </x:c>
      <x:c r="K22" s="1" t="n">
        <x:f>COUNTIFS(Listings!$T$2:$T$169,"&gt;3",Listings!$T$2:$T$169,"&lt;=5",Listings!$O$2:$O$169,0)</x:f>
        <x:v>5</x:v>
      </x:c>
    </x:row>
    <x:row r="23">
      <x:c r="A23" s="1" t="str">
        <x:v>Centennial Biomedical Campus</x:v>
      </x:c>
      <x:c r="B23" s="1" t="str">
        <x:v>&gt;3–5 mi</x:v>
      </x:c>
      <x:c r="C23" s="1" t="str">
        <x:v>Whole unit</x:v>
      </x:c>
      <x:c r="D23" s="1" t="n">
        <x:f>COUNTIFS(Listings!$T$2:$T$169,"&gt;3",Listings!$T$2:$T$169,"&lt;=5")</x:f>
        <x:v>44</x:v>
      </x:c>
      <x:c r="E23" s="1" t="n">
        <x:f>COUNTIFS(Listings!$T$2:$T$169,"&gt;3",Listings!$T$2:$T$169,"&lt;=5",Listings!$O$2:$O$169,1,Listings!$E$2:$E$169,C23)</x:f>
        <x:v>11</x:v>
      </x:c>
      <x:c r="F23" s="6" t="n">
        <x:f>SUMIFS(Listings!$H$2:$H$169,Listings!$T$2:$T$169,"&gt;3",Listings!$T$2:$T$169,"&lt;=5",Listings!$O$2:$O$169,1,Listings!$E$2:$E$169,C23)</x:f>
        <x:v>23165</x:v>
      </x:c>
      <x:c r="G23" s="6" t="n">
        <x:f>SUMIFS(Listings!$I$2:$I$169,Listings!$T$2:$T$169,"&gt;3",Listings!$T$2:$T$169,"&lt;=5",Listings!$O$2:$O$169,1,Listings!$E$2:$E$169,C23)</x:f>
        <x:v>23165</x:v>
      </x:c>
      <x:c r="H23" s="6" t="n">
        <x:f>IF(E23=0,"",F23/E23)</x:f>
        <x:v>2105.909090909091</x:v>
      </x:c>
      <x:c r="I23" s="6" t="n">
        <x:f>IF(E23=0,"",G23/E23)</x:f>
        <x:v>2105.909090909091</x:v>
      </x:c>
      <x:c r="J23" s="6" t="n">
        <x:f>IF(E23=0,"",(H23+I23)/2)</x:f>
        <x:v>2105.909090909091</x:v>
      </x:c>
      <x:c r="K23" s="1" t="n">
        <x:f>COUNTIFS(Listings!$T$2:$T$169,"&gt;3",Listings!$T$2:$T$169,"&lt;=5",Listings!$O$2:$O$169,0)</x:f>
        <x:v>5</x:v>
      </x:c>
    </x:row>
    <x:row r="24">
      <x:c r="A24" s="1" t="str">
        <x:v>Centennial Biomedical Campus</x:v>
      </x:c>
      <x:c r="B24" s="1" t="str">
        <x:v>Pooled 0–5 mi</x:v>
      </x:c>
      <x:c r="C24" s="1" t="str">
        <x:v>Per bedroom</x:v>
      </x:c>
      <x:c r="D24" s="1" t="n">
        <x:f>COUNTIFS(Listings!$T$2:$T$169,"&gt;=0",Listings!$T$2:$T$169,"&lt;=5")</x:f>
        <x:v>146</x:v>
      </x:c>
      <x:c r="E24" s="1" t="n">
        <x:f>COUNTIFS(Listings!$T$2:$T$169,"&gt;=0",Listings!$T$2:$T$169,"&lt;=5",Listings!$O$2:$O$169,1,Listings!$E$2:$E$169,C24)</x:f>
        <x:v>72</x:v>
      </x:c>
      <x:c r="F24" s="6" t="n">
        <x:f>SUMIFS(Listings!$H$2:$H$169,Listings!$T$2:$T$169,"&gt;=0",Listings!$T$2:$T$169,"&lt;=5",Listings!$O$2:$O$169,1,Listings!$E$2:$E$169,C24)</x:f>
        <x:v>59222</x:v>
      </x:c>
      <x:c r="G24" s="6" t="n">
        <x:f>SUMIFS(Listings!$I$2:$I$169,Listings!$T$2:$T$169,"&gt;=0",Listings!$T$2:$T$169,"&lt;=5",Listings!$O$2:$O$169,1,Listings!$E$2:$E$169,C24)</x:f>
        <x:v>66625</x:v>
      </x:c>
      <x:c r="H24" s="6" t="n">
        <x:f>IF(E24=0,"",F24/E24)</x:f>
        <x:v>822.5277777777778</x:v>
      </x:c>
      <x:c r="I24" s="6" t="n">
        <x:f>IF(E24=0,"",G24/E24)</x:f>
        <x:v>925.3472222222222</x:v>
      </x:c>
      <x:c r="J24" s="6" t="n">
        <x:f>IF(E24=0,"",(H24+I24)/2)</x:f>
        <x:v>873.9375</x:v>
      </x:c>
      <x:c r="K24" s="1" t="n">
        <x:f>COUNTIFS(Listings!$T$2:$T$169,"&gt;=0",Listings!$T$2:$T$169,"&lt;=5",Listings!$O$2:$O$169,0)</x:f>
        <x:v>23</x:v>
      </x:c>
    </x:row>
    <x:row r="25">
      <x:c r="A25" s="1" t="str">
        <x:v>Centennial Biomedical Campus</x:v>
      </x:c>
      <x:c r="B25" s="1" t="str">
        <x:v>Pooled 0–5 mi</x:v>
      </x:c>
      <x:c r="C25" s="1" t="str">
        <x:v>Whole unit</x:v>
      </x:c>
      <x:c r="D25" s="1" t="n">
        <x:f>COUNTIFS(Listings!$T$2:$T$169,"&gt;=0",Listings!$T$2:$T$169,"&lt;=5")</x:f>
        <x:v>146</x:v>
      </x:c>
      <x:c r="E25" s="1" t="n">
        <x:f>COUNTIFS(Listings!$T$2:$T$169,"&gt;=0",Listings!$T$2:$T$169,"&lt;=5",Listings!$O$2:$O$169,1,Listings!$E$2:$E$169,C25)</x:f>
        <x:v>51</x:v>
      </x:c>
      <x:c r="F25" s="6" t="n">
        <x:f>SUMIFS(Listings!$H$2:$H$169,Listings!$T$2:$T$169,"&gt;=0",Listings!$T$2:$T$169,"&lt;=5",Listings!$O$2:$O$169,1,Listings!$E$2:$E$169,C25)</x:f>
        <x:v>108590</x:v>
      </x:c>
      <x:c r="G25" s="6" t="n">
        <x:f>SUMIFS(Listings!$I$2:$I$169,Listings!$T$2:$T$169,"&gt;=0",Listings!$T$2:$T$169,"&lt;=5",Listings!$O$2:$O$169,1,Listings!$E$2:$E$169,C25)</x:f>
        <x:v>114498</x:v>
      </x:c>
      <x:c r="H25" s="6" t="n">
        <x:f>IF(E25=0,"",F25/E25)</x:f>
        <x:v>2129.2156862745096</x:v>
      </x:c>
      <x:c r="I25" s="6" t="n">
        <x:f>IF(E25=0,"",G25/E25)</x:f>
        <x:v>2245.0588235294117</x:v>
      </x:c>
      <x:c r="J25" s="6" t="n">
        <x:f>IF(E25=0,"",(H25+I25)/2)</x:f>
        <x:v>2187.1372549019607</x:v>
      </x:c>
      <x:c r="K25" s="1" t="n">
        <x:f>COUNTIFS(Listings!$T$2:$T$169,"&gt;=0",Listings!$T$2:$T$169,"&lt;=5",Listings!$O$2:$O$169,0)</x:f>
        <x:v>23</x:v>
      </x:c>
    </x:row>
    <x:row r="26">
      <x:c r="A26" s="1" t="str">
        <x:v>All three campuses</x:v>
      </x:c>
      <x:c r="B26" s="1" t="str">
        <x:v>Unique-ID union</x:v>
      </x:c>
      <x:c r="C26" s="1" t="str">
        <x:v>Per bedroom</x:v>
      </x:c>
      <x:c r="D26" s="1" t="n">
        <x:f>COUNTIFS(Listings!$V$2:$V$169,1)</x:f>
        <x:v>156</x:v>
      </x:c>
      <x:c r="E26" s="1" t="n">
        <x:f>COUNTIFS(Listings!$V$2:$V$169,1,Listings!$O$2:$O$169,1,Listings!$E$2:$E$169,C26)</x:f>
        <x:v>78</x:v>
      </x:c>
      <x:c r="F26" s="6" t="n">
        <x:f>SUMIFS(Listings!$H$2:$H$169,Listings!$V$2:$V$169,1,Listings!$O$2:$O$169,1,Listings!$E$2:$E$169,C26)</x:f>
        <x:v>63490</x:v>
      </x:c>
      <x:c r="G26" s="6" t="n">
        <x:f>SUMIFS(Listings!$I$2:$I$169,Listings!$V$2:$V$169,1,Listings!$O$2:$O$169,1,Listings!$E$2:$E$169,C26)</x:f>
        <x:v>70893</x:v>
      </x:c>
      <x:c r="H26" s="6" t="n">
        <x:f>IF(E26=0,"",F26/E26)</x:f>
        <x:v>813.974358974359</x:v>
      </x:c>
      <x:c r="I26" s="6" t="n">
        <x:f>IF(E26=0,"",G26/E26)</x:f>
        <x:v>908.8846153846154</x:v>
      </x:c>
      <x:c r="J26" s="6" t="n">
        <x:f>IF(E26=0,"",(H26+I26)/2)</x:f>
        <x:v>861.4294871794872</x:v>
      </x:c>
      <x:c r="K26" s="1" t="n">
        <x:f>COUNTIFS(Listings!$V$2:$V$169,1,Listings!$O$2:$O$169,0)</x:f>
        <x:v>25</x:v>
      </x:c>
    </x:row>
    <x:row r="27">
      <x:c r="A27" s="1" t="str">
        <x:v>All three campuses</x:v>
      </x:c>
      <x:c r="B27" s="1" t="str">
        <x:v>Unique-ID union</x:v>
      </x:c>
      <x:c r="C27" s="1" t="str">
        <x:v>Whole unit</x:v>
      </x:c>
      <x:c r="D27" s="1" t="n">
        <x:f>COUNTIFS(Listings!$V$2:$V$169,1)</x:f>
        <x:v>156</x:v>
      </x:c>
      <x:c r="E27" s="1" t="n">
        <x:f>COUNTIFS(Listings!$V$2:$V$169,1,Listings!$O$2:$O$169,1,Listings!$E$2:$E$169,C27)</x:f>
        <x:v>53</x:v>
      </x:c>
      <x:c r="F27" s="6" t="n">
        <x:f>SUMIFS(Listings!$H$2:$H$169,Listings!$V$2:$V$169,1,Listings!$O$2:$O$169,1,Listings!$E$2:$E$169,C27)</x:f>
        <x:v>113590</x:v>
      </x:c>
      <x:c r="G27" s="6" t="n">
        <x:f>SUMIFS(Listings!$I$2:$I$169,Listings!$V$2:$V$169,1,Listings!$O$2:$O$169,1,Listings!$E$2:$E$169,C27)</x:f>
        <x:v>119998</x:v>
      </x:c>
      <x:c r="H27" s="6" t="n">
        <x:f>IF(E27=0,"",F27/E27)</x:f>
        <x:v>2143.2075471698113</x:v>
      </x:c>
      <x:c r="I27" s="6" t="n">
        <x:f>IF(E27=0,"",G27/E27)</x:f>
        <x:v>2264.1132075471696</x:v>
      </x:c>
      <x:c r="J27" s="6" t="n">
        <x:f>IF(E27=0,"",(H27+I27)/2)</x:f>
        <x:v>2203.66037735849</x:v>
      </x:c>
      <x:c r="K27" s="1" t="n">
        <x:f>COUNTIFS(Listings!$V$2:$V$169,1,Listings!$O$2:$O$169,0)</x:f>
        <x:v>25</x:v>
      </x:c>
    </x:row>
    <x:row r="30" ht="42" customHeight="1">
      <x:c r="A30" s="4" t="str">
        <x:v>Count reconciliation</x:v>
      </x:c>
      <x:c r="B30" s="4" t="str">
        <x:v>0–1 mi kept</x:v>
      </x:c>
      <x:c r="C30" s="4" t="str">
        <x:v>&gt;1–3 mi kept</x:v>
      </x:c>
      <x:c r="D30" s="4" t="str">
        <x:v>&gt;3–5 mi kept</x:v>
      </x:c>
      <x:c r="E30" s="4" t="str">
        <x:v>Kept total</x:v>
      </x:c>
      <x:c r="F30" s="4" t="str">
        <x:v>Room prices</x:v>
      </x:c>
      <x:c r="G30" s="4" t="str">
        <x:v>Whole-unit prices</x:v>
      </x:c>
      <x:c r="H30" s="4" t="str">
        <x:v>Excluded prices in area</x:v>
      </x:c>
      <x:c r="I30" s="4" t="str">
        <x:v>Mapped total</x:v>
      </x:c>
    </x:row>
    <x:row r="31" ht="15" hidden="0" customHeight="1">
      <x:c r="A31" s="5" t="str">
        <x:v>Main Campus</x:v>
      </x:c>
      <x:c r="B31" s="1" t="n">
        <x:f>SUM(E2:E3)</x:f>
        <x:v>47</x:v>
      </x:c>
      <x:c r="C31" s="1" t="n">
        <x:f>SUM(E4:E5)</x:f>
        <x:v>60</x:v>
      </x:c>
      <x:c r="D31" s="1" t="n">
        <x:f>SUM(E6:E7)</x:f>
        <x:v>21</x:v>
      </x:c>
      <x:c r="E31" s="1" t="n">
        <x:f>SUM(B31:D31)</x:f>
        <x:v>128</x:v>
      </x:c>
      <x:c r="F31" s="1" t="n">
        <x:f>E8</x:f>
        <x:v>76</x:v>
      </x:c>
      <x:c r="G31" s="1" t="n">
        <x:f>E9</x:f>
        <x:v>52</x:v>
      </x:c>
      <x:c r="H31" s="1" t="n">
        <x:f>K8</x:f>
        <x:v>25</x:v>
      </x:c>
      <x:c r="I31" s="1" t="n">
        <x:f>D8</x:f>
        <x:v>153</x:v>
      </x:c>
    </x:row>
    <x:row r="32" ht="15" hidden="0" customHeight="1">
      <x:c r="A32" s="5" t="str">
        <x:v>Centennial Campus</x:v>
      </x:c>
      <x:c r="B32" s="1" t="n">
        <x:f>SUM(E10:E11)</x:f>
        <x:v>28</x:v>
      </x:c>
      <x:c r="C32" s="1" t="n">
        <x:f>SUM(E12:E13)</x:f>
        <x:v>77</x:v>
      </x:c>
      <x:c r="D32" s="1" t="n">
        <x:f>SUM(E14:E15)</x:f>
        <x:v>21</x:v>
      </x:c>
      <x:c r="E32" s="1" t="n">
        <x:f>SUM(B32:D32)</x:f>
        <x:v>126</x:v>
      </x:c>
      <x:c r="F32" s="1" t="n">
        <x:f>E16</x:f>
        <x:v>76</x:v>
      </x:c>
      <x:c r="G32" s="1" t="n">
        <x:f>E17</x:f>
        <x:v>50</x:v>
      </x:c>
      <x:c r="H32" s="1" t="n">
        <x:f>K16</x:f>
        <x:v>25</x:v>
      </x:c>
      <x:c r="I32" s="1" t="n">
        <x:f>D16</x:f>
        <x:v>151</x:v>
      </x:c>
    </x:row>
    <x:row r="33" ht="15" hidden="0" customHeight="1">
      <x:c r="A33" s="5" t="str">
        <x:v>Centennial Biomedical Campus</x:v>
      </x:c>
      <x:c r="B33" s="1" t="n">
        <x:f>SUM(E18:E19)</x:f>
        <x:v>9</x:v>
      </x:c>
      <x:c r="C33" s="1" t="n">
        <x:f>SUM(E20:E21)</x:f>
        <x:v>75</x:v>
      </x:c>
      <x:c r="D33" s="1" t="n">
        <x:f>SUM(E22:E23)</x:f>
        <x:v>39</x:v>
      </x:c>
      <x:c r="E33" s="1" t="n">
        <x:f>SUM(B33:D33)</x:f>
        <x:v>123</x:v>
      </x:c>
      <x:c r="F33" s="1" t="n">
        <x:f>E24</x:f>
        <x:v>72</x:v>
      </x:c>
      <x:c r="G33" s="1" t="n">
        <x:f>E25</x:f>
        <x:v>51</x:v>
      </x:c>
      <x:c r="H33" s="1" t="n">
        <x:f>K24</x:f>
        <x:v>23</x:v>
      </x:c>
      <x:c r="I33" s="1" t="n">
        <x:f>D24</x:f>
        <x:v>146</x:v>
      </x:c>
    </x:row>
    <x:row r="34" ht="15" hidden="0" customHeight="1">
      <x:c r="A34" s="5" t="str">
        <x:v>All three (unique IDs)</x:v>
      </x:c>
      <x:c r="B34" s="1"/>
      <x:c r="C34" s="1"/>
      <x:c r="D34" s="1"/>
      <x:c r="E34" s="1" t="n">
        <x:f>SUM(F34:G34)</x:f>
        <x:v>131</x:v>
      </x:c>
      <x:c r="F34" s="1" t="n">
        <x:f>E26</x:f>
        <x:v>78</x:v>
      </x:c>
      <x:c r="G34" s="1" t="n">
        <x:f>E27</x:f>
        <x:v>53</x:v>
      </x:c>
      <x:c r="H34" s="1" t="n">
        <x:f>K26</x:f>
        <x:v>25</x:v>
      </x:c>
      <x:c r="I34" s="1" t="n">
        <x:f>D26</x:f>
        <x:v>156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8" customHeight="1">
      <x:c r="A1" s="4" t="str">
        <x:v>Scenario</x:v>
      </x:c>
      <x:c r="B1" s="4" t="str">
        <x:v>Category</x:v>
      </x:c>
      <x:c r="C1" s="4" t="str">
        <x:v>Prices used</x:v>
      </x:c>
      <x:c r="D1" s="4" t="str">
        <x:v>Low sum ($)</x:v>
      </x:c>
      <x:c r="E1" s="4" t="str">
        <x:v>High sum ($)</x:v>
      </x:c>
      <x:c r="F1" s="4" t="str">
        <x:v>Low mean ($/mo)</x:v>
      </x:c>
      <x:c r="G1" s="4" t="str">
        <x:v>High mean ($/mo)</x:v>
      </x:c>
      <x:c r="H1" s="4" t="str">
        <x:v>Mean midpoint ($/mo)</x:v>
      </x:c>
    </x:row>
    <x:row r="2">
      <x:c r="A2" s="1" t="str">
        <x:v>Primary reviewed sample</x:v>
      </x:c>
      <x:c r="B2" s="1" t="str">
        <x:v>Per bedroom</x:v>
      </x:c>
      <x:c r="C2" s="1" t="n">
        <x:f>COUNTIFS(Listings!$X$2:$X$169,1,Listings!$E$2:$E$169,B2)</x:f>
        <x:v>78</x:v>
      </x:c>
      <x:c r="D2" s="6" t="n">
        <x:f>SUMIFS(Listings!$H$2:$H$169,Listings!$X$2:$X$169,1,Listings!$E$2:$E$169,B2)</x:f>
        <x:v>63490</x:v>
      </x:c>
      <x:c r="E2" s="6" t="n">
        <x:f>SUMIFS(Listings!$I$2:$I$169,Listings!$X$2:$X$169,1,Listings!$E$2:$E$169,B2)</x:f>
        <x:v>70893</x:v>
      </x:c>
      <x:c r="F2" s="6" t="n">
        <x:f>IF(C2=0,"",D2/C2)</x:f>
        <x:v>813.974358974359</x:v>
      </x:c>
      <x:c r="G2" s="6" t="n">
        <x:f>IF(C2=0,"",E2/C2)</x:f>
        <x:v>908.8846153846154</x:v>
      </x:c>
      <x:c r="H2" s="6" t="n">
        <x:f>IF(C2=0,"",(F2+G2)/2)</x:f>
        <x:v>861.4294871794872</x:v>
      </x:c>
    </x:row>
    <x:row r="3">
      <x:c r="A3" s="1" t="str">
        <x:v>Primary reviewed sample</x:v>
      </x:c>
      <x:c r="B3" s="1" t="str">
        <x:v>Whole unit</x:v>
      </x:c>
      <x:c r="C3" s="1" t="n">
        <x:f>COUNTIFS(Listings!$X$2:$X$169,1,Listings!$E$2:$E$169,B3)</x:f>
        <x:v>53</x:v>
      </x:c>
      <x:c r="D3" s="6" t="n">
        <x:f>SUMIFS(Listings!$H$2:$H$169,Listings!$X$2:$X$169,1,Listings!$E$2:$E$169,B3)</x:f>
        <x:v>113590</x:v>
      </x:c>
      <x:c r="E3" s="6" t="n">
        <x:f>SUMIFS(Listings!$I$2:$I$169,Listings!$X$2:$X$169,1,Listings!$E$2:$E$169,B3)</x:f>
        <x:v>119998</x:v>
      </x:c>
      <x:c r="F3" s="6" t="n">
        <x:f>IF(C3=0,"",D3/C3)</x:f>
        <x:v>2143.2075471698113</x:v>
      </x:c>
      <x:c r="G3" s="6" t="n">
        <x:f>IF(C3=0,"",E3/C3)</x:f>
        <x:v>2264.1132075471696</x:v>
      </x:c>
      <x:c r="H3" s="6" t="n">
        <x:f>IF(C3=0,"",(F3+G3)/2)</x:f>
        <x:v>2203.66037735849</x:v>
      </x:c>
    </x:row>
    <x:row r="4">
      <x:c r="A4" s="1" t="str">
        <x:v>Omit all plans dated 2027+</x:v>
      </x:c>
      <x:c r="B4" s="1" t="str">
        <x:v>Per bedroom</x:v>
      </x:c>
      <x:c r="C4" s="1" t="n">
        <x:f>COUNTIFS(Listings!$X$2:$X$169,1,Listings!$E$2:$E$169,B4,Listings!$Y$2:$Y$169,0)</x:f>
        <x:v>70</x:v>
      </x:c>
      <x:c r="D4" s="6" t="n">
        <x:f>SUMIFS(Listings!$H$2:$H$169,Listings!$X$2:$X$169,1,Listings!$E$2:$E$169,B4,Listings!$Y$2:$Y$169,0)</x:f>
        <x:v>55826</x:v>
      </x:c>
      <x:c r="E4" s="6" t="n">
        <x:f>SUMIFS(Listings!$I$2:$I$169,Listings!$X$2:$X$169,1,Listings!$E$2:$E$169,B4,Listings!$Y$2:$Y$169,0)</x:f>
        <x:v>62929</x:v>
      </x:c>
      <x:c r="F4" s="6" t="n">
        <x:f>IF(C4=0,"",D4/C4)</x:f>
        <x:v>797.5142857142857</x:v>
      </x:c>
      <x:c r="G4" s="6" t="n">
        <x:f>IF(C4=0,"",E4/C4)</x:f>
        <x:v>898.9857142857143</x:v>
      </x:c>
      <x:c r="H4" s="6" t="n">
        <x:f>IF(C4=0,"",(F4+G4)/2)</x:f>
        <x:v>848.25</x:v>
      </x:c>
    </x:row>
    <x:row r="5">
      <x:c r="A5" s="1" t="str">
        <x:v>Omit all plans dated 2027+</x:v>
      </x:c>
      <x:c r="B5" s="1" t="str">
        <x:v>Whole unit</x:v>
      </x:c>
      <x:c r="C5" s="1" t="n">
        <x:f>COUNTIFS(Listings!$X$2:$X$169,1,Listings!$E$2:$E$169,B5,Listings!$Y$2:$Y$169,0)</x:f>
        <x:v>48</x:v>
      </x:c>
      <x:c r="D5" s="6" t="n">
        <x:f>SUMIFS(Listings!$H$2:$H$169,Listings!$X$2:$X$169,1,Listings!$E$2:$E$169,B5,Listings!$Y$2:$Y$169,0)</x:f>
        <x:v>97541</x:v>
      </x:c>
      <x:c r="E5" s="6" t="n">
        <x:f>SUMIFS(Listings!$I$2:$I$169,Listings!$X$2:$X$169,1,Listings!$E$2:$E$169,B5,Listings!$Y$2:$Y$169,0)</x:f>
        <x:v>103029</x:v>
      </x:c>
      <x:c r="F5" s="6" t="n">
        <x:f>IF(C5=0,"",D5/C5)</x:f>
        <x:v>2032.1041666666667</x:v>
      </x:c>
      <x:c r="G5" s="6" t="n">
        <x:f>IF(C5=0,"",E5/C5)</x:f>
        <x:v>2146.4375</x:v>
      </x:c>
      <x:c r="H5" s="6" t="n">
        <x:f>IF(C5=0,"",(F5+G5)/2)</x:f>
        <x:v>2089.2708333333335</x:v>
      </x:c>
    </x:row>
    <x:row r="6">
      <x:c r="A6" s="1" t="str">
        <x:v>Omit waitlist mentions</x:v>
      </x:c>
      <x:c r="B6" s="1" t="str">
        <x:v>Per bedroom</x:v>
      </x:c>
      <x:c r="C6" s="1" t="n">
        <x:f>COUNTIFS(Listings!$X$2:$X$169,1,Listings!$E$2:$E$169,B6,Listings!$Z$2:$Z$169,0)</x:f>
        <x:v>78</x:v>
      </x:c>
      <x:c r="D6" s="6" t="n">
        <x:f>SUMIFS(Listings!$H$2:$H$169,Listings!$X$2:$X$169,1,Listings!$E$2:$E$169,B6,Listings!$Z$2:$Z$169,0)</x:f>
        <x:v>63490</x:v>
      </x:c>
      <x:c r="E6" s="6" t="n">
        <x:f>SUMIFS(Listings!$I$2:$I$169,Listings!$X$2:$X$169,1,Listings!$E$2:$E$169,B6,Listings!$Z$2:$Z$169,0)</x:f>
        <x:v>70893</x:v>
      </x:c>
      <x:c r="F6" s="6" t="n">
        <x:f>IF(C6=0,"",D6/C6)</x:f>
        <x:v>813.974358974359</x:v>
      </x:c>
      <x:c r="G6" s="6" t="n">
        <x:f>IF(C6=0,"",E6/C6)</x:f>
        <x:v>908.8846153846154</x:v>
      </x:c>
      <x:c r="H6" s="6" t="n">
        <x:f>IF(C6=0,"",(F6+G6)/2)</x:f>
        <x:v>861.4294871794872</x:v>
      </x:c>
    </x:row>
    <x:row r="7">
      <x:c r="A7" s="1" t="str">
        <x:v>Omit waitlist mentions</x:v>
      </x:c>
      <x:c r="B7" s="1" t="str">
        <x:v>Whole unit</x:v>
      </x:c>
      <x:c r="C7" s="1" t="n">
        <x:f>COUNTIFS(Listings!$X$2:$X$169,1,Listings!$E$2:$E$169,B7,Listings!$Z$2:$Z$169,0)</x:f>
        <x:v>52</x:v>
      </x:c>
      <x:c r="D7" s="6" t="n">
        <x:f>SUMIFS(Listings!$H$2:$H$169,Listings!$X$2:$X$169,1,Listings!$E$2:$E$169,B7,Listings!$Z$2:$Z$169,0)</x:f>
        <x:v>109190</x:v>
      </x:c>
      <x:c r="E7" s="6" t="n">
        <x:f>SUMIFS(Listings!$I$2:$I$169,Listings!$X$2:$X$169,1,Listings!$E$2:$E$169,B7,Listings!$Z$2:$Z$169,0)</x:f>
        <x:v>115598</x:v>
      </x:c>
      <x:c r="F7" s="6" t="n">
        <x:f>IF(C7=0,"",D7/C7)</x:f>
        <x:v>2099.8076923076924</x:v>
      </x:c>
      <x:c r="G7" s="6" t="n">
        <x:f>IF(C7=0,"",E7/C7)</x:f>
        <x:v>2223.0384615384614</x:v>
      </x:c>
      <x:c r="H7" s="6" t="n">
        <x:f>IF(C7=0,"",(F7+G7)/2)</x:f>
        <x:v>2161.423076923077</x:v>
      </x:c>
    </x:row>
    <x:row r="8">
      <x:c r="A8" s="1" t="str">
        <x:v>Omit flagged endpoint</x:v>
      </x:c>
      <x:c r="B8" s="1" t="str">
        <x:v>Per bedroom</x:v>
      </x:c>
      <x:c r="C8" s="1" t="n">
        <x:f>COUNTIFS(Listings!$X$2:$X$169,1,Listings!$E$2:$E$169,B8,Listings!$AA$2:$AA$169,0)</x:f>
        <x:v>77</x:v>
      </x:c>
      <x:c r="D8" s="6" t="n">
        <x:f>SUMIFS(Listings!$H$2:$H$169,Listings!$X$2:$X$169,1,Listings!$E$2:$E$169,B8,Listings!$AA$2:$AA$169,0)</x:f>
        <x:v>62891</x:v>
      </x:c>
      <x:c r="E8" s="6" t="n">
        <x:f>SUMIFS(Listings!$I$2:$I$169,Listings!$X$2:$X$169,1,Listings!$E$2:$E$169,B8,Listings!$AA$2:$AA$169,0)</x:f>
        <x:v>68736</x:v>
      </x:c>
      <x:c r="F8" s="6" t="n">
        <x:f>IF(C8=0,"",D8/C8)</x:f>
        <x:v>816.7662337662338</x:v>
      </x:c>
      <x:c r="G8" s="6" t="n">
        <x:f>IF(C8=0,"",E8/C8)</x:f>
        <x:v>892.6753246753246</x:v>
      </x:c>
      <x:c r="H8" s="6" t="n">
        <x:f>IF(C8=0,"",(F8+G8)/2)</x:f>
        <x:v>854.7207792207791</x:v>
      </x:c>
    </x:row>
    <x:row r="9">
      <x:c r="A9" s="1" t="str">
        <x:v>Omit flagged endpoint</x:v>
      </x:c>
      <x:c r="B9" s="1" t="str">
        <x:v>Whole unit</x:v>
      </x:c>
      <x:c r="C9" s="1" t="n">
        <x:f>COUNTIFS(Listings!$X$2:$X$169,1,Listings!$E$2:$E$169,B9,Listings!$AA$2:$AA$169,0)</x:f>
        <x:v>53</x:v>
      </x:c>
      <x:c r="D9" s="6" t="n">
        <x:f>SUMIFS(Listings!$H$2:$H$169,Listings!$X$2:$X$169,1,Listings!$E$2:$E$169,B9,Listings!$AA$2:$AA$169,0)</x:f>
        <x:v>113590</x:v>
      </x:c>
      <x:c r="E9" s="6" t="n">
        <x:f>SUMIFS(Listings!$I$2:$I$169,Listings!$X$2:$X$169,1,Listings!$E$2:$E$169,B9,Listings!$AA$2:$AA$169,0)</x:f>
        <x:v>119998</x:v>
      </x:c>
      <x:c r="F9" s="6" t="n">
        <x:f>IF(C9=0,"",D9/C9)</x:f>
        <x:v>2143.2075471698113</x:v>
      </x:c>
      <x:c r="G9" s="6" t="n">
        <x:f>IF(C9=0,"",E9/C9)</x:f>
        <x:v>2264.1132075471696</x:v>
      </x:c>
      <x:c r="H9" s="6" t="n">
        <x:f>IF(C9=0,"",(F9+G9)/2)</x:f>
        <x:v>2203.66037735849</x:v>
      </x:c>
    </x:row>
    <x:row r="10">
      <x:c r="A10" s="1" t="str">
        <x:v>All three omissions</x:v>
      </x:c>
      <x:c r="B10" s="1" t="str">
        <x:v>Per bedroom</x:v>
      </x:c>
      <x:c r="C10" s="1" t="n">
        <x:f>COUNTIFS(Listings!$X$2:$X$169,1,Listings!$E$2:$E$169,B10,Listings!$Y$2:$Y$169,0,Listings!$Z$2:$Z$169,0,Listings!$AA$2:$AA$169,0)</x:f>
        <x:v>69</x:v>
      </x:c>
      <x:c r="D10" s="6" t="n">
        <x:f>SUMIFS(Listings!$H$2:$H$169,Listings!$X$2:$X$169,1,Listings!$E$2:$E$169,B10,Listings!$Y$2:$Y$169,0,Listings!$Z$2:$Z$169,0,Listings!$AA$2:$AA$169,0)</x:f>
        <x:v>55227</x:v>
      </x:c>
      <x:c r="E10" s="6" t="n">
        <x:f>SUMIFS(Listings!$I$2:$I$169,Listings!$X$2:$X$169,1,Listings!$E$2:$E$169,B10,Listings!$Y$2:$Y$169,0,Listings!$Z$2:$Z$169,0,Listings!$AA$2:$AA$169,0)</x:f>
        <x:v>60772</x:v>
      </x:c>
      <x:c r="F10" s="6" t="n">
        <x:f>IF(C10=0,"",D10/C10)</x:f>
        <x:v>800.3913043478261</x:v>
      </x:c>
      <x:c r="G10" s="6" t="n">
        <x:f>IF(C10=0,"",E10/C10)</x:f>
        <x:v>880.7536231884058</x:v>
      </x:c>
      <x:c r="H10" s="6" t="n">
        <x:f>IF(C10=0,"",(F10+G10)/2)</x:f>
        <x:v>840.572463768116</x:v>
      </x:c>
    </x:row>
    <x:row r="11">
      <x:c r="A11" s="1" t="str">
        <x:v>All three omissions</x:v>
      </x:c>
      <x:c r="B11" s="1" t="str">
        <x:v>Whole unit</x:v>
      </x:c>
      <x:c r="C11" s="1" t="n">
        <x:f>COUNTIFS(Listings!$X$2:$X$169,1,Listings!$E$2:$E$169,B11,Listings!$Y$2:$Y$169,0,Listings!$Z$2:$Z$169,0,Listings!$AA$2:$AA$169,0)</x:f>
        <x:v>47</x:v>
      </x:c>
      <x:c r="D11" s="6" t="n">
        <x:f>SUMIFS(Listings!$H$2:$H$169,Listings!$X$2:$X$169,1,Listings!$E$2:$E$169,B11,Listings!$Y$2:$Y$169,0,Listings!$Z$2:$Z$169,0,Listings!$AA$2:$AA$169,0)</x:f>
        <x:v>93141</x:v>
      </x:c>
      <x:c r="E11" s="6" t="n">
        <x:f>SUMIFS(Listings!$I$2:$I$169,Listings!$X$2:$X$169,1,Listings!$E$2:$E$169,B11,Listings!$Y$2:$Y$169,0,Listings!$Z$2:$Z$169,0,Listings!$AA$2:$AA$169,0)</x:f>
        <x:v>98629</x:v>
      </x:c>
      <x:c r="F11" s="6" t="n">
        <x:f>IF(C11=0,"",D11/C11)</x:f>
        <x:v>1981.723404255319</x:v>
      </x:c>
      <x:c r="G11" s="6" t="n">
        <x:f>IF(C11=0,"",E11/C11)</x:f>
        <x:v>2098.4893617021276</x:v>
      </x:c>
      <x:c r="H11" s="6" t="n">
        <x:f>IF(C11=0,"",(F11+G11)/2)</x:f>
        <x:v>2040.1063829787233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91" hidden="0" customWidth="1"/>
  </x:cols>
  <x:sheetData>
    <x:row r="1" ht="38" customHeight="1">
      <x:c r="A1" s="4" t="str">
        <x:v>Budget calculation</x:v>
      </x:c>
      <x:c r="B1" s="4" t="str">
        <x:v>Value</x:v>
      </x:c>
      <x:c r="C1" s="4" t="str">
        <x:v>Meaning / source</x:v>
      </x:c>
    </x:row>
    <x:row r="2" ht="37" customHeight="1">
      <x:c r="A2" s="1" t="str">
        <x:v>Hourly wage ($/hour)</x:v>
      </x:c>
      <x:c r="B2" s="14" t="n">
        <x:v>15</x:v>
      </x:c>
      <x:c r="C2" s="5" t="str">
        <x:v>Editable scenario; gross wage before tax.</x:v>
      </x:c>
    </x:row>
    <x:row r="3" ht="37" customHeight="1">
      <x:c r="A3" s="1" t="str">
        <x:v>Hours per paid week</x:v>
      </x:c>
      <x:c r="B3" s="15" t="n">
        <x:v>20</x:v>
      </x:c>
      <x:c r="C3" s="5" t="str">
        <x:v>General FWS guideline is no more than 20 hours; an individual award may restrict earnings further.</x:v>
      </x:c>
    </x:row>
    <x:row r="4" ht="37" customHeight="1">
      <x:c r="A4" s="1" t="str">
        <x:v>Budget period (months)</x:v>
      </x:c>
      <x:c r="B4" s="15" t="n">
        <x:v>12</x:v>
      </x:c>
      <x:c r="C4" s="5" t="str">
        <x:v>Use the same period for every total below.</x:v>
      </x:c>
    </x:row>
    <x:row r="5" ht="37" customHeight="1">
      <x:c r="A5" s="1" t="str">
        <x:v>Requested paid weeks</x:v>
      </x:c>
      <x:c r="B5" s="15" t="n">
        <x:v>52</x:v>
      </x:c>
      <x:c r="C5" s="5" t="str">
        <x:v>Illustrative availability of paid work, not a guarantee.</x:v>
      </x:c>
    </x:row>
    <x:row r="6" ht="37" customHeight="1">
      <x:c r="A6" s="1" t="str">
        <x:v>Living-cost grant in period ($)</x:v>
      </x:c>
      <x:c r="B6" s="14" t="n">
        <x:v>0</x:v>
      </x:c>
      <x:c r="C6" s="5" t="str">
        <x:v>After tuition, fees, account charges and other commitments; do not enter the entire average CDS grant.</x:v>
      </x:c>
    </x:row>
    <x:row r="7" ht="37" customHeight="1">
      <x:c r="A7" s="1" t="str">
        <x:v>Living-cost loan in period ($)</x:v>
      </x:c>
      <x:c r="B7" s="14" t="n">
        <x:v>0</x:v>
      </x:c>
      <x:c r="C7" s="5" t="str">
        <x:v>Borrowed funds remaining for living costs, not earnings.</x:v>
      </x:c>
    </x:row>
    <x:row r="8" ht="37" customHeight="1">
      <x:c r="A8" s="1" t="str">
        <x:v>Other support in period ($)</x:v>
      </x:c>
      <x:c r="B8" s="14" t="n">
        <x:v>0</x:v>
      </x:c>
      <x:c r="C8" s="5" t="str">
        <x:v>Family support, savings or other resources allocated to this period.</x:v>
      </x:c>
    </x:row>
    <x:row r="9" ht="37" customHeight="1">
      <x:c r="A9" s="1" t="str">
        <x:v>Extra monthly housing costs ($)</x:v>
      </x:c>
      <x:c r="B9" s="14" t="n">
        <x:v>0</x:v>
      </x:c>
      <x:c r="C9" s="5" t="str">
        <x:v>Only costs not already included in the advertised rent.</x:v>
      </x:c>
    </x:row>
    <x:row r="10" ht="37" customHeight="1">
      <x:c r="A10" s="1" t="str">
        <x:v>Effective paid weeks</x:v>
      </x:c>
      <x:c r="B10" s="8" t="n">
        <x:f>MIN(MAX(B5,0),52*B4/12)</x:f>
        <x:v>52</x:v>
      </x:c>
      <x:c r="C10" s="5" t="str">
        <x:v>Capped at 52 × months / 12 to fit the budget period.</x:v>
      </x:c>
    </x:row>
    <x:row r="11" ht="37" customHeight="1">
      <x:c r="A11" s="1" t="str">
        <x:v>Work pay in period ($)</x:v>
      </x:c>
      <x:c r="B11" s="6" t="n">
        <x:f>B2*B3*B10</x:f>
        <x:v>15600</x:v>
      </x:c>
      <x:c r="C11" s="5" t="str">
        <x:v>Hourly wage × hours × effective paid weeks.</x:v>
      </x:c>
    </x:row>
    <x:row r="12" ht="37" customHeight="1">
      <x:c r="A12" s="1" t="str">
        <x:v>Monthly gross work pay ($)</x:v>
      </x:c>
      <x:c r="B12" s="6" t="n">
        <x:f>B11/B4</x:f>
        <x:v>1300</x:v>
      </x:c>
      <x:c r="C12" s="5" t="str">
        <x:v>Work pay / budget months.</x:v>
      </x:c>
    </x:row>
    <x:row r="13" ht="37" customHeight="1">
      <x:c r="A13" s="1" t="str">
        <x:v>Monthly living-cost grant ($)</x:v>
      </x:c>
      <x:c r="B13" s="6" t="n">
        <x:f>B6/B4</x:f>
        <x:v>0</x:v>
      </x:c>
      <x:c r="C13" s="5" t="str">
        <x:v>Remaining living-cost grant / months.</x:v>
      </x:c>
    </x:row>
    <x:row r="14" ht="37" customHeight="1">
      <x:c r="A14" s="1" t="str">
        <x:v>Monthly borrowed funds ($)</x:v>
      </x:c>
      <x:c r="B14" s="6" t="n">
        <x:f>B7/B4</x:f>
        <x:v>0</x:v>
      </x:c>
      <x:c r="C14" s="5" t="str">
        <x:v>Remaining loan / months.</x:v>
      </x:c>
    </x:row>
    <x:row r="15" ht="37" customHeight="1">
      <x:c r="A15" s="1" t="str">
        <x:v>Monthly other support ($)</x:v>
      </x:c>
      <x:c r="B15" s="6" t="n">
        <x:f>B8/B4</x:f>
        <x:v>0</x:v>
      </x:c>
      <x:c r="C15" s="5" t="str">
        <x:v>Other support / months.</x:v>
      </x:c>
    </x:row>
    <x:row r="16" ht="37" customHeight="1">
      <x:c r="A16" s="1" t="str">
        <x:v>Monthly resources ($)</x:v>
      </x:c>
      <x:c r="B16" s="6" t="n">
        <x:f>SUM(B12:B15)</x:f>
        <x:v>1300</x:v>
      </x:c>
      <x:c r="C16" s="5" t="str">
        <x:v>Pay + grant + loans + other. A budget illustration, not HUD household income.</x:v>
      </x:c>
    </x:row>
    <x:row r="17" ht="37" customHeight="1">
      <x:c r="A17" s="1" t="str">
        <x:v>Room mean midpoint ($/mo)</x:v>
      </x:c>
      <x:c r="B17" s="6" t="n">
        <x:f>Summary!J26</x:f>
        <x:v>861.4294871794872</x:v>
      </x:c>
      <x:c r="C17" s="5" t="str">
        <x:v>Linked to the combined-sample per-bedroom Summary result.</x:v>
      </x:c>
    </x:row>
    <x:row r="18" ht="37" customHeight="1">
      <x:c r="A18" s="1" t="str">
        <x:v>Modeled monthly housing cost ($)</x:v>
      </x:c>
      <x:c r="B18" s="6" t="n">
        <x:f>B17+B9</x:f>
        <x:v>861.4294871794872</x:v>
      </x:c>
      <x:c r="C18" s="5" t="str">
        <x:v>Room mean midpoint + your extra housing costs.</x:v>
      </x:c>
    </x:row>
    <x:row r="19" ht="37" customHeight="1">
      <x:c r="A19" s="1" t="str">
        <x:v>Housing / monthly resources</x:v>
      </x:c>
      <x:c r="B19" s="13" t="n">
        <x:f>IF(B16=0,"",B18/B16)</x:f>
        <x:v>0.662638067061144</x:v>
      </x:c>
      <x:c r="C19" s="5" t="str">
        <x:v>Blank when resources are zero; not a formal HUD classification.</x:v>
      </x:c>
    </x:row>
    <x:row r="20" ht="37" customHeight="1">
      <x:c r="A20" s="1" t="str">
        <x:v>Specific whole-unit rent ($/mo)</x:v>
      </x:c>
      <x:c r="B20" s="14" t="n">
        <x:v>2400</x:v>
      </x:c>
      <x:c r="C20" s="5" t="str">
        <x:v>Separate lease example, not the mean across different dwelling sizes.</x:v>
      </x:c>
    </x:row>
    <x:row r="21" ht="37" customHeight="1">
      <x:c r="A21" s="1" t="str">
        <x:v>Specific shared utilities ($/mo)</x:v>
      </x:c>
      <x:c r="B21" s="14" t="n">
        <x:v>180</x:v>
      </x:c>
      <x:c r="C21" s="5" t="str">
        <x:v>Example only. Avoid double-counting included charges.</x:v>
      </x:c>
    </x:row>
    <x:row r="22" ht="37" customHeight="1">
      <x:c r="A22" s="1" t="str">
        <x:v>Equal payers in that lease</x:v>
      </x:c>
      <x:c r="B22" s="15" t="n">
        <x:v>3</x:v>
      </x:c>
      <x:c r="C22" s="5" t="str">
        <x:v>Use actual permitted occupants and agreed cost allocation.</x:v>
      </x:c>
    </x:row>
    <x:row r="23" ht="37" customHeight="1">
      <x:c r="A23" s="1" t="str">
        <x:v>Specific lease share ($/mo)</x:v>
      </x:c>
      <x:c r="B23" s="6" t="n">
        <x:f>(B20+B21)/B22</x:f>
        <x:v>860</x:v>
      </x:c>
      <x:c r="C23" s="5" t="str">
        <x:v>(Specific rent + shared utilities) / equal payers.</x:v>
      </x:c>
    </x:row>
    <x:row r="24" ht="37" customHeight="1">
      <x:c r="A24" s="1" t="str">
        <x:v>Specific share / resources</x:v>
      </x:c>
      <x:c r="B24" s="13" t="n">
        <x:f>IF(B16=0,"",B23/B16)</x:f>
        <x:v>0.6615384615384615</x:v>
      </x:c>
      <x:c r="C24" s="5" t="str">
        <x:v>Personal lease share / monthly resources.</x:v>
      </x:c>
    </x:row>
    <x:row r="25" ht="37" customHeight="1">
      <x:c r="A25" s="1" t="str">
        <x:v>Remaining FWS award cap ($)</x:v>
      </x:c>
      <x:c r="B25" s="14" t="n">
        <x:v>3000</x:v>
      </x:c>
      <x:c r="C25" s="5" t="str">
        <x:v>Example cap; replace with actual remaining award for the period.</x:v>
      </x:c>
    </x:row>
    <x:row r="26" ht="37" customHeight="1">
      <x:c r="A26" s="1" t="str">
        <x:v>FWS pay after award cap ($)</x:v>
      </x:c>
      <x:c r="B26" s="6" t="n">
        <x:f>MIN(B11,B25)</x:f>
        <x:v>3000</x:v>
      </x:c>
      <x:c r="C26" s="5" t="str">
        <x:v>Minimum of work pay in period and remaining FWS award.</x:v>
      </x:c>
    </x:row>
    <x:row r="27" ht="37" customHeight="1">
      <x:c r="A27" s="1" t="str">
        <x:v>FWS monthly capped pay ($)</x:v>
      </x:c>
      <x:c r="B27" s="6" t="n">
        <x:f>B26/B4</x:f>
        <x:v>250</x:v>
      </x:c>
      <x:c r="C27" s="5" t="str">
        <x:v>Capped FWS pay / budget months; not automatically substituted for generic work above.</x:v>
      </x:c>
    </x:row>
    <x:row r="28" ht="37" customHeight="1">
      <x:c r="A28" s="1" t="str">
        <x:v>Weeks supportable by award</x:v>
      </x:c>
      <x:c r="B28" s="8" t="n">
        <x:f>IF(B2*B3=0,"",B25/(B2*B3))</x:f>
        <x:v>10</x:v>
      </x:c>
      <x:c r="C28" s="5" t="str">
        <x:v>Award / (wage × hours); actual employment weeks may be fewer.</x:v>
      </x:c>
    </x:row>
    <x:row r="29" ht="37" customHeight="1">
      <x:c r="A29" s="1" t="str">
        <x:v>CDS grant average, 2024–25 ($)</x:v>
      </x:c>
      <x:c r="B29" s="6" t="n">
        <x:v>14743</x:v>
      </x:c>
      <x:c r="C29" s="5" t="str">
        <x:v>Historical recipient average in CDS 2025–26, H2 K. Source for the optional article presets below.</x:v>
      </x:c>
    </x:row>
    <x:row r="30" ht="37" customHeight="1">
      <x:c r="A30" s="1" t="str">
        <x:v>CDS need-loan average, 2024–25 ($)</x:v>
      </x:c>
      <x:c r="B30" s="6" t="n">
        <x:v>4106</x:v>
      </x:c>
      <x:c r="C30" s="5" t="str">
        <x:v>Historical recipient average in CDS 2025–26, H2 M. Different recipient group; source for optional presets.</x:v>
      </x:c>
    </x:row>
    <x:row r="31" ht="37" customHeight="1">
      <x:c r="A31" s="1" t="str">
        <x:v>CDS grant / 12, context only ($)</x:v>
      </x:c>
      <x:c r="B31" s="6" t="n">
        <x:f>B29/12</x:f>
        <x:v>1228.5833333333333</x:v>
      </x:c>
      <x:c r="C31" s="5" t="str">
        <x:v>Scale illustration only; does not establish a refund available for housing.</x:v>
      </x:c>
    </x:row>
    <x:row r="32" ht="37" customHeight="1">
      <x:c r="A32" s="1" t="str">
        <x:v>CDS loan / 12, context only ($)</x:v>
      </x:c>
      <x:c r="B32" s="6" t="n">
        <x:f>B30/12</x:f>
        <x:v>342.1666666666667</x:v>
      </x:c>
      <x:c r="C32" s="5" t="str">
        <x:v>Scale illustration only; does not establish a typical combined aid package.</x:v>
      </x:c>
    </x:row>
    <x:row r="35" ht="38" customHeight="1">
      <x:c r="A35" s="1" t="str">
        <x:v>Article average-aid checkboxes</x:v>
      </x:c>
      <x:c r="B35" s="1"/>
      <x:c r="C35" s="5"/>
    </x:row>
    <x:row r="36" ht="38" customHeight="1">
      <x:c r="A36" s="3" t="str">
        <x:v>Preset control / calculation</x:v>
      </x:c>
      <x:c r="B36" s="3" t="str">
        <x:v>Value</x:v>
      </x:c>
      <x:c r="C36" s="4" t="str">
        <x:v>Meaning / assumption</x:v>
      </x:c>
    </x:row>
    <x:row r="37" ht="38" customHeight="1">
      <x:c r="A37" s="1" t="str">
        <x:v>Include need-based grant average</x:v>
      </x:c>
      <x:c r="B37" s="18" t="n">
        <x:v>0</x:v>
      </x:c>
      <x:c r="C37" s="5" t="str">
        <x:v>0 = unchecked; 1 = checked. Full average award only under the tuition-paid-separately assumption.</x:v>
      </x:c>
    </x:row>
    <x:row r="38" ht="38" customHeight="1">
      <x:c r="A38" s="1" t="str">
        <x:v>Include need-based loan average</x:v>
      </x:c>
      <x:c r="B38" s="18" t="n">
        <x:v>0</x:v>
      </x:c>
      <x:c r="C38" s="5" t="str">
        <x:v>0 = unchecked; 1 = checked. Borrowed funds, not earnings.</x:v>
      </x:c>
    </x:row>
    <x:row r="39" ht="38" customHeight="1">
      <x:c r="A39" s="1" t="str">
        <x:v>Preset hourly wage ($/hour)</x:v>
      </x:c>
      <x:c r="B39" s="14" t="n">
        <x:v>15</x:v>
      </x:c>
      <x:c r="C39" s="5" t="str">
        <x:v>Change to 7.25 to audit the other article panel.</x:v>
      </x:c>
    </x:row>
    <x:row r="40" ht="38" customHeight="1">
      <x:c r="A40" s="1" t="str">
        <x:v>Preset hours per week</x:v>
      </x:c>
      <x:c r="B40" s="18" t="n">
        <x:v>20</x:v>
      </x:c>
      <x:c r="C40" s="5" t="str">
        <x:v>The article slider changes this input; presets use 52 paid weeks and 12 months.</x:v>
      </x:c>
    </x:row>
    <x:row r="41" ht="38" customHeight="1">
      <x:c r="A41" s="1" t="str">
        <x:v>Preset monthly gross work pay ($)</x:v>
      </x:c>
      <x:c r="B41" s="6" t="n">
        <x:f>B39*B40*52/12</x:f>
        <x:v>1300</x:v>
      </x:c>
      <x:c r="C41" s="5" t="str">
        <x:v>Wage × weekly hours × 52 / 12.</x:v>
      </x:c>
    </x:row>
    <x:row r="42" ht="38" customHeight="1">
      <x:c r="A42" s="1" t="str">
        <x:v>Selected monthly grant equivalent ($)</x:v>
      </x:c>
      <x:c r="B42" s="6" t="n">
        <x:f>B37*B29/12</x:f>
        <x:v>0</x:v>
      </x:c>
      <x:c r="C42" s="5" t="str">
        <x:v>Grant checkbox × historical grant average / 12.</x:v>
      </x:c>
    </x:row>
    <x:row r="43" ht="38" customHeight="1">
      <x:c r="A43" s="1" t="str">
        <x:v>Selected monthly borrowed funds ($)</x:v>
      </x:c>
      <x:c r="B43" s="6" t="n">
        <x:f>B38*B30/12</x:f>
        <x:v>0</x:v>
      </x:c>
      <x:c r="C43" s="5" t="str">
        <x:v>Loan checkbox × historical loan average / 12.</x:v>
      </x:c>
    </x:row>
    <x:row r="44" ht="38" customHeight="1">
      <x:c r="A44" s="1" t="str">
        <x:v>Preset monthly resources ($)</x:v>
      </x:c>
      <x:c r="B44" s="6" t="n">
        <x:f>SUM(B41:B43)</x:f>
        <x:v>1300</x:v>
      </x:c>
      <x:c r="C44" s="5" t="str">
        <x:v>Gross pay + selected grant + selected loan.</x:v>
      </x:c>
    </x:row>
    <x:row r="45" ht="38" customHeight="1">
      <x:c r="A45" s="1" t="str">
        <x:v>Room mean / preset resources</x:v>
      </x:c>
      <x:c r="B45" s="13" t="n">
        <x:f>IF(B44=0,"",B17/B44)</x:f>
        <x:v>0.662638067061144</x:v>
      </x:c>
      <x:c r="C45" s="5" t="str">
        <x:v>Use unrounded values. This is a personal budget illustration, not a HUD classification.</x:v>
      </x:c>
    </x:row>
    <x:row r="46" ht="38" customHeight="1">
      <x:c r="A46" s="1" t="str">
        <x:v>Tuition and fee assumption</x:v>
      </x:c>
      <x:c r="B46" s="1"/>
      <x:c r="C46" s="5" t="str">
        <x:v>Paid separately. Different recipient-group averages do not establish a typical combined aid package.</x:v>
      </x:c>
    </x:row>
    <x:row r="47" ht="38" customHeight="1">
      <x:c r="A47" s="1"/>
      <x:c r="B47" s="1"/>
      <x:c r="C47" s="5"/>
    </x:row>
    <x:row r="48" ht="38" customHeight="1">
      <x:c r="A48" s="1"/>
      <x:c r="B48" s="1"/>
      <x:c r="C48" s="5"/>
    </x:row>
    <x:row r="49" ht="34" customHeight="1">
      <x:c r="A49" s="3" t="str">
        <x:v>All four checkbox combinations</x:v>
      </x:c>
      <x:c r="B49" s="3" t="str">
        <x:v>Monthly resources ($)</x:v>
      </x:c>
      <x:c r="C49" s="4" t="str">
        <x:v>Room mean / resources</x:v>
      </x:c>
    </x:row>
    <x:row r="50" ht="38" customHeight="1">
      <x:c r="A50" s="1" t="str">
        <x:v>Work only</x:v>
      </x:c>
      <x:c r="B50" s="6" t="n">
        <x:f>B41</x:f>
        <x:v>1300</x:v>
      </x:c>
      <x:c r="C50" s="20" t="n">
        <x:f>IF(B50=0,"",B17/B50)</x:f>
        <x:v>0.662638067061144</x:v>
      </x:c>
    </x:row>
    <x:row r="51" ht="38" customHeight="1">
      <x:c r="A51" s="1" t="str">
        <x:v>Work + grant</x:v>
      </x:c>
      <x:c r="B51" s="6" t="n">
        <x:f>B41+B29/12</x:f>
        <x:v>2528.583333333333</x:v>
      </x:c>
      <x:c r="C51" s="20" t="n">
        <x:f>IF(B51=0,"",B17/B51)</x:f>
        <x:v>0.340676724323694</x:v>
      </x:c>
    </x:row>
    <x:row r="52" ht="38" customHeight="1">
      <x:c r="A52" s="1" t="str">
        <x:v>Work + loan</x:v>
      </x:c>
      <x:c r="B52" s="6" t="n">
        <x:f>B41+B30/12</x:f>
        <x:v>1642.1666666666667</x:v>
      </x:c>
      <x:c r="C52" s="20" t="n">
        <x:f>IF(B52=0,"",B17/B52)</x:f>
        <x:v>0.5245688544683774</x:v>
      </x:c>
    </x:row>
    <x:row r="53" ht="38" customHeight="1">
      <x:c r="A53" s="1" t="str">
        <x:v>Work + both</x:v>
      </x:c>
      <x:c r="B53" s="6" t="n">
        <x:f>B41+(B29+B30)/12</x:f>
        <x:v>2870.75</x:v>
      </x:c>
      <x:c r="C53" s="20" t="n">
        <x:f>IF(B53=0,"",B17/B53)</x:f>
        <x:v>0.3000712312738787</x:v>
      </x:c>
    </x:row>
  </x:sheetData>
  <x:dataValidations count="13">
    <x:dataValidation type="whole" operator="between" sqref="B4">
      <x:formula1>1</x:formula1>
      <x:formula2>12</x:formula2>
    </x:dataValidation>
    <x:dataValidation type="whole" operator="between" sqref="B22">
      <x:formula1>1</x:formula1>
      <x:formula2>20</x:formula2>
    </x:dataValidation>
    <x:dataValidation type="decimal" operator="greaterThanOrEqual" sqref="B2">
      <x:formula1>0</x:formula1>
    </x:dataValidation>
    <x:dataValidation type="decimal" operator="greaterThanOrEqual" sqref="B3">
      <x:formula1>0</x:formula1>
    </x:dataValidation>
    <x:dataValidation type="decimal" operator="greaterThanOrEqual" sqref="B5">
      <x:formula1>0</x:formula1>
    </x:dataValidation>
    <x:dataValidation type="decimal" operator="greaterThanOrEqual" sqref="B6">
      <x:formula1>0</x:formula1>
    </x:dataValidation>
    <x:dataValidation type="decimal" operator="greaterThanOrEqual" sqref="B7">
      <x:formula1>0</x:formula1>
    </x:dataValidation>
    <x:dataValidation type="decimal" operator="greaterThanOrEqual" sqref="B8">
      <x:formula1>0</x:formula1>
    </x:dataValidation>
    <x:dataValidation type="decimal" operator="greaterThanOrEqual" sqref="B9">
      <x:formula1>0</x:formula1>
    </x:dataValidation>
    <x:dataValidation type="decimal" operator="greaterThanOrEqual" sqref="B20">
      <x:formula1>0</x:formula1>
    </x:dataValidation>
    <x:dataValidation type="decimal" operator="greaterThanOrEqual" sqref="B21">
      <x:formula1>0</x:formula1>
    </x:dataValidation>
    <x:dataValidation type="decimal" operator="greaterThanOrEqual" sqref="B25">
      <x:formula1>0</x:formula1>
    </x:dataValidation>
    <x:dataValidation type="whole" operator="between" sqref="B37:B38">
      <x:formula1>0</x:formula1>
      <x:formula2>1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3" hidden="0" customWidth="1"/>
    <x:col min="2" max="2" width="25" hidden="0" customWidth="1"/>
    <x:col min="3" max="3" width="25" hidden="0" customWidth="1"/>
    <x:col min="4" max="4" width="25" hidden="0" customWidth="1"/>
    <x:col min="5" max="5" width="17" hidden="0" customWidth="1"/>
  </x:cols>
  <x:sheetData>
    <x:row r="1" ht="38" customHeight="1">
      <x:c r="A1" s="4" t="str">
        <x:v>Housing category</x:v>
      </x:c>
      <x:c r="B1" s="4" t="str">
        <x:v>2025–26 $/semester</x:v>
      </x:c>
      <x:c r="C1" s="4" t="str">
        <x:v>2026–27 projected $/semester</x:v>
      </x:c>
      <x:c r="D1" s="4" t="str">
        <x:v>Dollar change</x:v>
      </x:c>
      <x:c r="E1" s="4" t="str">
        <x:v>Percent change</x:v>
      </x:c>
    </x:row>
    <x:row r="2">
      <x:c r="A2" s="1" t="str">
        <x:v>Residence hall double</x:v>
      </x:c>
      <x:c r="B2" s="6" t="n">
        <x:v>3800</x:v>
      </x:c>
      <x:c r="C2" s="6" t="n">
        <x:v>3970</x:v>
      </x:c>
      <x:c r="D2" s="6" t="n">
        <x:f>C2-B2</x:f>
        <x:v>170</x:v>
      </x:c>
      <x:c r="E2" s="13" t="n">
        <x:f>D2/B2</x:f>
        <x:v>0.04473684210526316</x:v>
      </x:c>
    </x:row>
    <x:row r="3">
      <x:c r="A3" s="1" t="str">
        <x:v>Residence hall single</x:v>
      </x:c>
      <x:c r="B3" s="6" t="n">
        <x:v>4275</x:v>
      </x:c>
      <x:c r="C3" s="6" t="n">
        <x:v>4600</x:v>
      </x:c>
      <x:c r="D3" s="6" t="n">
        <x:f>C3-B3</x:f>
        <x:v>325</x:v>
      </x:c>
      <x:c r="E3" s="13" t="n">
        <x:f>D3/B3</x:f>
        <x:v>0.07602339181286549</x:v>
      </x:c>
    </x:row>
    <x:row r="4">
      <x:c r="A4" s="1" t="str">
        <x:v>Wolf Village/Ridge 1 bedroom or studio</x:v>
      </x:c>
      <x:c r="B4" s="6" t="n">
        <x:v>5000</x:v>
      </x:c>
      <x:c r="C4" s="6" t="n">
        <x:v>5375</x:v>
      </x:c>
      <x:c r="D4" s="6" t="n">
        <x:f>C4-B4</x:f>
        <x:v>375</x:v>
      </x:c>
      <x:c r="E4" s="13" t="n">
        <x:f>D4/B4</x:f>
        <x:v>0.075</x:v>
      </x:c>
    </x:row>
    <x:row r="5">
      <x:c r="A5" s="1" t="str">
        <x:v>Wolf Village/Ridge 2–4 bedrooms</x:v>
      </x:c>
      <x:c r="B5" s="6" t="n">
        <x:v>4500</x:v>
      </x:c>
      <x:c r="C5" s="6" t="n">
        <x:v>4780</x:v>
      </x:c>
      <x:c r="D5" s="6" t="n">
        <x:f>C5-B5</x:f>
        <x:v>280</x:v>
      </x:c>
      <x:c r="E5" s="13" t="n">
        <x:f>D5/B5</x:f>
        <x:v>0.06222222222222222</x:v>
      </x:c>
    </x:row>
    <x:row r="6">
      <x:c r="A6" s="1" t="str">
        <x:v>E.S. King undergraduate double</x:v>
      </x:c>
      <x:c r="B6" s="6" t="n">
        <x:v>4125</x:v>
      </x:c>
      <x:c r="C6" s="6" t="n">
        <x:v>4350</x:v>
      </x:c>
      <x:c r="D6" s="6" t="n">
        <x:f>C6-B6</x:f>
        <x:v>225</x:v>
      </x:c>
      <x:c r="E6" s="13" t="n">
        <x:f>D6/B6</x:f>
        <x:v>0.05454545454545454</x:v>
      </x:c>
    </x:row>
    <x:row r="7">
      <x:c r="A7" s="1" t="str">
        <x:v>E.S. King/Western Manor studio</x:v>
      </x:c>
      <x:c r="B7" s="6" t="n">
        <x:v>3900</x:v>
      </x:c>
      <x:c r="C7" s="6" t="n">
        <x:v>4150</x:v>
      </x:c>
      <x:c r="D7" s="6" t="n">
        <x:f>C7-B7</x:f>
        <x:v>250</x:v>
      </x:c>
      <x:c r="E7" s="13" t="n">
        <x:f>D7/B7</x:f>
        <x:v>0.0641025641025641</x:v>
      </x:c>
    </x:row>
    <x:row r="8">
      <x:c r="A8" s="1" t="str">
        <x:v>E.S. King/Western Manor 1 bedroom</x:v>
      </x:c>
      <x:c r="B8" s="6" t="n">
        <x:v>4375</x:v>
      </x:c>
      <x:c r="C8" s="6" t="n">
        <x:v>4600</x:v>
      </x:c>
      <x:c r="D8" s="6" t="n">
        <x:f>C8-B8</x:f>
        <x:v>225</x:v>
      </x:c>
      <x:c r="E8" s="13" t="n">
        <x:f>D8/B8</x:f>
        <x:v>0.05142857142857143</x:v>
      </x:c>
    </x:row>
    <x:row r="9">
      <x:c r="A9" s="1" t="str">
        <x:v>E.S. King/Western Manor 2 bedroom</x:v>
      </x:c>
      <x:c r="B9" s="6" t="n">
        <x:v>5000</x:v>
      </x:c>
      <x:c r="C9" s="6" t="n">
        <x:v>5300</x:v>
      </x:c>
      <x:c r="D9" s="6" t="n">
        <x:f>C9-B9</x:f>
        <x:v>300</x:v>
      </x:c>
      <x:c r="E9" s="13" t="n">
        <x:f>D9/B9</x:f>
        <x:v>0.06</x:v>
      </x:c>
    </x:row>
    <x:row r="10">
      <x:c r="A10" s="1" t="str">
        <x:v>Coastal Quarters single</x:v>
      </x:c>
      <x:c r="B10" s="6" t="n">
        <x:v>4225</x:v>
      </x:c>
      <x:c r="C10" s="6" t="n">
        <x:v>4350</x:v>
      </x:c>
      <x:c r="D10" s="6" t="n">
        <x:f>C10-B10</x:f>
        <x:v>125</x:v>
      </x:c>
      <x:c r="E10" s="13" t="n">
        <x:f>D10/B10</x:f>
        <x:v>0.029585798816568046</x:v>
      </x:c>
    </x:row>
    <x:row r="11">
      <x:c r="A11" s="1" t="str">
        <x:v>Coastal Quarters double</x:v>
      </x:c>
      <x:c r="B11" s="6" t="n">
        <x:v>3950</x:v>
      </x:c>
      <x:c r="C11" s="6" t="n">
        <x:v>4025</x:v>
      </x:c>
      <x:c r="D11" s="6" t="n">
        <x:f>C11-B11</x:f>
        <x:v>75</x:v>
      </x:c>
      <x:c r="E11" s="13" t="n">
        <x:f>D11/B11</x:f>
        <x:v>0.0189873417721519</x:v>
      </x:c>
    </x:row>
    <x:row r="14">
      <x:c r="A14" t="str">
        <x:v>Academic-year conversion</x:v>
      </x:c>
      <x:c r="B14" t="str">
        <x:v>Value</x:v>
      </x:c>
      <x:c r="C14" s="22" t="str">
        <x:v>Explanation</x:v>
      </x:c>
      <x:c r="D14" s="22"/>
      <x:c r="E14" s="22"/>
    </x:row>
    <x:row r="15">
      <x:c r="A15" t="str">
        <x:v>ResNet fee per semester</x:v>
      </x:c>
      <x:c r="B15" t="n">
        <x:v>150</x:v>
      </x:c>
      <x:c r="C15" s="22" t="str">
        <x:v>Included in room examples; excluded from rate-change chart.</x:v>
      </x:c>
      <x:c r="D15" s="22"/>
      <x:c r="E15" s="22"/>
    </x:row>
    <x:row r="16">
      <x:c r="A16" t="str">
        <x:v>Semesters</x:v>
      </x:c>
      <x:c r="B16" t="n">
        <x:v>2</x:v>
      </x:c>
      <x:c r="C16" s="22" t="str">
        <x:v>Fall + spring</x:v>
      </x:c>
      <x:c r="D16" s="22"/>
      <x:c r="E16" s="22"/>
    </x:row>
    <x:row r="17">
      <x:c r="A17" t="str">
        <x:v>Monthly-equivalent denominator</x:v>
      </x:c>
      <x:c r="B17" t="n">
        <x:v>9</x:v>
      </x:c>
      <x:c r="C17" s="22" t="str">
        <x:v>Academic-year display convention; excludes summer</x:v>
      </x:c>
      <x:c r="D17" s="22"/>
      <x:c r="E17" s="22"/>
    </x:row>
    <x:row r="18">
      <x:c r="A18" t="str">
        <x:v>Double monthly equivalent</x:v>
      </x:c>
      <x:c r="B18" s="21" t="n">
        <x:f> (C2+B15)*B16/B17</x:f>
        <x:v>915.5555555555555</x:v>
      </x:c>
      <x:c r="C18" s="22" t="str">
        <x:v>(Projected room charge + ResNet) × semesters / months</x:v>
      </x:c>
      <x:c r="D18" s="22"/>
      <x:c r="E18" s="22"/>
    </x:row>
    <x:row r="19">
      <x:c r="A19" t="str">
        <x:v>Single monthly equivalent</x:v>
      </x:c>
      <x:c r="B19" s="21" t="n">
        <x:f>(C3+B15)*B16/B17</x:f>
        <x:v>1055.5555555555557</x:v>
      </x:c>
      <x:c r="C19" s="22" t="str">
        <x:v>(Projected room charge + ResNet) × semesters / months</x:v>
      </x:c>
      <x:c r="D19" s="22"/>
      <x:c r="E19" s="22"/>
    </x:row>
    <x:row r="20">
      <x:c r="C20" s="22"/>
      <x:c r="D20" s="22"/>
      <x:c r="E20" s="22"/>
    </x:row>
    <x:row r="22">
      <x:c r="A22" t="str">
        <x:v>Housing rate source</x:v>
      </x:c>
      <x:c r="B22" t="str">
        <x:v>https://housing.dasa.ncsu.edu/residential-communities/costs/</x:v>
      </x:c>
      <x:c r="C22" t="str">
        <x:v>2026–27 remains labeled projected</x:v>
      </x:c>
    </x:row>
    <x:row r="23">
      <x:c r="A23" t="str">
        <x:v>Budget source</x:v>
      </x:c>
      <x:c r="B23" t="str">
        <x:v>https://studentservices.ncsu.edu/finances/estimated-cost-of-attendance/undergraduate-student-estimated-cost-of-attendance/</x:v>
      </x:c>
      <x:c r="C23" t="str">
        <x:v>Fall + spring housing budgets: $8,738 on campus; $9,808 off campus.</x:v>
      </x:c>
    </x:row>
  </x:sheetData>
  <x:pageMargins left="0.7" right="0.7" top="0.75" bottom="0.75" header="0.3" footer="0.3"/>
</x:worksheet>
</file>